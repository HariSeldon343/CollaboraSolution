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Foglio1" sheetId="1" state="visible" r:id="rId1"/>
  </sheets>
  <definedNames>
    <definedName name="_xlnm._FilterDatabase" localSheetId="0" hidden="1">Foglio1!$B$3:$X$26</definedName>
    <definedName name="_xlnm._FilterDatabase" localSheetId="0" hidden="1">Foglio1!$B$3:$X$26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<sst xmlns="http://schemas.openxmlformats.org/spreadsheetml/2006/main" count="45" uniqueCount="45">
  <si>
    <t xml:space="preserve">CONFERIMENTO FRUTTA CAMPAGNA 2024/2025</t>
  </si>
  <si>
    <t>COLLERONI</t>
  </si>
  <si>
    <t xml:space="preserve">FRUTTA DOC</t>
  </si>
  <si>
    <t xml:space="preserve">O.P UNO SICILIA</t>
  </si>
  <si>
    <t>EUROAGRUMI</t>
  </si>
  <si>
    <t>JOSEPHINE</t>
  </si>
  <si>
    <t>FRUTTOSA</t>
  </si>
  <si>
    <t>PARADISO</t>
  </si>
  <si>
    <t>APAM</t>
  </si>
  <si>
    <t xml:space="preserve">ASSO FRUIT</t>
  </si>
  <si>
    <t xml:space="preserve">TOT. PER TIPOLOGIA</t>
  </si>
  <si>
    <t>MELAGRANA</t>
  </si>
  <si>
    <t>BIO</t>
  </si>
  <si>
    <t>CONV.</t>
  </si>
  <si>
    <t xml:space="preserve">ARANCIA ROSSA IGP</t>
  </si>
  <si>
    <t xml:space="preserve">ARANCIA BIONDA </t>
  </si>
  <si>
    <t xml:space="preserve">ARANCIA BIONDA</t>
  </si>
  <si>
    <t>LIMONE</t>
  </si>
  <si>
    <t xml:space="preserve">ARANCIA ROSSA TAROCCO</t>
  </si>
  <si>
    <t xml:space="preserve">ARANCIA ROSSA MORO</t>
  </si>
  <si>
    <t>CLEMENTINE</t>
  </si>
  <si>
    <t xml:space="preserve">POMPELMO BIANCO</t>
  </si>
  <si>
    <t xml:space="preserve">POMPELMO ROSA</t>
  </si>
  <si>
    <t xml:space="preserve">TOT. PER FORNITORE (KG)</t>
  </si>
  <si>
    <t xml:space="preserve">TOT CONVENZIONALE</t>
  </si>
  <si>
    <t xml:space="preserve">TOT BIO</t>
  </si>
  <si>
    <t xml:space="preserve">TOT MELAGRANA CONV</t>
  </si>
  <si>
    <t xml:space="preserve">TOT ARANCIA CONV</t>
  </si>
  <si>
    <t xml:space="preserve">TOT LIMONE CONV</t>
  </si>
  <si>
    <t xml:space="preserve">TOT CLEMENTINE CONV</t>
  </si>
  <si>
    <t xml:space="preserve">TOT POMPELMO CONV</t>
  </si>
  <si>
    <t xml:space="preserve">N. campioni in base a rischio quantità consegnata materie prime convenzionali</t>
  </si>
  <si>
    <t xml:space="preserve">NB su BIO analisi ogni prodotto finito, per cui non si eseguono analisi
 delle materie prime BIO</t>
  </si>
  <si>
    <t xml:space="preserve">N. campioni / anno</t>
  </si>
  <si>
    <t>Melagrana</t>
  </si>
  <si>
    <t xml:space="preserve">da 20.000 a 100.000 kg = 1 campione</t>
  </si>
  <si>
    <t xml:space="preserve">da 100.000 a 200.000 kg = 2 campioni</t>
  </si>
  <si>
    <t xml:space="preserve">oltre 200.000 kg = 3 campioni</t>
  </si>
  <si>
    <t>Arancia</t>
  </si>
  <si>
    <t xml:space="preserve">da 100.000 a 500.000 kg = 2 campioni</t>
  </si>
  <si>
    <t xml:space="preserve">oltre 500.000 kg = 3 campioni</t>
  </si>
  <si>
    <t>Limone</t>
  </si>
  <si>
    <t>Pompelmo</t>
  </si>
  <si>
    <t xml:space="preserve">da 10.000 a 100.000 kg = 1 campione</t>
  </si>
  <si>
    <t xml:space="preserve">oltre 100.000 kg = 2 campioni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</si>
</sst>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1.000000"/>
      <color theme="1"/>
      <name val="Calibri"/>
      <scheme val="minor"/>
    </font>
    <font>
      <b/>
      <sz val="20.000000"/>
      <color theme="1"/>
      <name val="Calibri"/>
      <scheme val="minor"/>
    </font>
    <font>
      <sz val="20.000000"/>
      <color theme="1"/>
      <name val="Calibri"/>
      <scheme val="minor"/>
    </font>
    <font>
      <b/>
      <sz val="11.000000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</patternFill>
    </fill>
  </fills>
  <borders count="14">
    <border>
      <left style="none"/>
      <right style="none"/>
      <top style="none"/>
      <bottom style="none"/>
      <diagonal style="none"/>
    </border>
    <border>
      <left style="medium">
        <color auto="1"/>
      </left>
      <right style="none"/>
      <top style="medium">
        <color auto="1"/>
      </top>
      <bottom style="none"/>
      <diagonal style="none"/>
    </border>
    <border>
      <left style="none"/>
      <right style="none"/>
      <top style="medium">
        <color auto="1"/>
      </top>
      <bottom style="none"/>
      <diagonal style="none"/>
    </border>
    <border>
      <left style="none"/>
      <right style="medium">
        <color auto="1"/>
      </right>
      <top style="medium">
        <color auto="1"/>
      </top>
      <bottom style="none"/>
      <diagonal style="none"/>
    </border>
    <border>
      <left style="medium">
        <color auto="1"/>
      </left>
      <right style="none"/>
      <top style="none"/>
      <bottom style="medium">
        <color auto="1"/>
      </bottom>
      <diagonal style="none"/>
    </border>
    <border>
      <left style="none"/>
      <right style="none"/>
      <top style="none"/>
      <bottom style="medium">
        <color auto="1"/>
      </bottom>
      <diagonal style="none"/>
    </border>
    <border>
      <left style="none"/>
      <right style="medium">
        <color auto="1"/>
      </right>
      <top style="none"/>
      <bottom style="medium">
        <color auto="1"/>
      </bottom>
      <diagonal style="none"/>
    </border>
    <border>
      <left style="medium">
        <color auto="1"/>
      </left>
      <right style="none"/>
      <top style="medium">
        <color auto="1"/>
      </top>
      <bottom style="medium">
        <color auto="1"/>
      </bottom>
      <diagonal style="none"/>
    </border>
    <border>
      <left style="none"/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none"/>
      <right style="none"/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none"/>
      <top style="none"/>
      <bottom style="none"/>
      <diagonal style="none"/>
    </border>
    <border>
      <left style="none"/>
      <right style="medium">
        <color auto="1"/>
      </right>
      <top style="none"/>
      <bottom style="none"/>
      <diagonal style="none"/>
    </border>
    <border>
      <left style="none"/>
      <right style="none"/>
      <top style="medium">
        <color auto="1"/>
      </top>
      <bottom style="thin">
        <color auto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51">
    <xf fontId="0" fillId="0" borderId="0" numFmtId="0" xfId="0"/>
    <xf fontId="1" fillId="0" borderId="1" numFmtId="0" xfId="0" applyFont="1" applyBorder="1" applyAlignment="1">
      <alignment horizontal="center" vertical="center"/>
    </xf>
    <xf fontId="2" fillId="0" borderId="2" numFmtId="0" xfId="0" applyFont="1" applyBorder="1" applyAlignment="1">
      <alignment horizontal="center" vertical="center"/>
    </xf>
    <xf fontId="2" fillId="0" borderId="3" numFmtId="0" xfId="0" applyFont="1" applyBorder="1" applyAlignment="1">
      <alignment horizontal="center" vertical="center"/>
    </xf>
    <xf fontId="2" fillId="0" borderId="4" numFmtId="0" xfId="0" applyFont="1" applyBorder="1" applyAlignment="1">
      <alignment horizontal="center" vertical="center"/>
    </xf>
    <xf fontId="2" fillId="0" borderId="5" numFmtId="0" xfId="0" applyFont="1" applyBorder="1" applyAlignment="1">
      <alignment horizontal="center" vertical="center"/>
    </xf>
    <xf fontId="2" fillId="0" borderId="6" numFmtId="0" xfId="0" applyFont="1" applyBorder="1" applyAlignment="1">
      <alignment horizontal="center" vertical="center"/>
    </xf>
    <xf fontId="0" fillId="0" borderId="7" numFmtId="0" xfId="0" applyBorder="1" applyAlignment="1">
      <alignment horizontal="center"/>
    </xf>
    <xf fontId="0" fillId="0" borderId="8" numFmtId="0" xfId="0" applyBorder="1" applyAlignment="1">
      <alignment horizontal="center"/>
    </xf>
    <xf fontId="0" fillId="0" borderId="9" numFmtId="0" xfId="0" applyBorder="1" applyAlignment="1">
      <alignment horizontal="center"/>
    </xf>
    <xf fontId="3" fillId="0" borderId="7" numFmtId="0" xfId="0" applyFont="1" applyBorder="1" applyAlignment="1">
      <alignment horizontal="center"/>
    </xf>
    <xf fontId="3" fillId="2" borderId="10" numFmtId="0" xfId="0" applyFont="1" applyFill="1" applyBorder="1" applyAlignment="1">
      <alignment horizontal="left"/>
    </xf>
    <xf fontId="0" fillId="2" borderId="11" numFmtId="0" xfId="0" applyFill="1" applyBorder="1" applyAlignment="1">
      <alignment horizontal="left"/>
    </xf>
    <xf fontId="3" fillId="2" borderId="0" numFmtId="0" xfId="0" applyFont="1" applyFill="1" applyAlignment="1">
      <alignment horizontal="center"/>
    </xf>
    <xf fontId="3" fillId="2" borderId="10" numFmtId="0" xfId="0" applyFont="1" applyFill="1" applyBorder="1" applyAlignment="1">
      <alignment horizontal="center"/>
    </xf>
    <xf fontId="3" fillId="2" borderId="11" numFmtId="0" xfId="0" applyFont="1" applyFill="1" applyBorder="1" applyAlignment="1">
      <alignment horizontal="center"/>
    </xf>
    <xf fontId="0" fillId="2" borderId="10" numFmtId="0" xfId="0" applyFill="1" applyBorder="1" applyAlignment="1">
      <alignment horizontal="center"/>
    </xf>
    <xf fontId="0" fillId="2" borderId="11" numFmtId="0" xfId="0" applyFill="1" applyBorder="1" applyAlignment="1">
      <alignment horizontal="center"/>
    </xf>
    <xf fontId="0" fillId="2" borderId="10" numFmtId="3" xfId="0" applyNumberFormat="1" applyFill="1" applyBorder="1" applyAlignment="1">
      <alignment horizontal="center"/>
    </xf>
    <xf fontId="0" fillId="2" borderId="11" numFmtId="3" xfId="0" applyNumberFormat="1" applyFill="1" applyBorder="1" applyAlignment="1">
      <alignment horizontal="center"/>
    </xf>
    <xf fontId="3" fillId="0" borderId="10" numFmtId="0" xfId="0" applyFont="1" applyBorder="1" applyAlignment="1">
      <alignment horizontal="left"/>
    </xf>
    <xf fontId="3" fillId="0" borderId="11" numFmtId="0" xfId="0" applyFont="1" applyBorder="1" applyAlignment="1">
      <alignment horizontal="left"/>
    </xf>
    <xf fontId="3" fillId="0" borderId="0" numFmtId="0" xfId="0" applyFont="1" applyAlignment="1">
      <alignment horizontal="center"/>
    </xf>
    <xf fontId="0" fillId="0" borderId="10" numFmtId="3" xfId="0" applyNumberFormat="1" applyBorder="1" applyAlignment="1">
      <alignment horizontal="center"/>
    </xf>
    <xf fontId="0" fillId="0" borderId="11" numFmtId="0" xfId="0" applyBorder="1" applyAlignment="1">
      <alignment horizontal="center"/>
    </xf>
    <xf fontId="0" fillId="0" borderId="10" numFmtId="0" xfId="0" applyBorder="1" applyAlignment="1">
      <alignment horizontal="center"/>
    </xf>
    <xf fontId="0" fillId="0" borderId="11" numFmtId="3" xfId="0" applyNumberFormat="1" applyBorder="1" applyAlignment="1">
      <alignment horizontal="center"/>
    </xf>
    <xf fontId="3" fillId="2" borderId="11" numFmtId="0" xfId="0" applyFont="1" applyFill="1" applyBorder="1" applyAlignment="1">
      <alignment horizontal="left"/>
    </xf>
    <xf fontId="3" fillId="0" borderId="10" numFmtId="0" xfId="0" applyFont="1" applyBorder="1" applyAlignment="1">
      <alignment horizontal="center"/>
    </xf>
    <xf fontId="3" fillId="0" borderId="11" numFmtId="0" xfId="0" applyFont="1" applyBorder="1" applyAlignment="1">
      <alignment horizontal="center"/>
    </xf>
    <xf fontId="3" fillId="0" borderId="7" numFmtId="0" xfId="0" applyFont="1" applyBorder="1" applyAlignment="1">
      <alignment horizontal="left"/>
    </xf>
    <xf fontId="0" fillId="0" borderId="8" numFmtId="0" xfId="0" applyBorder="1" applyAlignment="1">
      <alignment horizontal="left"/>
    </xf>
    <xf fontId="0" fillId="0" borderId="9" numFmtId="0" xfId="0" applyBorder="1" applyAlignment="1">
      <alignment horizontal="left"/>
    </xf>
    <xf fontId="0" fillId="0" borderId="7" numFmtId="3" xfId="0" applyNumberFormat="1" applyBorder="1" applyAlignment="1">
      <alignment horizontal="center"/>
    </xf>
    <xf fontId="0" fillId="0" borderId="8" numFmtId="3" xfId="0" applyNumberFormat="1" applyBorder="1" applyAlignment="1">
      <alignment horizontal="center"/>
    </xf>
    <xf fontId="0" fillId="0" borderId="2" numFmtId="3" xfId="0" applyNumberFormat="1" applyBorder="1" applyAlignment="1">
      <alignment horizontal="center"/>
    </xf>
    <xf fontId="0" fillId="0" borderId="12" numFmtId="3" xfId="0" applyNumberFormat="1" applyBorder="1" applyAlignment="1">
      <alignment horizontal="center"/>
    </xf>
    <xf fontId="0" fillId="0" borderId="0" numFmtId="3" xfId="0" applyNumberFormat="1"/>
    <xf fontId="0" fillId="0" borderId="2" numFmtId="0" xfId="0" applyBorder="1" applyAlignment="1">
      <alignment horizontal="center"/>
    </xf>
    <xf fontId="3" fillId="0" borderId="0" numFmtId="0" xfId="0" applyFont="1"/>
    <xf fontId="0" fillId="0" borderId="0" numFmtId="0" xfId="0" applyAlignment="1">
      <alignment horizontal="center"/>
    </xf>
    <xf fontId="0" fillId="0" borderId="0" numFmtId="0" xfId="0" applyAlignment="1">
      <alignment horizontal="center"/>
    </xf>
    <xf fontId="0" fillId="0" borderId="0" numFmtId="3" xfId="0" applyNumberFormat="1" applyAlignment="1">
      <alignment horizontal="center"/>
    </xf>
    <xf fontId="0" fillId="0" borderId="0" numFmtId="0" xfId="0" applyAlignment="1">
      <alignment horizontal="left" wrapText="1"/>
    </xf>
    <xf fontId="0" fillId="0" borderId="13" numFmtId="0" xfId="0" applyBorder="1" applyAlignment="1">
      <alignment wrapText="1"/>
    </xf>
    <xf fontId="0" fillId="0" borderId="13" numFmtId="0" xfId="0" applyBorder="1"/>
    <xf fontId="0" fillId="0" borderId="13" numFmtId="0" xfId="0" applyBorder="1"/>
    <xf fontId="0" fillId="0" borderId="13" numFmtId="3" xfId="0" applyNumberFormat="1" applyBorder="1"/>
    <xf fontId="0" fillId="0" borderId="13" numFmtId="0" xfId="0" applyBorder="1">
      <protection hidden="0" locked="1"/>
    </xf>
    <xf fontId="0" fillId="0" borderId="13" numFmtId="0" xfId="0" applyBorder="1">
      <protection hidden="0" locked="1"/>
    </xf>
    <xf fontId="0" fillId="0" borderId="0" numFmtId="0" xfId="0">
      <protection hidden="0" locked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J41" activeCellId="0" sqref="J41"/>
    </sheetView>
  </sheetViews>
  <sheetFormatPr defaultRowHeight="14.25"/>
  <cols>
    <col customWidth="1" min="2" max="2" width="16"/>
    <col customWidth="1" min="3" max="3" width="9.140625"/>
    <col customWidth="1" min="4" max="4" width="8.28515625"/>
    <col customWidth="1" min="6" max="6" width="7.5703125"/>
    <col customWidth="1" min="9" max="9" width="11.57421875"/>
  </cols>
  <sheetData>
    <row r="1" ht="14.25">
      <c r="B1" s="1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3"/>
    </row>
    <row r="2" ht="14.25">
      <c r="B2" s="4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6"/>
    </row>
    <row r="3" ht="14.25">
      <c r="B3" s="7"/>
      <c r="C3" s="8"/>
      <c r="D3" s="9"/>
      <c r="E3" s="10" t="s">
        <v>1</v>
      </c>
      <c r="F3" s="8"/>
      <c r="G3" s="10" t="s">
        <v>2</v>
      </c>
      <c r="H3" s="8"/>
      <c r="I3" s="10" t="s">
        <v>3</v>
      </c>
      <c r="J3" s="8"/>
      <c r="K3" s="10" t="s">
        <v>4</v>
      </c>
      <c r="L3" s="8"/>
      <c r="M3" s="10" t="s">
        <v>5</v>
      </c>
      <c r="N3" s="8"/>
      <c r="O3" s="10" t="s">
        <v>6</v>
      </c>
      <c r="P3" s="8"/>
      <c r="Q3" s="10" t="s">
        <v>7</v>
      </c>
      <c r="R3" s="8"/>
      <c r="S3" s="10" t="s">
        <v>8</v>
      </c>
      <c r="T3" s="8"/>
      <c r="U3" s="10" t="s">
        <v>9</v>
      </c>
      <c r="V3" s="8"/>
      <c r="W3" s="10" t="s">
        <v>10</v>
      </c>
      <c r="X3" s="8"/>
    </row>
    <row r="4" ht="14.25">
      <c r="B4" s="11" t="s">
        <v>11</v>
      </c>
      <c r="C4" s="12"/>
      <c r="D4" s="13" t="s">
        <v>12</v>
      </c>
      <c r="E4" s="14"/>
      <c r="F4" s="15"/>
      <c r="G4" s="16"/>
      <c r="H4" s="17"/>
      <c r="I4" s="18">
        <v>20920</v>
      </c>
      <c r="J4" s="17"/>
      <c r="K4" s="16"/>
      <c r="L4" s="17"/>
      <c r="M4" s="16"/>
      <c r="N4" s="17"/>
      <c r="O4" s="16"/>
      <c r="P4" s="17"/>
      <c r="Q4" s="16"/>
      <c r="R4" s="17"/>
      <c r="S4" s="16"/>
      <c r="T4" s="17"/>
      <c r="U4" s="16"/>
      <c r="V4" s="17"/>
      <c r="W4" s="18">
        <f t="shared" ref="W4:W18" si="0">SUM(E4:U4)</f>
        <v>20920</v>
      </c>
      <c r="X4" s="19"/>
    </row>
    <row r="5" ht="14.25">
      <c r="B5" s="20" t="s">
        <v>11</v>
      </c>
      <c r="C5" s="21"/>
      <c r="D5" s="22" t="s">
        <v>13</v>
      </c>
      <c r="E5" s="23">
        <v>194880</v>
      </c>
      <c r="F5" s="24"/>
      <c r="G5" s="25"/>
      <c r="H5" s="24"/>
      <c r="I5" s="25"/>
      <c r="J5" s="24"/>
      <c r="K5" s="25"/>
      <c r="L5" s="24"/>
      <c r="M5" s="25"/>
      <c r="N5" s="24"/>
      <c r="O5" s="23">
        <v>48590</v>
      </c>
      <c r="P5" s="24"/>
      <c r="Q5" s="25"/>
      <c r="R5" s="24"/>
      <c r="S5" s="25"/>
      <c r="T5" s="24"/>
      <c r="U5" s="25"/>
      <c r="V5" s="24"/>
      <c r="W5" s="23">
        <f t="shared" si="0"/>
        <v>243470</v>
      </c>
      <c r="X5" s="26"/>
    </row>
    <row r="6" ht="14.25">
      <c r="B6" s="11" t="s">
        <v>14</v>
      </c>
      <c r="C6" s="27"/>
      <c r="D6" s="13" t="s">
        <v>13</v>
      </c>
      <c r="E6" s="18">
        <v>2629320</v>
      </c>
      <c r="F6" s="17"/>
      <c r="G6" s="16"/>
      <c r="H6" s="17"/>
      <c r="I6" s="16"/>
      <c r="J6" s="17"/>
      <c r="K6" s="16"/>
      <c r="L6" s="17"/>
      <c r="M6" s="16"/>
      <c r="N6" s="17"/>
      <c r="O6" s="16"/>
      <c r="P6" s="17"/>
      <c r="Q6" s="16"/>
      <c r="R6" s="17"/>
      <c r="S6" s="16"/>
      <c r="T6" s="17"/>
      <c r="U6" s="16"/>
      <c r="V6" s="17"/>
      <c r="W6" s="18">
        <f t="shared" si="0"/>
        <v>2629320</v>
      </c>
      <c r="X6" s="19"/>
    </row>
    <row r="7" ht="14.25">
      <c r="B7" s="20" t="s">
        <v>15</v>
      </c>
      <c r="C7" s="21"/>
      <c r="D7" s="22" t="s">
        <v>12</v>
      </c>
      <c r="E7" s="23"/>
      <c r="F7" s="26"/>
      <c r="G7" s="25"/>
      <c r="H7" s="24"/>
      <c r="I7" s="23">
        <v>44080</v>
      </c>
      <c r="J7" s="24"/>
      <c r="K7" s="25"/>
      <c r="L7" s="24"/>
      <c r="M7" s="25"/>
      <c r="N7" s="24"/>
      <c r="O7" s="25"/>
      <c r="P7" s="24"/>
      <c r="Q7" s="25"/>
      <c r="R7" s="24"/>
      <c r="S7" s="25"/>
      <c r="T7" s="24"/>
      <c r="U7" s="25"/>
      <c r="V7" s="24"/>
      <c r="W7" s="25">
        <f t="shared" si="0"/>
        <v>44080</v>
      </c>
      <c r="X7" s="24"/>
    </row>
    <row r="8" ht="14.25">
      <c r="B8" s="11" t="s">
        <v>16</v>
      </c>
      <c r="C8" s="27"/>
      <c r="D8" s="13" t="s">
        <v>13</v>
      </c>
      <c r="E8" s="18">
        <v>907500</v>
      </c>
      <c r="F8" s="17"/>
      <c r="G8" s="16"/>
      <c r="H8" s="17"/>
      <c r="I8" s="16"/>
      <c r="J8" s="17"/>
      <c r="K8" s="18">
        <v>80050</v>
      </c>
      <c r="L8" s="17"/>
      <c r="M8" s="18">
        <v>131630</v>
      </c>
      <c r="N8" s="17"/>
      <c r="O8" s="16"/>
      <c r="P8" s="17"/>
      <c r="Q8" s="16"/>
      <c r="R8" s="17"/>
      <c r="S8" s="16"/>
      <c r="T8" s="17"/>
      <c r="U8" s="16"/>
      <c r="V8" s="17"/>
      <c r="W8" s="18">
        <f t="shared" si="0"/>
        <v>1119180</v>
      </c>
      <c r="X8" s="19"/>
    </row>
    <row r="9" ht="14.25">
      <c r="B9" s="20" t="s">
        <v>17</v>
      </c>
      <c r="C9" s="21"/>
      <c r="D9" s="22" t="s">
        <v>12</v>
      </c>
      <c r="E9" s="23"/>
      <c r="F9" s="26"/>
      <c r="G9" s="23">
        <v>309600</v>
      </c>
      <c r="H9" s="24"/>
      <c r="I9" s="25"/>
      <c r="J9" s="24"/>
      <c r="K9" s="25"/>
      <c r="L9" s="24"/>
      <c r="M9" s="25"/>
      <c r="N9" s="24"/>
      <c r="O9" s="25"/>
      <c r="P9" s="24"/>
      <c r="Q9" s="25"/>
      <c r="R9" s="24"/>
      <c r="S9" s="25"/>
      <c r="T9" s="24"/>
      <c r="U9" s="25"/>
      <c r="V9" s="24"/>
      <c r="W9" s="25">
        <f t="shared" si="0"/>
        <v>309600</v>
      </c>
      <c r="X9" s="24"/>
    </row>
    <row r="10" ht="14.25">
      <c r="B10" s="11" t="s">
        <v>17</v>
      </c>
      <c r="C10" s="27"/>
      <c r="D10" s="13" t="s">
        <v>13</v>
      </c>
      <c r="E10" s="18">
        <v>391860</v>
      </c>
      <c r="F10" s="17"/>
      <c r="G10" s="18">
        <v>413485</v>
      </c>
      <c r="H10" s="17"/>
      <c r="I10" s="16"/>
      <c r="J10" s="17"/>
      <c r="K10" s="18">
        <v>204450</v>
      </c>
      <c r="L10" s="17"/>
      <c r="M10" s="18">
        <v>58560</v>
      </c>
      <c r="N10" s="17"/>
      <c r="O10" s="16"/>
      <c r="P10" s="17"/>
      <c r="Q10" s="16">
        <v>7150</v>
      </c>
      <c r="R10" s="17"/>
      <c r="S10" s="16"/>
      <c r="T10" s="17"/>
      <c r="U10" s="16"/>
      <c r="V10" s="17"/>
      <c r="W10" s="18">
        <f t="shared" si="0"/>
        <v>1075505</v>
      </c>
      <c r="X10" s="19"/>
    </row>
    <row r="11" ht="14.25">
      <c r="B11" s="20" t="s">
        <v>18</v>
      </c>
      <c r="C11" s="21"/>
      <c r="D11" s="22" t="s">
        <v>13</v>
      </c>
      <c r="E11" s="23">
        <v>178010</v>
      </c>
      <c r="F11" s="24"/>
      <c r="G11" s="23">
        <v>38060</v>
      </c>
      <c r="H11" s="24"/>
      <c r="I11" s="25"/>
      <c r="J11" s="24"/>
      <c r="K11" s="23">
        <v>268030</v>
      </c>
      <c r="L11" s="24"/>
      <c r="M11" s="23">
        <v>658200</v>
      </c>
      <c r="N11" s="24"/>
      <c r="O11" s="25"/>
      <c r="P11" s="24"/>
      <c r="Q11" s="23">
        <v>66690</v>
      </c>
      <c r="R11" s="24"/>
      <c r="S11" s="25"/>
      <c r="T11" s="24"/>
      <c r="U11" s="23">
        <v>78650</v>
      </c>
      <c r="V11" s="24"/>
      <c r="W11" s="23">
        <f t="shared" si="0"/>
        <v>1287640</v>
      </c>
      <c r="X11" s="26"/>
    </row>
    <row r="12" ht="14.25">
      <c r="B12" s="11" t="s">
        <v>18</v>
      </c>
      <c r="C12" s="27"/>
      <c r="D12" s="13" t="s">
        <v>12</v>
      </c>
      <c r="E12" s="16"/>
      <c r="F12" s="17"/>
      <c r="G12" s="18">
        <v>30150</v>
      </c>
      <c r="H12" s="17"/>
      <c r="I12" s="18">
        <v>42270</v>
      </c>
      <c r="J12" s="17"/>
      <c r="K12" s="16"/>
      <c r="L12" s="17"/>
      <c r="M12" s="16"/>
      <c r="N12" s="17"/>
      <c r="O12" s="16"/>
      <c r="P12" s="17"/>
      <c r="Q12" s="16"/>
      <c r="R12" s="17"/>
      <c r="S12" s="16"/>
      <c r="T12" s="17"/>
      <c r="U12" s="18">
        <v>162410</v>
      </c>
      <c r="V12" s="17"/>
      <c r="W12" s="16">
        <f t="shared" si="0"/>
        <v>234830</v>
      </c>
      <c r="X12" s="17"/>
    </row>
    <row r="13" ht="14.25">
      <c r="B13" s="20" t="s">
        <v>19</v>
      </c>
      <c r="C13" s="21"/>
      <c r="D13" s="22" t="s">
        <v>13</v>
      </c>
      <c r="E13" s="28"/>
      <c r="F13" s="29"/>
      <c r="G13" s="25">
        <v>7320</v>
      </c>
      <c r="H13" s="24"/>
      <c r="I13" s="25"/>
      <c r="J13" s="24"/>
      <c r="K13" s="25"/>
      <c r="L13" s="24"/>
      <c r="M13" s="23">
        <v>223950</v>
      </c>
      <c r="N13" s="24"/>
      <c r="O13" s="25"/>
      <c r="P13" s="24"/>
      <c r="Q13" s="23">
        <v>21040</v>
      </c>
      <c r="R13" s="24"/>
      <c r="S13" s="25"/>
      <c r="T13" s="24"/>
      <c r="U13" s="25"/>
      <c r="V13" s="24"/>
      <c r="W13" s="23">
        <f t="shared" si="0"/>
        <v>252310</v>
      </c>
      <c r="X13" s="26"/>
    </row>
    <row r="14" ht="14.25">
      <c r="B14" s="11" t="s">
        <v>19</v>
      </c>
      <c r="C14" s="27"/>
      <c r="D14" s="13" t="s">
        <v>12</v>
      </c>
      <c r="E14" s="14"/>
      <c r="F14" s="15"/>
      <c r="G14" s="16">
        <v>3250</v>
      </c>
      <c r="H14" s="17"/>
      <c r="I14" s="18">
        <v>24880</v>
      </c>
      <c r="J14" s="17"/>
      <c r="K14" s="16"/>
      <c r="L14" s="17"/>
      <c r="M14" s="16"/>
      <c r="N14" s="17"/>
      <c r="O14" s="16"/>
      <c r="P14" s="17"/>
      <c r="Q14" s="16"/>
      <c r="R14" s="17"/>
      <c r="S14" s="16"/>
      <c r="T14" s="17"/>
      <c r="U14" s="18">
        <v>94540</v>
      </c>
      <c r="V14" s="17"/>
      <c r="W14" s="16">
        <f t="shared" si="0"/>
        <v>122670</v>
      </c>
      <c r="X14" s="17"/>
    </row>
    <row r="15" ht="14.25">
      <c r="B15" s="20" t="s">
        <v>20</v>
      </c>
      <c r="C15" s="21"/>
      <c r="D15" s="22" t="s">
        <v>12</v>
      </c>
      <c r="E15" s="28"/>
      <c r="F15" s="29"/>
      <c r="G15" s="25"/>
      <c r="H15" s="24"/>
      <c r="I15" s="23"/>
      <c r="J15" s="26"/>
      <c r="K15" s="25"/>
      <c r="L15" s="24"/>
      <c r="M15" s="25"/>
      <c r="N15" s="24"/>
      <c r="O15" s="25"/>
      <c r="P15" s="24"/>
      <c r="Q15" s="25"/>
      <c r="R15" s="24"/>
      <c r="S15" s="25"/>
      <c r="T15" s="24"/>
      <c r="U15" s="23">
        <v>1910</v>
      </c>
      <c r="V15" s="26"/>
      <c r="W15" s="25">
        <f t="shared" si="0"/>
        <v>1910</v>
      </c>
      <c r="X15" s="24"/>
    </row>
    <row r="16" ht="14.25">
      <c r="B16" s="11" t="s">
        <v>20</v>
      </c>
      <c r="C16" s="27"/>
      <c r="D16" s="13" t="s">
        <v>13</v>
      </c>
      <c r="E16" s="14"/>
      <c r="F16" s="15"/>
      <c r="G16" s="18">
        <v>19520</v>
      </c>
      <c r="H16" s="17"/>
      <c r="I16" s="16"/>
      <c r="J16" s="17"/>
      <c r="K16" s="16"/>
      <c r="L16" s="17"/>
      <c r="M16" s="16"/>
      <c r="N16" s="17"/>
      <c r="O16" s="16"/>
      <c r="P16" s="17"/>
      <c r="Q16" s="16"/>
      <c r="R16" s="17"/>
      <c r="S16" s="16"/>
      <c r="T16" s="17"/>
      <c r="U16" s="18">
        <v>15820</v>
      </c>
      <c r="V16" s="17"/>
      <c r="W16" s="18">
        <f t="shared" si="0"/>
        <v>35340</v>
      </c>
      <c r="X16" s="19"/>
    </row>
    <row r="17" ht="14.25">
      <c r="B17" s="20" t="s">
        <v>21</v>
      </c>
      <c r="C17" s="21"/>
      <c r="D17" s="22" t="s">
        <v>13</v>
      </c>
      <c r="E17" s="28"/>
      <c r="F17" s="29"/>
      <c r="G17" s="25"/>
      <c r="H17" s="24"/>
      <c r="I17" s="25"/>
      <c r="J17" s="24"/>
      <c r="K17" s="25"/>
      <c r="L17" s="24"/>
      <c r="M17" s="25"/>
      <c r="N17" s="24"/>
      <c r="O17" s="25"/>
      <c r="P17" s="24"/>
      <c r="Q17" s="25"/>
      <c r="R17" s="24"/>
      <c r="S17" s="23">
        <v>21600</v>
      </c>
      <c r="T17" s="24"/>
      <c r="U17" s="25"/>
      <c r="V17" s="24"/>
      <c r="W17" s="23">
        <f t="shared" si="0"/>
        <v>21600</v>
      </c>
      <c r="X17" s="26"/>
    </row>
    <row r="18" ht="14.25">
      <c r="B18" s="11" t="s">
        <v>22</v>
      </c>
      <c r="C18" s="27"/>
      <c r="D18" s="13" t="s">
        <v>13</v>
      </c>
      <c r="E18" s="14"/>
      <c r="F18" s="15"/>
      <c r="G18" s="18">
        <v>11550</v>
      </c>
      <c r="H18" s="17"/>
      <c r="I18" s="16"/>
      <c r="J18" s="17"/>
      <c r="K18" s="16"/>
      <c r="L18" s="17"/>
      <c r="M18" s="16"/>
      <c r="N18" s="17"/>
      <c r="O18" s="16"/>
      <c r="P18" s="17"/>
      <c r="Q18" s="16"/>
      <c r="R18" s="17"/>
      <c r="S18" s="16"/>
      <c r="T18" s="17"/>
      <c r="U18" s="16"/>
      <c r="V18" s="17"/>
      <c r="W18" s="18">
        <f t="shared" si="0"/>
        <v>11550</v>
      </c>
      <c r="X18" s="19"/>
    </row>
    <row r="19" ht="14.25">
      <c r="B19" s="30" t="s">
        <v>23</v>
      </c>
      <c r="C19" s="31"/>
      <c r="D19" s="32"/>
      <c r="E19" s="33">
        <f>SUM(E4:F18)</f>
        <v>4301570</v>
      </c>
      <c r="F19" s="34"/>
      <c r="G19" s="33">
        <f>SUM(G4:H18)</f>
        <v>832935</v>
      </c>
      <c r="H19" s="34"/>
      <c r="I19" s="33">
        <f>SUM(I4:J18)</f>
        <v>132150</v>
      </c>
      <c r="J19" s="34"/>
      <c r="K19" s="33">
        <f>SUM(K4:L18)</f>
        <v>552530</v>
      </c>
      <c r="L19" s="34"/>
      <c r="M19" s="33">
        <f>SUM(M4:N18)</f>
        <v>1072340</v>
      </c>
      <c r="N19" s="34"/>
      <c r="O19" s="33">
        <f>SUM(O4:P18)</f>
        <v>48590</v>
      </c>
      <c r="P19" s="34"/>
      <c r="Q19" s="33">
        <f>SUM(Q4:R18)</f>
        <v>94880</v>
      </c>
      <c r="R19" s="34"/>
      <c r="S19" s="33">
        <f>SUM(S4:T18)</f>
        <v>21600</v>
      </c>
      <c r="T19" s="34"/>
      <c r="U19" s="33">
        <f>SUM(U4:V18)</f>
        <v>353330</v>
      </c>
      <c r="V19" s="34"/>
      <c r="W19" s="33">
        <f>SUM(E19:V19)</f>
        <v>7409925</v>
      </c>
      <c r="X19" s="34"/>
    </row>
    <row r="20" ht="14.25">
      <c r="B20" t="s">
        <v>24</v>
      </c>
      <c r="E20" s="35">
        <f>SUM(E5+E6+E8+E10+E11+E13+E16+E17+E18)</f>
        <v>4301570</v>
      </c>
      <c r="F20" s="35"/>
      <c r="G20" s="35">
        <f>SUM(G5+G6+G8+G10+G11+G13+G16+G17+G18)</f>
        <v>489935</v>
      </c>
      <c r="H20" s="35"/>
      <c r="I20" s="35">
        <f>SUM(I5+I6+I8+I10+I11+I13+I16+I17+I18)</f>
        <v>0</v>
      </c>
      <c r="J20" s="35"/>
      <c r="K20" s="35">
        <f>SUM(K5+K6+K8+K10+K11+K13+K16+K17+K18)</f>
        <v>552530</v>
      </c>
      <c r="L20" s="35"/>
      <c r="M20" s="35">
        <f>SUM(M5+M6+M8+M10+M11+M13+M16+M17+M18)</f>
        <v>1072340</v>
      </c>
      <c r="N20" s="35"/>
      <c r="O20" s="35">
        <f>SUM(O5+O6+O8+O10+O11+O13+O16+O17+O18)</f>
        <v>48590</v>
      </c>
      <c r="P20" s="35"/>
      <c r="Q20" s="35">
        <f>SUM(Q5+Q6+Q8+Q10+Q11+Q13+Q16+Q17+Q18)</f>
        <v>94880</v>
      </c>
      <c r="R20" s="35"/>
      <c r="S20" s="35">
        <f>SUM(S5+S6+S8+S10+S11+S13+S16+S17+S18)</f>
        <v>21600</v>
      </c>
      <c r="T20" s="35"/>
      <c r="U20" s="35">
        <f>SUM(U5+U6+U8+U10+U11+U13+U16+U17+U18)</f>
        <v>94470</v>
      </c>
      <c r="V20" s="35"/>
      <c r="W20" s="35">
        <f>SUM(W5+W6+W8+W10+W11+W13+W16+W17+W18)</f>
        <v>6675915</v>
      </c>
      <c r="X20" s="35"/>
    </row>
    <row r="21" ht="14.25">
      <c r="B21" t="s">
        <v>25</v>
      </c>
      <c r="E21" s="36">
        <f>SUM(E4+E7+E9+E12+E14+E15)</f>
        <v>0</v>
      </c>
      <c r="F21" s="36"/>
      <c r="G21" s="36">
        <f>SUM(G4+G7+G9+G12+G14+G15)</f>
        <v>343000</v>
      </c>
      <c r="H21" s="36"/>
      <c r="I21" s="36">
        <f>SUM(I4+I7+I9+I12+I14+I15)</f>
        <v>132150</v>
      </c>
      <c r="J21" s="36"/>
      <c r="K21" s="36">
        <f>SUM(K4+K7+K9+K12+K14+K15)</f>
        <v>0</v>
      </c>
      <c r="L21" s="36"/>
      <c r="M21" s="36">
        <f>SUM(M4+M7+M9+M12+M14+M15)</f>
        <v>0</v>
      </c>
      <c r="N21" s="36"/>
      <c r="O21" s="36">
        <f>SUM(O4+O7+O9+O12+O14+O15)</f>
        <v>0</v>
      </c>
      <c r="P21" s="36"/>
      <c r="Q21" s="36">
        <f>SUM(Q4+Q7+Q9+Q12+Q14+Q15)</f>
        <v>0</v>
      </c>
      <c r="R21" s="36"/>
      <c r="S21" s="36">
        <f>SUM(S4+S7+S9+S12+S14+S15)</f>
        <v>0</v>
      </c>
      <c r="T21" s="36"/>
      <c r="U21" s="36">
        <f>SUM(U4+U7+U9+U12+U14+U15)</f>
        <v>258860</v>
      </c>
      <c r="V21" s="36"/>
      <c r="W21" s="36">
        <f>SUM(W4+W7+W9+W12+W14+W15)</f>
        <v>734010</v>
      </c>
      <c r="X21" s="36"/>
    </row>
    <row r="22" ht="14.25"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</row>
    <row r="23" ht="14.25">
      <c r="B23" t="s">
        <v>26</v>
      </c>
      <c r="E23" s="35">
        <f>SUBTOTAL(9,E5)</f>
        <v>194880</v>
      </c>
      <c r="F23" s="35"/>
      <c r="G23" s="35">
        <f>SUBTOTAL(9,G5)</f>
        <v>0</v>
      </c>
      <c r="H23" s="35"/>
      <c r="I23" s="35">
        <f>SUBTOTAL(9,I5)</f>
        <v>0</v>
      </c>
      <c r="J23" s="35"/>
      <c r="K23" s="35">
        <f>SUBTOTAL(9,K5)</f>
        <v>0</v>
      </c>
      <c r="L23" s="35"/>
      <c r="M23" s="35">
        <f>SUBTOTAL(9,M5)</f>
        <v>0</v>
      </c>
      <c r="N23" s="35"/>
      <c r="O23" s="35">
        <f>SUBTOTAL(9,O5)</f>
        <v>48590</v>
      </c>
      <c r="P23" s="35"/>
      <c r="Q23" s="35">
        <f>SUBTOTAL(9,Q5)</f>
        <v>0</v>
      </c>
      <c r="R23" s="35"/>
      <c r="S23" s="35">
        <f>SUBTOTAL(9,S5)</f>
        <v>0</v>
      </c>
      <c r="T23" s="35"/>
      <c r="U23" s="35">
        <f>SUBTOTAL(9,U5)</f>
        <v>0</v>
      </c>
      <c r="V23" s="35"/>
      <c r="W23" s="35">
        <f>SUBTOTAL(9,W5)</f>
        <v>243470</v>
      </c>
      <c r="X23" s="35"/>
    </row>
    <row r="24" s="0" customFormat="1" ht="14.25">
      <c r="B24" t="s">
        <v>27</v>
      </c>
      <c r="E24" s="35">
        <f>SUM(E6+E8+E11+E13)</f>
        <v>3714830</v>
      </c>
      <c r="F24" s="35"/>
      <c r="G24" s="35">
        <f>SUM(G6+G8+G11+G13)</f>
        <v>45380</v>
      </c>
      <c r="H24" s="35"/>
      <c r="I24" s="35">
        <f>SUM(I6+I8+I11+I13)</f>
        <v>0</v>
      </c>
      <c r="J24" s="35"/>
      <c r="K24" s="35">
        <f>SUM(K6+K8+K11+K13)</f>
        <v>348080</v>
      </c>
      <c r="L24" s="35"/>
      <c r="M24" s="35">
        <f>SUM(M6+M8+M11+M13)</f>
        <v>1013780</v>
      </c>
      <c r="N24" s="35"/>
      <c r="O24" s="35">
        <f>SUM(O6+O8+O11+O13)</f>
        <v>0</v>
      </c>
      <c r="P24" s="35"/>
      <c r="Q24" s="35">
        <f>SUM(Q6+Q8+Q11+Q13)</f>
        <v>87730</v>
      </c>
      <c r="R24" s="35"/>
      <c r="S24" s="35">
        <f>SUM(S6+S8+S11+S13)</f>
        <v>0</v>
      </c>
      <c r="T24" s="35"/>
      <c r="U24" s="35">
        <f>SUM(U6+U8+U11+U13)</f>
        <v>78650</v>
      </c>
      <c r="V24" s="35"/>
      <c r="W24" s="35">
        <f>SUM(W6+W8+W11+W13)</f>
        <v>5288450</v>
      </c>
      <c r="X24" s="35"/>
    </row>
    <row r="25" s="0" customFormat="1" ht="14.25">
      <c r="B25" t="s">
        <v>28</v>
      </c>
      <c r="E25" s="35">
        <f>SUBTOTAL(9,E10)</f>
        <v>391860</v>
      </c>
      <c r="F25" s="35"/>
      <c r="G25" s="35">
        <f>SUBTOTAL(9,G10)</f>
        <v>413485</v>
      </c>
      <c r="H25" s="35"/>
      <c r="I25" s="35">
        <f>SUBTOTAL(9,I10)</f>
        <v>0</v>
      </c>
      <c r="J25" s="35"/>
      <c r="K25" s="35">
        <f>SUBTOTAL(9,K10)</f>
        <v>204450</v>
      </c>
      <c r="L25" s="35"/>
      <c r="M25" s="35">
        <f>SUBTOTAL(9,M10)</f>
        <v>58560</v>
      </c>
      <c r="N25" s="35"/>
      <c r="O25" s="35">
        <f>SUBTOTAL(9,O10)</f>
        <v>0</v>
      </c>
      <c r="P25" s="35"/>
      <c r="Q25" s="35">
        <f>SUBTOTAL(9,Q10)</f>
        <v>7150</v>
      </c>
      <c r="R25" s="35"/>
      <c r="S25" s="35">
        <f>SUBTOTAL(9,S10)</f>
        <v>0</v>
      </c>
      <c r="T25" s="35"/>
      <c r="U25" s="35">
        <f>SUBTOTAL(9,U10)</f>
        <v>0</v>
      </c>
      <c r="V25" s="35"/>
      <c r="W25" s="35">
        <f>SUBTOTAL(9,W10)</f>
        <v>1075505</v>
      </c>
      <c r="X25" s="35"/>
    </row>
    <row r="26" ht="14.25">
      <c r="B26" t="s">
        <v>29</v>
      </c>
      <c r="E26" s="35">
        <f>SUBTOTAL(9,E16)</f>
        <v>0</v>
      </c>
      <c r="F26" s="35"/>
      <c r="G26" s="35">
        <f>SUBTOTAL(9,G16)</f>
        <v>19520</v>
      </c>
      <c r="H26" s="35"/>
      <c r="I26" s="35">
        <f>SUBTOTAL(9,I16)</f>
        <v>0</v>
      </c>
      <c r="J26" s="35"/>
      <c r="K26" s="35">
        <f>SUBTOTAL(9,K16)</f>
        <v>0</v>
      </c>
      <c r="L26" s="35"/>
      <c r="M26" s="35">
        <f>SUBTOTAL(9,M16)</f>
        <v>0</v>
      </c>
      <c r="N26" s="35"/>
      <c r="O26" s="35">
        <f>SUBTOTAL(9,O16)</f>
        <v>0</v>
      </c>
      <c r="P26" s="35"/>
      <c r="Q26" s="35">
        <f>SUBTOTAL(9,Q16)</f>
        <v>0</v>
      </c>
      <c r="R26" s="35"/>
      <c r="S26" s="35">
        <f>SUBTOTAL(9,S16)</f>
        <v>0</v>
      </c>
      <c r="T26" s="35"/>
      <c r="U26" s="35">
        <f>SUBTOTAL(9,U16)</f>
        <v>15820</v>
      </c>
      <c r="V26" s="35"/>
      <c r="W26" s="35">
        <f>SUBTOTAL(9,W16)</f>
        <v>35340</v>
      </c>
      <c r="X26" s="35"/>
    </row>
    <row r="27" ht="14.25">
      <c r="B27" t="s">
        <v>30</v>
      </c>
      <c r="E27" s="35">
        <f>SUBTOTAL(9,E17:F18)</f>
        <v>0</v>
      </c>
      <c r="F27" s="35"/>
      <c r="G27" s="35">
        <f>SUBTOTAL(9,G17:H18)</f>
        <v>11550</v>
      </c>
      <c r="H27" s="35"/>
      <c r="I27" s="35">
        <f>SUBTOTAL(9,I17:J18)</f>
        <v>0</v>
      </c>
      <c r="J27" s="35"/>
      <c r="K27" s="35">
        <f>SUBTOTAL(9,K17:L18)</f>
        <v>0</v>
      </c>
      <c r="L27" s="35"/>
      <c r="M27" s="35">
        <f>SUBTOTAL(9,M17:N18)</f>
        <v>0</v>
      </c>
      <c r="N27" s="35"/>
      <c r="O27" s="35">
        <f>SUBTOTAL(9,O17:P18)</f>
        <v>0</v>
      </c>
      <c r="P27" s="35"/>
      <c r="Q27" s="35">
        <f>SUBTOTAL(9,Q17:R18)</f>
        <v>0</v>
      </c>
      <c r="R27" s="35"/>
      <c r="S27" s="35">
        <f>SUBTOTAL(9,S17:T18)</f>
        <v>21600</v>
      </c>
      <c r="T27" s="35"/>
      <c r="U27" s="35">
        <f>SUBTOTAL(9,U17:V18)</f>
        <v>0</v>
      </c>
      <c r="V27" s="35"/>
      <c r="W27" s="35">
        <f>SUBTOTAL(9,W17:X18)</f>
        <v>33150</v>
      </c>
      <c r="X27" s="35"/>
    </row>
    <row r="28" ht="14.25"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5"/>
      <c r="X28" s="38"/>
    </row>
    <row r="29" ht="14.25">
      <c r="B29" s="39" t="s">
        <v>31</v>
      </c>
      <c r="E29" s="40"/>
      <c r="F29" s="40"/>
      <c r="G29" s="40"/>
      <c r="H29" s="40"/>
      <c r="I29" s="41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2"/>
      <c r="X29" s="40"/>
    </row>
    <row r="30" ht="28.5">
      <c r="B30" s="43" t="s">
        <v>32</v>
      </c>
      <c r="C30" s="43"/>
      <c r="D30" s="43"/>
      <c r="E30" s="43"/>
      <c r="F30" s="43"/>
      <c r="G30" s="43"/>
      <c r="H30" s="43"/>
      <c r="I30" s="44" t="s">
        <v>33</v>
      </c>
    </row>
    <row r="31" ht="14.25">
      <c r="B31" s="45" t="s">
        <v>34</v>
      </c>
      <c r="C31" s="46"/>
      <c r="D31" s="45" t="s">
        <v>35</v>
      </c>
      <c r="E31" s="46"/>
      <c r="F31" s="46"/>
      <c r="G31" s="46"/>
      <c r="H31" s="46"/>
      <c r="I31" s="46">
        <v>1</v>
      </c>
    </row>
    <row r="32" ht="14.25">
      <c r="B32" s="46"/>
      <c r="C32" s="46"/>
      <c r="D32" s="45" t="s">
        <v>36</v>
      </c>
      <c r="E32" s="46"/>
      <c r="F32" s="46"/>
      <c r="G32" s="46"/>
      <c r="H32" s="46"/>
      <c r="I32" s="46">
        <v>2</v>
      </c>
    </row>
    <row r="33" ht="14.25">
      <c r="B33" s="46"/>
      <c r="C33" s="46"/>
      <c r="D33" s="45" t="s">
        <v>37</v>
      </c>
      <c r="E33" s="46"/>
      <c r="F33" s="46"/>
      <c r="G33" s="46"/>
      <c r="H33" s="46"/>
      <c r="I33" s="46"/>
      <c r="J33" s="47">
        <f>SUM(I31:I33)</f>
        <v>3</v>
      </c>
    </row>
    <row r="34" ht="14.25">
      <c r="B34" s="45" t="s">
        <v>38</v>
      </c>
      <c r="C34" s="46"/>
      <c r="D34" s="46" t="s">
        <v>35</v>
      </c>
      <c r="E34" s="46"/>
      <c r="F34" s="46"/>
      <c r="G34" s="46"/>
      <c r="H34" s="46"/>
      <c r="I34" s="46">
        <v>3</v>
      </c>
    </row>
    <row r="35" ht="14.25">
      <c r="B35" s="46"/>
      <c r="C35" s="46"/>
      <c r="D35" s="45" t="s">
        <v>39</v>
      </c>
      <c r="E35" s="46"/>
      <c r="F35" s="46"/>
      <c r="G35" s="46"/>
      <c r="H35" s="46"/>
      <c r="I35" s="46">
        <v>2</v>
      </c>
    </row>
    <row r="36" ht="14.25">
      <c r="B36" s="46"/>
      <c r="C36" s="46"/>
      <c r="D36" s="45" t="s">
        <v>40</v>
      </c>
      <c r="E36" s="46"/>
      <c r="F36" s="46"/>
      <c r="G36" s="46"/>
      <c r="H36" s="46"/>
      <c r="I36" s="46">
        <v>6</v>
      </c>
      <c r="J36" s="47">
        <f>SUM(I34:I36)</f>
        <v>11</v>
      </c>
    </row>
    <row r="37" ht="14.25">
      <c r="B37" s="45" t="s">
        <v>41</v>
      </c>
      <c r="C37" s="46"/>
      <c r="D37" s="48" t="s">
        <v>35</v>
      </c>
      <c r="E37" s="46"/>
      <c r="F37" s="46"/>
      <c r="G37" s="46"/>
      <c r="H37" s="46"/>
      <c r="I37" s="46">
        <v>1</v>
      </c>
    </row>
    <row r="38" ht="14.25">
      <c r="B38" s="46"/>
      <c r="C38" s="46"/>
      <c r="D38" s="46" t="s">
        <v>39</v>
      </c>
      <c r="E38" s="46"/>
      <c r="F38" s="46"/>
      <c r="G38" s="46"/>
      <c r="H38" s="46"/>
      <c r="I38" s="46">
        <v>6</v>
      </c>
    </row>
    <row r="39" ht="14.25">
      <c r="B39" s="46"/>
      <c r="C39" s="46"/>
      <c r="D39" s="46" t="s">
        <v>40</v>
      </c>
      <c r="E39" s="46"/>
      <c r="F39" s="46"/>
      <c r="G39" s="46"/>
      <c r="H39" s="46"/>
      <c r="I39" s="46"/>
      <c r="J39" s="46">
        <f>SUM(I37:I39)</f>
        <v>7</v>
      </c>
    </row>
    <row r="40" ht="14.25">
      <c r="B40" s="45" t="s">
        <v>42</v>
      </c>
      <c r="C40" s="46"/>
      <c r="D40" s="49" t="s">
        <v>43</v>
      </c>
      <c r="E40" s="46"/>
      <c r="F40" s="46"/>
      <c r="G40" s="46"/>
      <c r="H40" s="46"/>
      <c r="I40" s="46">
        <v>2</v>
      </c>
    </row>
    <row r="41" ht="14.25">
      <c r="B41" s="46"/>
      <c r="C41" s="46"/>
      <c r="D41" s="49" t="s">
        <v>44</v>
      </c>
      <c r="E41" s="46"/>
      <c r="F41" s="46"/>
      <c r="G41" s="46"/>
      <c r="H41" s="46"/>
      <c r="I41" s="46"/>
      <c r="J41" s="46">
        <f>SUM(I40:I41)</f>
        <v>2</v>
      </c>
    </row>
    <row r="42" ht="14.25">
      <c r="D42" s="50"/>
    </row>
  </sheetData>
  <autoFilter ref="B3:X26">
    <filterColumn colId="0" showButton="0"/>
    <filterColumn colId="3" showButton="0"/>
    <filterColumn colId="5" showButton="0"/>
    <filterColumn colId="7" showButton="0"/>
    <filterColumn colId="9" showButton="0"/>
    <filterColumn colId="11" showButton="0"/>
    <filterColumn colId="13" showButton="0"/>
    <filterColumn colId="15" showButton="0"/>
    <filterColumn colId="17" showButton="0"/>
    <filterColumn colId="19" showButton="0"/>
    <filterColumn colId="21" showButton="0"/>
  </autoFilter>
  <mergeCells count="269">
    <mergeCell ref="B1:X2"/>
    <mergeCell ref="B3:C3"/>
    <mergeCell ref="E3:F3"/>
    <mergeCell ref="G3:H3"/>
    <mergeCell ref="I3:J3"/>
    <mergeCell ref="K3:L3"/>
    <mergeCell ref="M3:N3"/>
    <mergeCell ref="O3:P3"/>
    <mergeCell ref="Q3:R3"/>
    <mergeCell ref="S3:T3"/>
    <mergeCell ref="U3:V3"/>
    <mergeCell ref="W3:X3"/>
    <mergeCell ref="B4:C4"/>
    <mergeCell ref="E4:F4"/>
    <mergeCell ref="G4:H4"/>
    <mergeCell ref="I4:J4"/>
    <mergeCell ref="K4:L4"/>
    <mergeCell ref="M4:N4"/>
    <mergeCell ref="O4:P4"/>
    <mergeCell ref="Q4:R4"/>
    <mergeCell ref="S4:T4"/>
    <mergeCell ref="U4:V4"/>
    <mergeCell ref="W4:X4"/>
    <mergeCell ref="B5:C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B6:C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U7:V7"/>
    <mergeCell ref="W7:X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U8:V8"/>
    <mergeCell ref="W8:X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U9:V9"/>
    <mergeCell ref="W9:X9"/>
    <mergeCell ref="B10:C10"/>
    <mergeCell ref="E10:F10"/>
    <mergeCell ref="G10:H10"/>
    <mergeCell ref="I10:J10"/>
    <mergeCell ref="K10:L10"/>
    <mergeCell ref="M10:N10"/>
    <mergeCell ref="O10:P10"/>
    <mergeCell ref="Q10:R10"/>
    <mergeCell ref="S10:T10"/>
    <mergeCell ref="U10:V10"/>
    <mergeCell ref="W10:X10"/>
    <mergeCell ref="B11:C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B12:C12"/>
    <mergeCell ref="E12:F12"/>
    <mergeCell ref="G12:H12"/>
    <mergeCell ref="I12:J12"/>
    <mergeCell ref="K12:L12"/>
    <mergeCell ref="M12:N12"/>
    <mergeCell ref="O12:P12"/>
    <mergeCell ref="Q12:R12"/>
    <mergeCell ref="S12:T12"/>
    <mergeCell ref="U12:V12"/>
    <mergeCell ref="W12:X12"/>
    <mergeCell ref="B13:C13"/>
    <mergeCell ref="E13:F13"/>
    <mergeCell ref="G13:H13"/>
    <mergeCell ref="I13:J13"/>
    <mergeCell ref="K13:L13"/>
    <mergeCell ref="M13:N13"/>
    <mergeCell ref="O13:P13"/>
    <mergeCell ref="Q13:R13"/>
    <mergeCell ref="S13:T13"/>
    <mergeCell ref="U13:V13"/>
    <mergeCell ref="W13:X13"/>
    <mergeCell ref="B14:C14"/>
    <mergeCell ref="E14:F14"/>
    <mergeCell ref="G14:H14"/>
    <mergeCell ref="I14:J14"/>
    <mergeCell ref="K14:L14"/>
    <mergeCell ref="M14:N14"/>
    <mergeCell ref="O14:P14"/>
    <mergeCell ref="Q14:R14"/>
    <mergeCell ref="S14:T14"/>
    <mergeCell ref="U14:V14"/>
    <mergeCell ref="W14:X14"/>
    <mergeCell ref="B15:C15"/>
    <mergeCell ref="E15:F15"/>
    <mergeCell ref="G15:H15"/>
    <mergeCell ref="I15:J15"/>
    <mergeCell ref="K15:L15"/>
    <mergeCell ref="M15:N15"/>
    <mergeCell ref="O15:P15"/>
    <mergeCell ref="Q15:R15"/>
    <mergeCell ref="S15:T15"/>
    <mergeCell ref="U15:V15"/>
    <mergeCell ref="W15:X15"/>
    <mergeCell ref="B16:C16"/>
    <mergeCell ref="E16:F16"/>
    <mergeCell ref="G16:H16"/>
    <mergeCell ref="I16:J16"/>
    <mergeCell ref="K16:L16"/>
    <mergeCell ref="M16:N16"/>
    <mergeCell ref="O16:P16"/>
    <mergeCell ref="Q16:R16"/>
    <mergeCell ref="S16:T16"/>
    <mergeCell ref="U16:V16"/>
    <mergeCell ref="W16:X16"/>
    <mergeCell ref="B17:C17"/>
    <mergeCell ref="E17:F17"/>
    <mergeCell ref="G17:H17"/>
    <mergeCell ref="I17:J17"/>
    <mergeCell ref="K17:L17"/>
    <mergeCell ref="M17:N17"/>
    <mergeCell ref="O17:P17"/>
    <mergeCell ref="Q17:R17"/>
    <mergeCell ref="S17:T17"/>
    <mergeCell ref="U17:V17"/>
    <mergeCell ref="W17:X17"/>
    <mergeCell ref="B18:C18"/>
    <mergeCell ref="E18:F18"/>
    <mergeCell ref="G18:H18"/>
    <mergeCell ref="I18:J18"/>
    <mergeCell ref="K18:L18"/>
    <mergeCell ref="M18:N18"/>
    <mergeCell ref="O18:P18"/>
    <mergeCell ref="Q18:R18"/>
    <mergeCell ref="S18:T18"/>
    <mergeCell ref="U18:V18"/>
    <mergeCell ref="W18:X18"/>
    <mergeCell ref="B19:C19"/>
    <mergeCell ref="E19:F19"/>
    <mergeCell ref="G19:H19"/>
    <mergeCell ref="I19:J19"/>
    <mergeCell ref="K19:L19"/>
    <mergeCell ref="M19:N19"/>
    <mergeCell ref="O19:P19"/>
    <mergeCell ref="Q19:R19"/>
    <mergeCell ref="S19:T19"/>
    <mergeCell ref="U19:V19"/>
    <mergeCell ref="W19:X19"/>
    <mergeCell ref="E20:F20"/>
    <mergeCell ref="G20:H20"/>
    <mergeCell ref="I20:J20"/>
    <mergeCell ref="K20:L20"/>
    <mergeCell ref="M20:N20"/>
    <mergeCell ref="O20:P20"/>
    <mergeCell ref="Q20:R20"/>
    <mergeCell ref="S20:T20"/>
    <mergeCell ref="U20:V20"/>
    <mergeCell ref="W20:X20"/>
    <mergeCell ref="E21:F21"/>
    <mergeCell ref="G21:H21"/>
    <mergeCell ref="I21:J21"/>
    <mergeCell ref="K21:L21"/>
    <mergeCell ref="M21:N21"/>
    <mergeCell ref="O21:P21"/>
    <mergeCell ref="Q21:R21"/>
    <mergeCell ref="S21:T21"/>
    <mergeCell ref="U21:V21"/>
    <mergeCell ref="W21:X21"/>
    <mergeCell ref="E23:F23"/>
    <mergeCell ref="G23:H23"/>
    <mergeCell ref="I23:J23"/>
    <mergeCell ref="K23:L23"/>
    <mergeCell ref="M23:N23"/>
    <mergeCell ref="O23:P23"/>
    <mergeCell ref="Q23:R23"/>
    <mergeCell ref="S23:T23"/>
    <mergeCell ref="U23:V23"/>
    <mergeCell ref="W23:X23"/>
    <mergeCell ref="E24:F24"/>
    <mergeCell ref="G24:H24"/>
    <mergeCell ref="I24:J24"/>
    <mergeCell ref="K24:L24"/>
    <mergeCell ref="M24:N24"/>
    <mergeCell ref="O24:P24"/>
    <mergeCell ref="Q24:R24"/>
    <mergeCell ref="S24:T24"/>
    <mergeCell ref="U24:V24"/>
    <mergeCell ref="W24:X24"/>
    <mergeCell ref="E25:F25"/>
    <mergeCell ref="G25:H25"/>
    <mergeCell ref="I25:J25"/>
    <mergeCell ref="K25:L25"/>
    <mergeCell ref="M25:N25"/>
    <mergeCell ref="O25:P25"/>
    <mergeCell ref="Q25:R25"/>
    <mergeCell ref="S25:T25"/>
    <mergeCell ref="U25:V25"/>
    <mergeCell ref="W25:X25"/>
    <mergeCell ref="E26:F26"/>
    <mergeCell ref="G26:H26"/>
    <mergeCell ref="I26:J26"/>
    <mergeCell ref="K26:L26"/>
    <mergeCell ref="M26:N26"/>
    <mergeCell ref="O26:P26"/>
    <mergeCell ref="Q26:R26"/>
    <mergeCell ref="S26:T26"/>
    <mergeCell ref="U26:V26"/>
    <mergeCell ref="W26:X26"/>
    <mergeCell ref="E27:F27"/>
    <mergeCell ref="G27:H27"/>
    <mergeCell ref="I27:J27"/>
    <mergeCell ref="K27:L27"/>
    <mergeCell ref="M27:N27"/>
    <mergeCell ref="O27:P27"/>
    <mergeCell ref="Q27:R27"/>
    <mergeCell ref="S27:T27"/>
    <mergeCell ref="U27:V27"/>
    <mergeCell ref="W27:X27"/>
    <mergeCell ref="E28:F28"/>
    <mergeCell ref="G28:H28"/>
    <mergeCell ref="I28:J28"/>
    <mergeCell ref="K28:L28"/>
    <mergeCell ref="M28:N28"/>
    <mergeCell ref="O28:P28"/>
    <mergeCell ref="Q28:R28"/>
    <mergeCell ref="S28:T28"/>
    <mergeCell ref="U28:V28"/>
    <mergeCell ref="W28:X28"/>
    <mergeCell ref="B30:H30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onlyoffice/9.0.3.29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Ufficio Qualità</dc:creator>
  <cp:lastModifiedBy>Massimo Parisi</cp:lastModifiedBy>
  <cp:revision>1</cp:revision>
  <dcterms:created xsi:type="dcterms:W3CDTF">2025-12-10T07:44:33Z</dcterms:created>
  <dcterms:modified xsi:type="dcterms:W3CDTF">2025-12-13T15:03:32Z</dcterms:modified>
</cp:coreProperties>
</file>