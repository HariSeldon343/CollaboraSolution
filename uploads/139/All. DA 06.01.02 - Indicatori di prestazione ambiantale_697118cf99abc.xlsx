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charts/chart12.xml" ContentType="application/vnd.openxmlformats-officedocument.drawingml.chart+xml"/>
  <Override PartName="/xl/theme/themeOverride8.xml" ContentType="application/vnd.openxmlformats-officedocument.themeOverride+xml"/>
  <Override PartName="/xl/charts/chart13.xml" ContentType="application/vnd.openxmlformats-officedocument.drawingml.chart+xml"/>
  <Override PartName="/xl/theme/themeOverride9.xml" ContentType="application/vnd.openxmlformats-officedocument.themeOverride+xml"/>
  <Override PartName="/xl/charts/chart14.xml" ContentType="application/vnd.openxmlformats-officedocument.drawingml.chart+xml"/>
  <Override PartName="/xl/theme/themeOverride10.xml" ContentType="application/vnd.openxmlformats-officedocument.themeOverride+xml"/>
  <Override PartName="/xl/charts/chart15.xml" ContentType="application/vnd.openxmlformats-officedocument.drawingml.chart+xml"/>
  <Override PartName="/xl/theme/themeOverride11.xml" ContentType="application/vnd.openxmlformats-officedocument.themeOverrid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13.xml" ContentType="application/vnd.openxmlformats-officedocument.themeOverride+xml"/>
  <Override PartName="/xl/charts/chart18.xml" ContentType="application/vnd.openxmlformats-officedocument.drawingml.chart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15.xml" ContentType="application/vnd.openxmlformats-officedocument.themeOverrid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theme/themeOverride16.xml" ContentType="application/vnd.openxmlformats-officedocument.themeOverride+xml"/>
  <Override PartName="/xl/charts/chart21.xml" ContentType="application/vnd.openxmlformats-officedocument.drawingml.chart+xml"/>
  <Override PartName="/xl/theme/themeOverride17.xml" ContentType="application/vnd.openxmlformats-officedocument.themeOverride+xml"/>
  <Override PartName="/xl/charts/chart22.xml" ContentType="application/vnd.openxmlformats-officedocument.drawingml.chart+xml"/>
  <Override PartName="/xl/theme/themeOverride18.xml" ContentType="application/vnd.openxmlformats-officedocument.themeOverride+xml"/>
  <Override PartName="/xl/charts/chart23.xml" ContentType="application/vnd.openxmlformats-officedocument.drawingml.chart+xml"/>
  <Override PartName="/xl/theme/themeOverride19.xml" ContentType="application/vnd.openxmlformats-officedocument.themeOverride+xml"/>
  <Override PartName="/xl/charts/chart24.xml" ContentType="application/vnd.openxmlformats-officedocument.drawingml.chart+xml"/>
  <Override PartName="/xl/theme/themeOverride20.xml" ContentType="application/vnd.openxmlformats-officedocument.themeOverride+xml"/>
  <Override PartName="/xl/charts/chart25.xml" ContentType="application/vnd.openxmlformats-officedocument.drawingml.chart+xml"/>
  <Override PartName="/xl/theme/themeOverride21.xml" ContentType="application/vnd.openxmlformats-officedocument.themeOverride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theme/themeOverride22.xml" ContentType="application/vnd.openxmlformats-officedocument.themeOverride+xml"/>
  <Override PartName="/xl/charts/chart27.xml" ContentType="application/vnd.openxmlformats-officedocument.drawingml.chart+xml"/>
  <Override PartName="/xl/theme/themeOverride23.xml" ContentType="application/vnd.openxmlformats-officedocument.themeOverride+xml"/>
  <Override PartName="/xl/charts/chart28.xml" ContentType="application/vnd.openxmlformats-officedocument.drawingml.chart+xml"/>
  <Override PartName="/xl/theme/themeOverride24.xml" ContentType="application/vnd.openxmlformats-officedocument.themeOverride+xml"/>
  <Override PartName="/xl/charts/chart29.xml" ContentType="application/vnd.openxmlformats-officedocument.drawingml.chart+xml"/>
  <Override PartName="/xl/theme/themeOverride25.xml" ContentType="application/vnd.openxmlformats-officedocument.themeOverride+xml"/>
  <Override PartName="/xl/charts/chart30.xml" ContentType="application/vnd.openxmlformats-officedocument.drawingml.chart+xml"/>
  <Override PartName="/xl/theme/themeOverride26.xml" ContentType="application/vnd.openxmlformats-officedocument.themeOverrid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theme/themeOverride27.xml" ContentType="application/vnd.openxmlformats-officedocument.themeOverride+xml"/>
  <Override PartName="/xl/drawings/drawing7.xml" ContentType="application/vnd.openxmlformats-officedocument.drawing+xml"/>
  <Override PartName="/xl/charts/chart32.xml" ContentType="application/vnd.openxmlformats-officedocument.drawingml.chart+xml"/>
  <Override PartName="/xl/theme/themeOverride28.xml" ContentType="application/vnd.openxmlformats-officedocument.themeOverride+xml"/>
  <Override PartName="/xl/charts/chart33.xml" ContentType="application/vnd.openxmlformats-officedocument.drawingml.chart+xml"/>
  <Override PartName="/xl/theme/themeOverride2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5\Arc\CdG QUALITA'\2. ISO 14001\ISO 14001-2015\Capitolo 06\"/>
    </mc:Choice>
  </mc:AlternateContent>
  <xr:revisionPtr revIDLastSave="0" documentId="13_ncr:1_{538FF8A8-F5C4-475E-AAF6-BABCE5A27CE1}" xr6:coauthVersionLast="47" xr6:coauthVersionMax="47" xr10:uidLastSave="{00000000-0000-0000-0000-000000000000}"/>
  <bookViews>
    <workbookView xWindow="-120" yWindow="-120" windowWidth="29040" windowHeight="15840" firstSheet="3" activeTab="9" xr2:uid="{86C8B679-D482-4490-BD81-5B416F49D2A1}"/>
  </bookViews>
  <sheets>
    <sheet name="ASPETTI AMBIENTALI SIGNIF" sheetId="7" r:id="rId1"/>
    <sheet name="CONSUMO ENERGIA ELETTRICA" sheetId="8" r:id="rId2"/>
    <sheet name="CONSUMO GAS METANO" sheetId="9" r:id="rId3"/>
    <sheet name="CONSUMI IDRICI" sheetId="10" r:id="rId4"/>
    <sheet name="SCARICO DEL DEPURATORE" sheetId="11" r:id="rId5"/>
    <sheet name="EMISSIONI IN ATMOSFERA" sheetId="12" r:id="rId6"/>
    <sheet name="RUMORI" sheetId="13" r:id="rId7"/>
    <sheet name="RIFIUTI" sheetId="14" r:id="rId8"/>
    <sheet name="FORMAZIONE" sheetId="15" r:id="rId9"/>
    <sheet name="RECLAMI AMBIENTALI" sheetId="1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1" l="1"/>
  <c r="M35" i="14"/>
  <c r="M34" i="14"/>
  <c r="M33" i="14"/>
  <c r="M32" i="14"/>
  <c r="M31" i="14"/>
  <c r="D24" i="14"/>
  <c r="C12" i="16"/>
  <c r="D12" i="15"/>
  <c r="E12" i="15"/>
  <c r="D35" i="12"/>
  <c r="E35" i="12"/>
  <c r="E26" i="12"/>
  <c r="D26" i="12"/>
  <c r="E24" i="11" l="1"/>
  <c r="D26" i="10" l="1"/>
  <c r="F48" i="9" l="1"/>
  <c r="E49" i="9"/>
  <c r="E63" i="8" l="1"/>
  <c r="E50" i="8" l="1"/>
  <c r="E47" i="9" l="1"/>
  <c r="E48" i="9"/>
  <c r="E62" i="8" l="1"/>
  <c r="F62" i="8" s="1"/>
  <c r="E49" i="8"/>
  <c r="C11" i="16"/>
  <c r="D11" i="15"/>
  <c r="E11" i="15" s="1"/>
  <c r="D23" i="14"/>
  <c r="G10" i="13"/>
  <c r="I10" i="13" s="1"/>
  <c r="D25" i="10"/>
  <c r="E25" i="10" l="1"/>
  <c r="D34" i="12"/>
  <c r="E34" i="12"/>
  <c r="D25" i="12"/>
  <c r="E25" i="12"/>
  <c r="B9" i="13"/>
  <c r="C9" i="13"/>
  <c r="D9" i="13"/>
  <c r="F9" i="13"/>
  <c r="B22" i="11"/>
  <c r="B21" i="11"/>
  <c r="B20" i="11"/>
  <c r="B6" i="11"/>
  <c r="B5" i="11"/>
  <c r="B4" i="11"/>
  <c r="G9" i="13"/>
  <c r="I9" i="13" s="1"/>
  <c r="C18" i="13"/>
  <c r="B18" i="13"/>
  <c r="C17" i="13"/>
  <c r="B17" i="13"/>
  <c r="D8" i="13"/>
  <c r="C8" i="13"/>
  <c r="B8" i="13"/>
  <c r="F8" i="13"/>
  <c r="G8" i="13" l="1"/>
  <c r="I8" i="13" s="1"/>
  <c r="J8" i="13"/>
  <c r="E20" i="11"/>
  <c r="B60" i="8" l="1"/>
  <c r="B59" i="8"/>
  <c r="E59" i="8" s="1"/>
  <c r="E61" i="8"/>
  <c r="E60" i="8"/>
  <c r="F59" i="8" s="1"/>
  <c r="F60" i="8" l="1"/>
  <c r="F61" i="8"/>
  <c r="E48" i="8"/>
  <c r="D23" i="10"/>
  <c r="D24" i="10"/>
  <c r="D22" i="10"/>
  <c r="E45" i="9"/>
  <c r="C9" i="16"/>
  <c r="C10" i="16"/>
  <c r="C8" i="16"/>
  <c r="E24" i="10" l="1"/>
  <c r="E23" i="10"/>
  <c r="E22" i="10"/>
  <c r="E33" i="12"/>
  <c r="D33" i="12"/>
  <c r="E32" i="12"/>
  <c r="D32" i="12"/>
  <c r="E31" i="12"/>
  <c r="D31" i="12"/>
  <c r="E22" i="12"/>
  <c r="E24" i="12"/>
  <c r="E23" i="12"/>
  <c r="D23" i="12"/>
  <c r="D24" i="12"/>
  <c r="D22" i="12"/>
  <c r="D9" i="15"/>
  <c r="E9" i="15" s="1"/>
  <c r="D10" i="15"/>
  <c r="E10" i="15" s="1"/>
  <c r="D20" i="14"/>
  <c r="D22" i="14"/>
  <c r="E22" i="14" s="1"/>
  <c r="D21" i="14"/>
  <c r="E20" i="14" s="1"/>
  <c r="E22" i="11"/>
  <c r="E21" i="11"/>
  <c r="B6" i="10"/>
  <c r="B5" i="10"/>
  <c r="B4" i="10"/>
  <c r="E21" i="14" l="1"/>
  <c r="F47" i="9"/>
  <c r="E46" i="9"/>
  <c r="F45" i="9" s="1"/>
  <c r="E47" i="8"/>
  <c r="E46" i="8"/>
  <c r="F4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Laboratorio</author>
  </authors>
  <commentList>
    <comment ref="B59" authorId="0" shapeId="0" xr:uid="{443B9547-22AE-4B4E-93E5-874AA7CFC711}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Linea 1 e linea 2 FMC</t>
        </r>
      </text>
    </comment>
  </commentList>
</comments>
</file>

<file path=xl/sharedStrings.xml><?xml version="1.0" encoding="utf-8"?>
<sst xmlns="http://schemas.openxmlformats.org/spreadsheetml/2006/main" count="273" uniqueCount="202">
  <si>
    <t>ASPETTI AMBIENTALI SIGNIFICATIVI E LORO GESTIONE</t>
  </si>
  <si>
    <t>1) CONSUMI ENERGETICI</t>
  </si>
  <si>
    <t>2) CONSUMI IDRICI</t>
  </si>
  <si>
    <t>3) SCARICO DEL DEPURATORE</t>
  </si>
  <si>
    <t>4) EMISSIONI IN ATMOSFERA</t>
  </si>
  <si>
    <t>5) RUMORE</t>
  </si>
  <si>
    <t>In grassetto gli aspetti ambientali significativi monitorati e per i quali è stato definito un indicatore di prestazione ambientale.</t>
  </si>
  <si>
    <t>6) EVENTO ACCIDENTALE</t>
  </si>
  <si>
    <t>7) ODORI</t>
  </si>
  <si>
    <t>8) RIFIUTI</t>
  </si>
  <si>
    <t>9) FORMAZIONE</t>
  </si>
  <si>
    <t>CONSUMI ENERGIA ELETTRICA</t>
  </si>
  <si>
    <t>ANNO</t>
  </si>
  <si>
    <t>Energia elettrica consumata [kWh]</t>
  </si>
  <si>
    <t>Costo totale [€]</t>
  </si>
  <si>
    <t>INDICATORE DEL CONSUMO DI ENERGIA ELETTRICA (E.E.)</t>
  </si>
  <si>
    <t>Frutta lavorata [kg]</t>
  </si>
  <si>
    <t>CONSUMI GAS METANO</t>
  </si>
  <si>
    <t>Metano consumato [Smc]</t>
  </si>
  <si>
    <t>CONSUMI IDRICI</t>
  </si>
  <si>
    <t>Acqua pozzo + acquedotto consumata [mc]</t>
  </si>
  <si>
    <t>-</t>
  </si>
  <si>
    <t>INDICATORE DEL CONSUMO DI GAS METANO (GM)</t>
  </si>
  <si>
    <t>Indicatore GM [Smc/kg]</t>
  </si>
  <si>
    <t>INDICATORE DEL CONSUMO IDRICO (ACQ)</t>
  </si>
  <si>
    <t>Indicatore ACQ [mc/kg]</t>
  </si>
  <si>
    <t>SCARICO DEL DEPURATORE</t>
  </si>
  <si>
    <t>Acqua reflua scaricata [mc]</t>
  </si>
  <si>
    <t>INDICATORE DELLO SCARICO DEL DEPURATORE (REF)</t>
  </si>
  <si>
    <t>ANDAMENTO DEI PRINCIPALI PARAMETRI ANALIZZATI (Lab. Esterno)</t>
  </si>
  <si>
    <t>COD [mg/l]</t>
  </si>
  <si>
    <t>Solidi sospesi totali [mg/l]</t>
  </si>
  <si>
    <t>BOD [mg/l]</t>
  </si>
  <si>
    <t>N.B. Si tratta di valori istantanei relativi al campione prelevato.</t>
  </si>
  <si>
    <t>EMISSIONI IN ATMOSFERA</t>
  </si>
  <si>
    <t>PROGRAMMA</t>
  </si>
  <si>
    <t>NOx Ossido di azoto [mg/Nmc]</t>
  </si>
  <si>
    <t>Punto di emissione E12</t>
  </si>
  <si>
    <t>Punto di emissione E13</t>
  </si>
  <si>
    <t>ANDAMENTO DEI PRINCIPALI PARAMETRI ANALIZZATI (Ditta Esterna)</t>
  </si>
  <si>
    <t>INDICATORE DEL BUON FUNZIONAMENTO DELLA CALDAIA (EM)</t>
  </si>
  <si>
    <t>N.B. Si verifica sempre il rispetto dei limiti di legge</t>
  </si>
  <si>
    <t>N. malfunzionamenti [-]</t>
  </si>
  <si>
    <t>N. interventi straordinari [-]</t>
  </si>
  <si>
    <t>Se il numero di malfunzionamenti è inferiore a 5 e il numero di interventi straordinari è inferiore a 3,</t>
  </si>
  <si>
    <t>si considera che la caldaia sta funzionando in modo efficiente</t>
  </si>
  <si>
    <t>RUMORI</t>
  </si>
  <si>
    <t>INDICATORE DELLE IDONEE CONDIZIONI RUMOROSE (RUM)</t>
  </si>
  <si>
    <t>10) RECLAMI AMBIENTALI</t>
  </si>
  <si>
    <t>RIFIUTI</t>
  </si>
  <si>
    <t>Rifiuti prodotti [kg]</t>
  </si>
  <si>
    <t>INDICATORE DELLA PRODUZIORE DI RIFIUTI (RIF)</t>
  </si>
  <si>
    <t>CER 18 01 03</t>
  </si>
  <si>
    <t>CER 15 01 10</t>
  </si>
  <si>
    <t>CER 15 01 02</t>
  </si>
  <si>
    <t>FORMAZIONE</t>
  </si>
  <si>
    <t>Interventi formativi previsti [-]</t>
  </si>
  <si>
    <t>Interventi formativi effettuati [-]</t>
  </si>
  <si>
    <t>Se il numero di interventi effettuati è minore del 90 % di quelli previsti,</t>
  </si>
  <si>
    <t>si considera insufficiente la formazione ambientale effettuata</t>
  </si>
  <si>
    <t>%</t>
  </si>
  <si>
    <t>INDICATORE DEL CORRETTO SVOLGIMENTO DELLA FORMAZIONE AMBIENTALE IN AZIENDA (FOR)</t>
  </si>
  <si>
    <t>FOR</t>
  </si>
  <si>
    <r>
      <t xml:space="preserve">Analizzando consumi e costi dell'energia elettrica per gli anni 2020-2021-2022 è possibile osservare immediatamente dai grafici gli effetti del </t>
    </r>
    <r>
      <rPr>
        <b/>
        <i/>
        <sz val="12"/>
        <color theme="1"/>
        <rFont val="Times New Roman"/>
        <family val="1"/>
      </rPr>
      <t>caro energia</t>
    </r>
    <r>
      <rPr>
        <i/>
        <sz val="12"/>
        <color theme="1"/>
        <rFont val="Times New Roman"/>
        <family val="1"/>
      </rPr>
      <t>.</t>
    </r>
  </si>
  <si>
    <r>
      <t xml:space="preserve">Analizzando consumi e costi del gas metano per gli anni 2020-2021-2022 è possibile osservare immediatamente dai grafici gli effetti del </t>
    </r>
    <r>
      <rPr>
        <b/>
        <i/>
        <sz val="12"/>
        <color theme="1"/>
        <rFont val="Times New Roman"/>
        <family val="1"/>
      </rPr>
      <t>caro energia</t>
    </r>
    <r>
      <rPr>
        <i/>
        <sz val="12"/>
        <color theme="1"/>
        <rFont val="Times New Roman"/>
        <family val="1"/>
      </rPr>
      <t>.</t>
    </r>
  </si>
  <si>
    <t xml:space="preserve">        1.1 CONSUMO ENERGIA ELETTRICA</t>
  </si>
  <si>
    <t xml:space="preserve">        1.2 CONSUMO GAS METANO</t>
  </si>
  <si>
    <t>ASPETTI AMBIENTALI SIGNIFICATIVI</t>
  </si>
  <si>
    <t>INDICATORE AMBIENTALE</t>
  </si>
  <si>
    <t>E.E.</t>
  </si>
  <si>
    <t>GM</t>
  </si>
  <si>
    <t>ACQ</t>
  </si>
  <si>
    <t>REF</t>
  </si>
  <si>
    <t>Caldaia a funzionamento combinato biogas-metano (E12)</t>
  </si>
  <si>
    <t>Caldaia a funzionamento con gas metano (E13)</t>
  </si>
  <si>
    <t>EM</t>
  </si>
  <si>
    <t>Esito malfunzionamento</t>
  </si>
  <si>
    <t>1=Buon funzionamento</t>
  </si>
  <si>
    <t>0=Attenzione! Cattivo funzionamento</t>
  </si>
  <si>
    <t>LIMITI</t>
  </si>
  <si>
    <t>RIF</t>
  </si>
  <si>
    <t>REC</t>
  </si>
  <si>
    <t>1=Rispetto degli obiettivi di formazione</t>
  </si>
  <si>
    <t>0=Attenzione! Formazione insufficiente</t>
  </si>
  <si>
    <t>N.B. Nel 2020 a causa del Covid-19 la formazione è stata minore.</t>
  </si>
  <si>
    <t>RECLAMI AMBIENTALI</t>
  </si>
  <si>
    <t>INDICATORE DEI RECLAMI AMBIENTALI (REC)</t>
  </si>
  <si>
    <t>Se il numero di reclami ambientali è minore di 3,</t>
  </si>
  <si>
    <t>N. di reclami ambientali [-]</t>
  </si>
  <si>
    <t>1=Garanzia dell'azienda a livello ambientale</t>
  </si>
  <si>
    <t>0=Attenzione! Troppi reclami</t>
  </si>
  <si>
    <t>significa che l'azienda garantisce un buon livello ambientale nello svolgimento della propria attività</t>
  </si>
  <si>
    <t>Frutta lavorata [ton]</t>
  </si>
  <si>
    <t>Indicatore E.E. [kWh/ton]</t>
  </si>
  <si>
    <t>L'indicatore così calcolato fa riferimento a tutti i consumi di energia elettrica dell'azienda.</t>
  </si>
  <si>
    <t>INDICATORE DEL CONSUMO DI ENERGIA ELETTRICA</t>
  </si>
  <si>
    <t>e li rapporta alle tonnellate di frutta trasformata.</t>
  </si>
  <si>
    <t>Indicatore  [kWh/kg]</t>
  </si>
  <si>
    <t>Succo prodotto [kg]</t>
  </si>
  <si>
    <t xml:space="preserve">Questo indicatore prende in considerazione i consumi di metano che si hanno in seguito </t>
  </si>
  <si>
    <t>all'accensione delle caldaie. Pertanto viene ottenuto rapportando tali consumi ai chilogrammi di succo prodotto.</t>
  </si>
  <si>
    <t xml:space="preserve">Questo indicatore prende in considerazione i consumi idrici in termini di acqua pozzo e acqua di acquedotto </t>
  </si>
  <si>
    <t xml:space="preserve">utilizzate per il lavaggio degli impianti, delle linee e dei serbatoi. Pertanto viene ottenuto </t>
  </si>
  <si>
    <t>rapportando tali consumi alle tonnellate di frutta lavorata.</t>
  </si>
  <si>
    <t>Questo indicatore prende in considerazione i quantitativi di acqua reflua scaricata</t>
  </si>
  <si>
    <t>Pertanto viene ottenuto rapportando tale quantità alle tonnellate di frutta lavorata.</t>
  </si>
  <si>
    <t>Indicatore REF [mc/ton]</t>
  </si>
  <si>
    <t>Campagne di sensibilizzazione dei dipendenti mirate al risparmio idrico</t>
  </si>
  <si>
    <t>Ampliamento del parco fotovoltaico aziendale. Acquisto di nuovi pannelli fotovoltaici ad integrazione di quelli già presenti in azienda. Campagne di sensibilizzazione dei dipendenti mirate al risparmio energetico</t>
  </si>
  <si>
    <t>CO [mg/Nmc]</t>
  </si>
  <si>
    <t>HCl [mg/Nmc]</t>
  </si>
  <si>
    <t>SOV [mg/Nmc]</t>
  </si>
  <si>
    <t>&lt;1</t>
  </si>
  <si>
    <t>ANDAMENTO DEI PRINCIPALI PARAMETRI ANALIZZATI (Valore medio annuo - Analisi interne)</t>
  </si>
  <si>
    <t>CRITERI DI MONITORAGGIO</t>
  </si>
  <si>
    <t>Monitoraggio costante dei parametri di processo e garanzia del rispetto dei limiti di legge</t>
  </si>
  <si>
    <t>Rep. trasformazione [dBA]</t>
  </si>
  <si>
    <t>Rep. produzione [dBA]</t>
  </si>
  <si>
    <t>Rep. concentratore [dBA]</t>
  </si>
  <si>
    <t>Rep. depurazione [dBA]</t>
  </si>
  <si>
    <t>Uffici [dBA]</t>
  </si>
  <si>
    <t>Valore medio diurno [dBA]</t>
  </si>
  <si>
    <t>Valore medio notturno [dBA]</t>
  </si>
  <si>
    <t>ESPOSIZIONE DEI LAVORATORI AL RUMORE (RUM lav)</t>
  </si>
  <si>
    <t>RUMORE ESTERNO (RUM ex)</t>
  </si>
  <si>
    <t>RUM lav</t>
  </si>
  <si>
    <t>RUM ex</t>
  </si>
  <si>
    <t xml:space="preserve">        5.2 RUMORE ESTERNO</t>
  </si>
  <si>
    <t>Simulazioni periodiche di eventi accidentali e redazione dei relativi verbali</t>
  </si>
  <si>
    <t>Utilizzo del sistema di deodorizzazione posto nel reparto depurazione</t>
  </si>
  <si>
    <t>Indicatore RIF [kg/ton]</t>
  </si>
  <si>
    <t>Valore medio aziendale [dBA]</t>
  </si>
  <si>
    <t>Ore lavorate totali [ore]</t>
  </si>
  <si>
    <t>RUM lav [dBA/ora]</t>
  </si>
  <si>
    <t>Δ</t>
  </si>
  <si>
    <t>Acqua (pozzo + acquedotto) consumata [mc]</t>
  </si>
  <si>
    <t xml:space="preserve">        5.1 ESPOSIZIONE DEI LAVORATORI    AL RUMORE</t>
  </si>
  <si>
    <t>CER 17 05 04</t>
  </si>
  <si>
    <t>CER 17 09 04</t>
  </si>
  <si>
    <t>CER 16 05 06</t>
  </si>
  <si>
    <t>CER 02 07 04</t>
  </si>
  <si>
    <t>Se il numero di malfunzionamenti è inferiore a 5 e il numero di interventi straordinari è inferiore a 3, si considera che la caldaia sta funzionando in modo efficiente.</t>
  </si>
  <si>
    <t>Se lo scostamento tra un anno e il successivo è inferiore a 1, i consumi si considerano accettabili. In caso contrario è necessario intervenire per garantire consumi minori.</t>
  </si>
  <si>
    <t xml:space="preserve">Se lo scostamento tra un anno e il successivo è inferiore 0.5, si considerano accettabili le condizioni lavorative. </t>
  </si>
  <si>
    <t>Campagne di sensibilizzazione dei dipendenti mirate al corretto utilizzo dei DPI</t>
  </si>
  <si>
    <t>Se lo scostamento tra un anno e il successivo è inferiore a 1, i quantitativi di rifiuti prodotti si considerano accettabili. In caso contrario è necessario intervenire per garantire una minore produzione di rifiuti e una maggiore attenzione alla raccolta differenziata.</t>
  </si>
  <si>
    <t>Se il numero di interventi effettuati è minore del 90 % di quelli previsti, si considera insufficiente la formazione ambientale effettuata.</t>
  </si>
  <si>
    <t>Se il numero di reclami ambientali è minore di 3, significa che l'azienda garantisce un buon livello ambientale nello svolgimento della propria attività.</t>
  </si>
  <si>
    <t>Maggiore utilizzo del biogas prodotto dai due digestori anaerobici a servizio dell'impianto di depurazione aziendale</t>
  </si>
  <si>
    <r>
      <t xml:space="preserve">Questo indicatore prende in considerazione i consumi di energia elettrica del </t>
    </r>
    <r>
      <rPr>
        <b/>
        <i/>
        <sz val="12"/>
        <color theme="1"/>
        <rFont val="Times New Roman"/>
        <family val="1"/>
      </rPr>
      <t xml:space="preserve">reparto trasformazione </t>
    </r>
  </si>
  <si>
    <t>Nel 2023 il costo dell'energia elettrica si è ridotto rispetto al 2022, ma continua a mantenersi superiore rispetto agli anni precedenti alla guerra in Ucraina e al Coronavirus.</t>
  </si>
  <si>
    <t>Ad esempio confrontando il 2021 e il 2023, il costo annuo è pressochè simile, ma i consumi per il 2021 sono molto maggiori rispetto al 2023.</t>
  </si>
  <si>
    <t>Nel 2023 il costo del gas metano si è ridotto rispetto al 2022, ma continua a mantenersi superiore rispetto agli anni precedenti alla guerra in Ucraina e al Coronavirus.</t>
  </si>
  <si>
    <t>Pertanto gli effetti dovuti agli eventi che interessano il panorama mondiale, continuano ad influire sul costo del gas, anche se in maniera meno importante.</t>
  </si>
  <si>
    <t xml:space="preserve">Confrontando il 2020 e il 2022 è possibile osservare che il quantitativo di succo prodotto si è dimezzato, mentre </t>
  </si>
  <si>
    <t>il consumo di metano si è ridotto rispetto alla metà del 2020.</t>
  </si>
  <si>
    <t xml:space="preserve">Nel 2023 l'alto valore dell'indicatore GM è probabilmente dovuto alle diverse modalità di lavoro della caldaia </t>
  </si>
  <si>
    <t>e al maggiore utilizzo del concentratore.</t>
  </si>
  <si>
    <t>CER 13 02 08</t>
  </si>
  <si>
    <t>Nel 2024 il costo dell'energia elettrica si è ridotto ulteriormente rispetto agli anni precedenti, anche se di poco.</t>
  </si>
  <si>
    <t>Pertanto gli effetti dovuti agli eventi che interessano il panorama mondiale, continuano ad influire sul costo dell'energia, anche se in maniera molto meno importante.</t>
  </si>
  <si>
    <t>Il 2022 è l'anno in cui si evidenzia maggiormente l'aumento del costo del gas metano, che vede una lieve diminuzione per l'anno 2023.</t>
  </si>
  <si>
    <t>Nel 2024 il costo del gas metano si è ridotto ulteriormente rispetto agli anni precedenti, anche se di poco.</t>
  </si>
  <si>
    <t>Nel 2024 l'indicatore GM si è nuovamente abbassato, probabilmente per un minore uso del concentratore FMC.</t>
  </si>
  <si>
    <t xml:space="preserve">Aggiornato all'anno 2024: non sono state apportate modifiche sostanziali in azienda, pertanto si può </t>
  </si>
  <si>
    <t>considerare che le condizioni di rumore sono rimaste invariate.</t>
  </si>
  <si>
    <t>Nel 2023 le analisi sono state effettuate con flussi di massa di 85 g/h, 23 g/h, 17 g/h</t>
  </si>
  <si>
    <t>Nel 2023 le analisi sono state effettuate con flussi di massa di 352 g/h</t>
  </si>
  <si>
    <t>Nel 2024 le analisi sono state effettuate con un flusso di massa di 1945 g/h, 47 g/h, 107 g/h</t>
  </si>
  <si>
    <t>Nel 2024 le analisi sono state effettuate con un flusso di massa di 1940 g/h</t>
  </si>
  <si>
    <t>CER 17 04 02</t>
  </si>
  <si>
    <t>CER 17 06 04</t>
  </si>
  <si>
    <t>CER 17 04 05</t>
  </si>
  <si>
    <t>CODICI CER</t>
  </si>
  <si>
    <t>15 01 02</t>
  </si>
  <si>
    <t>17 05 04</t>
  </si>
  <si>
    <t xml:space="preserve">17 09 04 </t>
  </si>
  <si>
    <t>16 05 06</t>
  </si>
  <si>
    <t>Sostanze chimiche di laboratorio contenenti o costituite da sostanze pericolose, comprese le miscele di sostanze chimiche di laboratorio</t>
  </si>
  <si>
    <t>02 07 04</t>
  </si>
  <si>
    <t>13 02 08</t>
  </si>
  <si>
    <t>17 04 02</t>
  </si>
  <si>
    <t>17 06 04</t>
  </si>
  <si>
    <t>17 04 05</t>
  </si>
  <si>
    <t>Rifiuti solidi di laboratorio</t>
  </si>
  <si>
    <t>Scarti inutilizzabili per il consumo e la trasformazione</t>
  </si>
  <si>
    <t>Imballaggi contnenti residui di sostanze pericolose o contaminati da tali sostanze</t>
  </si>
  <si>
    <t>18 01 03*</t>
  </si>
  <si>
    <t>15 01 10*</t>
  </si>
  <si>
    <t>Olio esausto</t>
  </si>
  <si>
    <t>Imballaggi in plastica</t>
  </si>
  <si>
    <t>Materiale di risulta</t>
  </si>
  <si>
    <t>Materiale da demolizione</t>
  </si>
  <si>
    <t>Materiali isolanti diversi da quelli alle cui voci 17 06 01* e 17 06 03*</t>
  </si>
  <si>
    <t>Alluminio</t>
  </si>
  <si>
    <t>Ferro e acciaio</t>
  </si>
  <si>
    <t>% rifiuti a recupero</t>
  </si>
  <si>
    <t>Ogni anno la percentuale di rifiuti inviata a recupero è molto elevata, poiché i rifiuti prodotti sono quasi sempre rifiuti che possono essere recuperati e non smaltiti.</t>
  </si>
  <si>
    <t>Nel 2022 la percentuale di rifiuti inviati a recupero è inferiore perché è stata mandata a smaltimento una cisterna di succo dopo emissione di un verbale da parte dei NAS.</t>
  </si>
  <si>
    <t>ANDAMENTO DEI PRINCIPALI RIFIUTI PRODOTTI (kg di rifiuti accettati da formulario)</t>
  </si>
  <si>
    <t>= A recupero</t>
  </si>
  <si>
    <t>= A smaltimento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</si>
</sst>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#,##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9" tint="0.3999755851924192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wrapText="1"/>
    </xf>
    <xf numFmtId="3" fontId="8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166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4" fontId="1" fillId="8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2" fillId="0" borderId="0" xfId="0" quotePrefix="1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6600"/>
      <color rgb="FF873AC0"/>
      <color rgb="FFD20000"/>
      <color rgb="FFFF7D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[kWh/kg]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ELETTRICA'!$E$46</c:f>
              <c:numCache>
                <c:formatCode>#,##0.00</c:formatCode>
                <c:ptCount val="1"/>
                <c:pt idx="0">
                  <c:v>0.13104023511566174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2-48E7-91DF-BF0FC4810749}"/>
            </c:ext>
          </c:extLst>
        </c:ser>
        <c:ser>
          <c:idx val="1"/>
          <c:order val="1"/>
          <c:tx>
            <c:v>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ELETTRICA'!$E$47</c:f>
              <c:numCache>
                <c:formatCode>#,##0.00</c:formatCode>
                <c:ptCount val="1"/>
                <c:pt idx="0">
                  <c:v>0.10310142477061938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2-48E7-91DF-BF0FC4810749}"/>
            </c:ext>
          </c:extLst>
        </c:ser>
        <c:ser>
          <c:idx val="2"/>
          <c:order val="2"/>
          <c:tx>
            <c:v>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ELETTRICA'!$E$48</c:f>
              <c:numCache>
                <c:formatCode>#,##0.00</c:formatCode>
                <c:ptCount val="1"/>
                <c:pt idx="0">
                  <c:v>0.25506115163743598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2-48E7-91DF-BF0FC4810749}"/>
            </c:ext>
          </c:extLst>
        </c:ser>
        <c:ser>
          <c:idx val="3"/>
          <c:order val="3"/>
          <c:tx>
            <c:v>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-3.7558685446009389E-3"/>
                  <c:y val="0.24606580829756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88-4356-803E-0B8AE898B8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ELETTRICA'!$E$49</c:f>
              <c:numCache>
                <c:formatCode>#,##0.00</c:formatCode>
                <c:ptCount val="1"/>
                <c:pt idx="0">
                  <c:v>0.33592795615942028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8-4356-803E-0B8AE898B85C}"/>
            </c:ext>
          </c:extLst>
        </c:ser>
        <c:ser>
          <c:idx val="4"/>
          <c:order val="4"/>
          <c:tx>
            <c:v>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31233595800524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9-42DF-AFC9-8EC1C7123C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ELETTRICA'!$E$50</c:f>
              <c:numCache>
                <c:formatCode>#,##0.00</c:formatCode>
                <c:ptCount val="1"/>
                <c:pt idx="0">
                  <c:v>0.20330209179437533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9-42DF-AFC9-8EC1C7123C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217273442570227"/>
          <c:y val="0.86806952280571226"/>
          <c:w val="0.8084752206849416"/>
          <c:h val="8.905077810155620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E.E. [kWh/ton]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E.E.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ELETTRICA'!$E$59</c:f>
              <c:numCache>
                <c:formatCode>#,##0.00</c:formatCode>
                <c:ptCount val="1"/>
                <c:pt idx="0">
                  <c:v>0.3744027303754266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4-4A09-978D-985974EFABD9}"/>
            </c:ext>
          </c:extLst>
        </c:ser>
        <c:ser>
          <c:idx val="1"/>
          <c:order val="1"/>
          <c:tx>
            <c:v>E.E.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ELETTRICA'!$E$60</c:f>
              <c:numCache>
                <c:formatCode>#,##0.00</c:formatCode>
                <c:ptCount val="1"/>
                <c:pt idx="0">
                  <c:v>0.27739513141208944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4-4A09-978D-985974EFABD9}"/>
            </c:ext>
          </c:extLst>
        </c:ser>
        <c:ser>
          <c:idx val="2"/>
          <c:order val="2"/>
          <c:tx>
            <c:v>E.E.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ELETTRICA'!$E$61</c:f>
              <c:numCache>
                <c:formatCode>#,##0.00</c:formatCode>
                <c:ptCount val="1"/>
                <c:pt idx="0">
                  <c:v>0.3125097004501009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4-4A09-978D-985974EFABD9}"/>
            </c:ext>
          </c:extLst>
        </c:ser>
        <c:ser>
          <c:idx val="3"/>
          <c:order val="3"/>
          <c:tx>
            <c:v>E.E.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250284503788128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66-434E-901E-3E7377F11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ELETTRICA'!$E$62</c:f>
              <c:numCache>
                <c:formatCode>#,##0.00</c:formatCode>
                <c:ptCount val="1"/>
                <c:pt idx="0">
                  <c:v>0.34891304347826085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6-434E-901E-3E7377F11731}"/>
            </c:ext>
          </c:extLst>
        </c:ser>
        <c:ser>
          <c:idx val="4"/>
          <c:order val="4"/>
          <c:tx>
            <c:v>E.E.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-1.1238695201562476E-16"/>
                  <c:y val="0.11831631088166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14-4A27-A243-87148857D2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ELETTRICA'!$E$63</c:f>
              <c:numCache>
                <c:formatCode>#,##0.00</c:formatCode>
                <c:ptCount val="1"/>
                <c:pt idx="0">
                  <c:v>0.30284138592494902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4-4A27-A243-87148857D2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208336199354391"/>
          <c:y val="0.87728140506173091"/>
          <c:w val="0.70603879666018654"/>
          <c:h val="7.539632545931758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E.E. consumata [kWh]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E.E. consumata 2020</c:v>
          </c:tx>
          <c:spPr>
            <a:solidFill>
              <a:srgbClr val="D2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D20000"/>
              </a:solidFill>
              <a:ln>
                <a:solidFill>
                  <a:srgbClr val="D2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D5B-410C-8C68-04B4BCE1B5F2}"/>
              </c:ext>
            </c:extLst>
          </c:dPt>
          <c:dLbls>
            <c:dLbl>
              <c:idx val="0"/>
              <c:layout>
                <c:manualLayout>
                  <c:x val="5.4090601757944062E-3"/>
                  <c:y val="0.11247295045978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5B-410C-8C68-04B4BCE1B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ELETTRICA'!$B$4</c:f>
              <c:numCache>
                <c:formatCode>#,##0</c:formatCode>
                <c:ptCount val="1"/>
                <c:pt idx="0">
                  <c:v>3455531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B-410C-8C68-04B4BCE1B5F2}"/>
            </c:ext>
          </c:extLst>
        </c:ser>
        <c:ser>
          <c:idx val="1"/>
          <c:order val="1"/>
          <c:tx>
            <c:v>E.E. consumata 2021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1247295045978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5B-410C-8C68-04B4BCE1B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ELETTRICA'!$B$5</c:f>
              <c:numCache>
                <c:formatCode>#,##0</c:formatCode>
                <c:ptCount val="1"/>
                <c:pt idx="0">
                  <c:v>4146430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B-410C-8C68-04B4BCE1B5F2}"/>
            </c:ext>
          </c:extLst>
        </c:ser>
        <c:ser>
          <c:idx val="2"/>
          <c:order val="2"/>
          <c:tx>
            <c:v>E.E. consumata 2022</c:v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  <c:invertIfNegative val="0"/>
          <c:dLbls>
            <c:dLbl>
              <c:idx val="0"/>
              <c:layout>
                <c:manualLayout>
                  <c:x val="-9.9164957660845386E-17"/>
                  <c:y val="0.103821185039803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5B-410C-8C68-04B4BCE1B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ELETTRICA'!$B$6</c:f>
              <c:numCache>
                <c:formatCode>#,##0</c:formatCode>
                <c:ptCount val="1"/>
                <c:pt idx="0">
                  <c:v>3286718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5B-410C-8C68-04B4BCE1B5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7.4236657917760383E-3"/>
          <c:y val="0.84087641218760778"/>
          <c:w val="0.99257633420822333"/>
          <c:h val="0.1342788673154987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E.E. consumata [kWh]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E.E. consumata 2023</c:v>
          </c:tx>
          <c:spPr>
            <a:solidFill>
              <a:srgbClr val="7030A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873AC0"/>
              </a:solidFill>
              <a:ln>
                <a:solidFill>
                  <a:srgbClr val="873A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1DC6-47A8-808C-D39D617E2336}"/>
              </c:ext>
            </c:extLst>
          </c:dPt>
          <c:dLbls>
            <c:dLbl>
              <c:idx val="0"/>
              <c:layout>
                <c:manualLayout>
                  <c:x val="4.7309284447072742E-3"/>
                  <c:y val="0.13353118846963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C6-47A8-808C-D39D617E23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ELETTRICA'!$B$7</c:f>
              <c:numCache>
                <c:formatCode>#,##0</c:formatCode>
                <c:ptCount val="1"/>
                <c:pt idx="0">
                  <c:v>2781483.477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6-47A8-808C-D39D617E2336}"/>
            </c:ext>
          </c:extLst>
        </c:ser>
        <c:ser>
          <c:idx val="1"/>
          <c:order val="1"/>
          <c:tx>
            <c:v>E.E. consumata 2024</c:v>
          </c:tx>
          <c:spPr>
            <a:solidFill>
              <a:srgbClr val="FF7D25"/>
            </a:solidFill>
            <a:ln>
              <a:solidFill>
                <a:srgbClr val="FF7D25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33531188469634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C6-47A8-808C-D39D617E23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ELETTRICA'!$B$8</c:f>
              <c:numCache>
                <c:formatCode>#,##0</c:formatCode>
                <c:ptCount val="1"/>
                <c:pt idx="0">
                  <c:v>3391455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6-47A8-808C-D39D617E23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3265252694192017E-2"/>
          <c:y val="0.85093812158081039"/>
          <c:w val="0.91243217689631595"/>
          <c:h val="0.13111192681112196"/>
        </c:manualLayout>
      </c:layout>
      <c:overlay val="0"/>
      <c:spPr>
        <a:noFill/>
      </c:sp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E.E. consumata [kWh]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E.E. consumata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8.6384950978536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6C-4877-BB7F-5B65B7CA8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ELETTRICA'!$B$4</c:f>
              <c:numCache>
                <c:formatCode>#,##0</c:formatCode>
                <c:ptCount val="1"/>
                <c:pt idx="0">
                  <c:v>3455531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877-BB7F-5B65B7CA8E75}"/>
            </c:ext>
          </c:extLst>
        </c:ser>
        <c:ser>
          <c:idx val="1"/>
          <c:order val="1"/>
          <c:tx>
            <c:v>E.E. consumata 2021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6.6696212996994236E-17"/>
                  <c:y val="9.3896685846235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6C-4877-BB7F-5B65B7CA8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ELETTRICA'!$B$5</c:f>
              <c:numCache>
                <c:formatCode>#,##0</c:formatCode>
                <c:ptCount val="1"/>
                <c:pt idx="0">
                  <c:v>4146430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C-4877-BB7F-5B65B7CA8E75}"/>
            </c:ext>
          </c:extLst>
        </c:ser>
        <c:ser>
          <c:idx val="2"/>
          <c:order val="2"/>
          <c:tx>
            <c:v>E.E. consumata 2022</c:v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014081841238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6C-4877-BB7F-5B65B7CA8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ELETTRICA'!$B$6</c:f>
              <c:numCache>
                <c:formatCode>#,##0</c:formatCode>
                <c:ptCount val="1"/>
                <c:pt idx="0">
                  <c:v>3286718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C-4877-BB7F-5B65B7CA8E75}"/>
            </c:ext>
          </c:extLst>
        </c:ser>
        <c:ser>
          <c:idx val="3"/>
          <c:order val="3"/>
          <c:tx>
            <c:v>E.E. consumata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7652553280084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6C-4877-BB7F-5B65B7CA8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ELETTRICA'!$B$7</c:f>
              <c:numCache>
                <c:formatCode>#,##0</c:formatCode>
                <c:ptCount val="1"/>
                <c:pt idx="0">
                  <c:v>2781483.477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6C-4877-BB7F-5B65B7CA8E75}"/>
            </c:ext>
          </c:extLst>
        </c:ser>
        <c:ser>
          <c:idx val="4"/>
          <c:order val="4"/>
          <c:tx>
            <c:v>E.E. consumata 2024</c:v>
          </c:tx>
          <c:invertIfNegative val="0"/>
          <c:dPt>
            <c:idx val="0"/>
            <c:invertIfNegative val="0"/>
            <c:bubble3D val="0"/>
            <c:spPr>
              <a:solidFill>
                <a:srgbClr val="FF7D25"/>
              </a:solidFill>
              <a:ln>
                <a:solidFill>
                  <a:srgbClr val="FF7D2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66C-4877-BB7F-5B65B7CA8E75}"/>
              </c:ext>
            </c:extLst>
          </c:dPt>
          <c:dLbls>
            <c:dLbl>
              <c:idx val="0"/>
              <c:layout>
                <c:manualLayout>
                  <c:x val="0"/>
                  <c:y val="9.014081841238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6C-4877-BB7F-5B65B7CA8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ELETTRICA'!$B$8</c:f>
              <c:numCache>
                <c:formatCode>#,##0</c:formatCode>
                <c:ptCount val="1"/>
                <c:pt idx="0">
                  <c:v>3391455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6C-4877-BB7F-5B65B7CA8E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3265252694192017E-2"/>
          <c:y val="0.85093812158081039"/>
          <c:w val="0.91243217689631595"/>
          <c:h val="0.13111192681112196"/>
        </c:manualLayout>
      </c:layout>
      <c:overlay val="0"/>
      <c:spPr>
        <a:noFill/>
      </c:sp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Costo E.E.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E.E.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8814229249011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70-43D2-A5E2-1CA685F8B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ELETTRICA'!$C$4</c:f>
              <c:numCache>
                <c:formatCode>#,##0.00</c:formatCode>
                <c:ptCount val="1"/>
                <c:pt idx="0">
                  <c:v>456874.17999999993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0-43D2-A5E2-1CA685F8B61B}"/>
            </c:ext>
          </c:extLst>
        </c:ser>
        <c:ser>
          <c:idx val="1"/>
          <c:order val="1"/>
          <c:tx>
            <c:v>Costo E.E. 2021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2.6990553306342779E-3"/>
                  <c:y val="9.8814229249011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70-43D2-A5E2-1CA685F8B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ELETTRICA'!$C$5</c:f>
              <c:numCache>
                <c:formatCode>#,##0.00</c:formatCode>
                <c:ptCount val="1"/>
                <c:pt idx="0">
                  <c:v>897971.01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0-43D2-A5E2-1CA685F8B61B}"/>
            </c:ext>
          </c:extLst>
        </c:ser>
        <c:ser>
          <c:idx val="2"/>
          <c:order val="2"/>
          <c:tx>
            <c:v>Costo E.E. 2022</c:v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  <c:invertIfNegative val="0"/>
          <c:dLbls>
            <c:dLbl>
              <c:idx val="0"/>
              <c:layout>
                <c:manualLayout>
                  <c:x val="-9.8964218880155408E-17"/>
                  <c:y val="9.4861660079051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70-43D2-A5E2-1CA685F8B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ELETTRICA'!$C$6</c:f>
              <c:numCache>
                <c:formatCode>#,##0.00</c:formatCode>
                <c:ptCount val="1"/>
                <c:pt idx="0">
                  <c:v>1427223.1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0-43D2-A5E2-1CA685F8B6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10336"/>
        <c:axId val="123197632"/>
      </c:barChart>
      <c:catAx>
        <c:axId val="15611033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23197632"/>
        <c:crosses val="autoZero"/>
        <c:auto val="1"/>
        <c:lblAlgn val="ctr"/>
        <c:lblOffset val="100"/>
        <c:noMultiLvlLbl val="0"/>
      </c:catAx>
      <c:valAx>
        <c:axId val="12319763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56110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Costo E.E.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E.E.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08180311877308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98-459B-9B2E-35B8E1D64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ELETTRICA'!$C$7</c:f>
              <c:numCache>
                <c:formatCode>#,##0.00</c:formatCode>
                <c:ptCount val="1"/>
                <c:pt idx="0">
                  <c:v>887352.42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8-459B-9B2E-35B8E1D64A67}"/>
            </c:ext>
          </c:extLst>
        </c:ser>
        <c:ser>
          <c:idx val="1"/>
          <c:order val="1"/>
          <c:tx>
            <c:v>Costo E.E.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-8.4826457873566055E-17"/>
                  <c:y val="0.104173633659630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98-459B-9B2E-35B8E1D64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ELETTRICA'!$C$8</c:f>
              <c:numCache>
                <c:formatCode>#,##0.00</c:formatCode>
                <c:ptCount val="1"/>
                <c:pt idx="0">
                  <c:v>862055.51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8-459B-9B2E-35B8E1D64A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74320128"/>
        <c:axId val="133295488"/>
      </c:barChart>
      <c:catAx>
        <c:axId val="17432012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5488"/>
        <c:crosses val="autoZero"/>
        <c:auto val="1"/>
        <c:lblAlgn val="ctr"/>
        <c:lblOffset val="100"/>
        <c:noMultiLvlLbl val="0"/>
      </c:catAx>
      <c:valAx>
        <c:axId val="13329548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74320128"/>
        <c:crosses val="autoZero"/>
        <c:crossBetween val="between"/>
        <c:majorUnit val="5000"/>
      </c:valAx>
    </c:plotArea>
    <c:legend>
      <c:legendPos val="b"/>
      <c:layout>
        <c:manualLayout>
          <c:xMode val="edge"/>
          <c:yMode val="edge"/>
          <c:x val="6.7728199104780784E-2"/>
          <c:y val="0.92058499892577561"/>
          <c:w val="0.91605378285473593"/>
          <c:h val="5.866572341866405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Costo E.E.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E.E.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dLbl>
              <c:idx val="0"/>
              <c:layout>
                <c:manualLayout>
                  <c:x val="1.8143334053352259E-3"/>
                  <c:y val="8.6384976525821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51-4BCE-AAB5-A9518EC99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ELETTRICA'!$C$4</c:f>
              <c:numCache>
                <c:formatCode>#,##0.00</c:formatCode>
                <c:ptCount val="1"/>
                <c:pt idx="0">
                  <c:v>456874.17999999993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1-4BCE-AAB5-A9518EC998E9}"/>
            </c:ext>
          </c:extLst>
        </c:ser>
        <c:ser>
          <c:idx val="1"/>
          <c:order val="1"/>
          <c:tx>
            <c:v>Costo E.E.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dLbl>
              <c:idx val="0"/>
              <c:layout>
                <c:manualLayout>
                  <c:x val="1.8143334053352259E-3"/>
                  <c:y val="9.7652582159624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F51-4BCE-AAB5-A9518EC99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ELETTRICA'!$C$5</c:f>
              <c:numCache>
                <c:formatCode>#,##0.00</c:formatCode>
                <c:ptCount val="1"/>
                <c:pt idx="0">
                  <c:v>897971.01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1-4BCE-AAB5-A9518EC998E9}"/>
            </c:ext>
          </c:extLst>
        </c:ser>
        <c:ser>
          <c:idx val="2"/>
          <c:order val="2"/>
          <c:tx>
            <c:v>Costo E.E.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0140845070422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51-4BCE-AAB5-A9518EC99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'CONSUMO ENERGIA ELETTRICA'!$C$6</c:f>
              <c:numCache>
                <c:formatCode>#,##0.00</c:formatCode>
                <c:ptCount val="1"/>
                <c:pt idx="0">
                  <c:v>1427223.1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1-4BCE-AAB5-A9518EC998E9}"/>
            </c:ext>
          </c:extLst>
        </c:ser>
        <c:ser>
          <c:idx val="3"/>
          <c:order val="3"/>
          <c:tx>
            <c:v>Costo E.E.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7652582159624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51-4BCE-AAB5-A9518EC99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ENERGIA ELETTRICA'!$C$7</c:f>
              <c:numCache>
                <c:formatCode>#,##0.00</c:formatCode>
                <c:ptCount val="1"/>
                <c:pt idx="0">
                  <c:v>887352.42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1-4BCE-AAB5-A9518EC998E9}"/>
            </c:ext>
          </c:extLst>
        </c:ser>
        <c:ser>
          <c:idx val="4"/>
          <c:order val="4"/>
          <c:tx>
            <c:v>Costo E.E.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3.6286668106704518E-3"/>
                  <c:y val="9.0140845070422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51-4BCE-AAB5-A9518EC99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ENERGIA ELETTRICA'!$C$8</c:f>
              <c:numCache>
                <c:formatCode>#,##0.00</c:formatCode>
                <c:ptCount val="1"/>
                <c:pt idx="0">
                  <c:v>862055.51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51-4BCE-AAB5-A9518EC998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74320128"/>
        <c:axId val="133295488"/>
      </c:barChart>
      <c:catAx>
        <c:axId val="17432012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5488"/>
        <c:crosses val="autoZero"/>
        <c:auto val="1"/>
        <c:lblAlgn val="ctr"/>
        <c:lblOffset val="100"/>
        <c:noMultiLvlLbl val="0"/>
      </c:catAx>
      <c:valAx>
        <c:axId val="13329548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743201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7728199104780784E-2"/>
          <c:y val="0.92058499892577561"/>
          <c:w val="0.91605378285473593"/>
          <c:h val="5.866572341866405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METANO'!$B$4</c:f>
              <c:numCache>
                <c:formatCode>#,##0</c:formatCode>
                <c:ptCount val="1"/>
                <c:pt idx="0">
                  <c:v>1145030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0-4CBB-8011-FDFB2B86F2A8}"/>
            </c:ext>
          </c:extLst>
        </c:ser>
        <c:ser>
          <c:idx val="1"/>
          <c:order val="1"/>
          <c:tx>
            <c:v>Gas metano consumato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METANO'!$B$5</c:f>
              <c:numCache>
                <c:formatCode>#,##0</c:formatCode>
                <c:ptCount val="1"/>
                <c:pt idx="0">
                  <c:v>890901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0-4CBB-8011-FDFB2B86F2A8}"/>
            </c:ext>
          </c:extLst>
        </c:ser>
        <c:ser>
          <c:idx val="2"/>
          <c:order val="2"/>
          <c:tx>
            <c:v>Gas metano consumato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METANO'!$B$6</c:f>
              <c:numCache>
                <c:formatCode>#,##0</c:formatCode>
                <c:ptCount val="1"/>
                <c:pt idx="0">
                  <c:v>341724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0-4CBB-8011-FDFB2B86F2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344087059820352E-2"/>
          <c:y val="0.85476518473504837"/>
          <c:w val="0.95649063520977018"/>
          <c:h val="0.11309423778588429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Costo Gas metano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Gas metano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METANO'!$C$4</c:f>
              <c:numCache>
                <c:formatCode>#,##0.00</c:formatCode>
                <c:ptCount val="1"/>
                <c:pt idx="0">
                  <c:v>416687.02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5-4564-A988-097885E2EEAD}"/>
            </c:ext>
          </c:extLst>
        </c:ser>
        <c:ser>
          <c:idx val="1"/>
          <c:order val="1"/>
          <c:tx>
            <c:v>Costo Gas metano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METANO'!$C$5</c:f>
              <c:numCache>
                <c:formatCode>#,##0.00</c:formatCode>
                <c:ptCount val="1"/>
                <c:pt idx="0">
                  <c:v>535387.17999999993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5-4564-A988-097885E2EEAD}"/>
            </c:ext>
          </c:extLst>
        </c:ser>
        <c:ser>
          <c:idx val="2"/>
          <c:order val="2"/>
          <c:tx>
            <c:v>Costo Gas metano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METANO'!$C$6</c:f>
              <c:numCache>
                <c:formatCode>#,##0.00</c:formatCode>
                <c:ptCount val="1"/>
                <c:pt idx="0">
                  <c:v>557741.78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5-4564-A988-097885E2EE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10336"/>
        <c:axId val="123197632"/>
      </c:barChart>
      <c:catAx>
        <c:axId val="15611033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23197632"/>
        <c:crosses val="autoZero"/>
        <c:auto val="1"/>
        <c:lblAlgn val="ctr"/>
        <c:lblOffset val="100"/>
        <c:noMultiLvlLbl val="0"/>
      </c:catAx>
      <c:valAx>
        <c:axId val="12319763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56110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4927548086737064E-2"/>
          <c:y val="0.86499606299212595"/>
          <c:w val="0.93250164236022226"/>
          <c:h val="9.39081364829396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GM [Smc/kg]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GM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METANO'!$E$45</c:f>
              <c:numCache>
                <c:formatCode>#,##0.000</c:formatCode>
                <c:ptCount val="1"/>
                <c:pt idx="0">
                  <c:v>0.1076298037823788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D-4CFB-9983-652913E723CE}"/>
            </c:ext>
          </c:extLst>
        </c:ser>
        <c:ser>
          <c:idx val="1"/>
          <c:order val="1"/>
          <c:tx>
            <c:v>GM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METANO'!$E$46</c:f>
              <c:numCache>
                <c:formatCode>#,##0.000</c:formatCode>
                <c:ptCount val="1"/>
                <c:pt idx="0">
                  <c:v>5.9104034527491342E-2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D-4CFB-9983-652913E723CE}"/>
            </c:ext>
          </c:extLst>
        </c:ser>
        <c:ser>
          <c:idx val="2"/>
          <c:order val="2"/>
          <c:tx>
            <c:v>GM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METANO'!$E$47</c:f>
              <c:numCache>
                <c:formatCode>#,##0.000</c:formatCode>
                <c:ptCount val="1"/>
                <c:pt idx="0">
                  <c:v>6.4417715682397153E-2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D-4CFB-9983-652913E723CE}"/>
            </c:ext>
          </c:extLst>
        </c:ser>
        <c:ser>
          <c:idx val="3"/>
          <c:order val="3"/>
          <c:tx>
            <c:v>GM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2.2647786310661783E-3"/>
                  <c:y val="0.20023820209563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93-4E9B-A5D7-3BECFCF81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METANO'!$E$48</c:f>
              <c:numCache>
                <c:formatCode>#,##0.000</c:formatCode>
                <c:ptCount val="1"/>
                <c:pt idx="0">
                  <c:v>0.36701397850923073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3-4E9B-A5D7-3BECFCF811D0}"/>
            </c:ext>
          </c:extLst>
        </c:ser>
        <c:ser>
          <c:idx val="4"/>
          <c:order val="4"/>
          <c:tx>
            <c:v>GM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7.9470226302419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6E-4D81-BF87-18B0FCC3C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METANO'!$E$49</c:f>
              <c:numCache>
                <c:formatCode>#,##0.000</c:formatCode>
                <c:ptCount val="1"/>
                <c:pt idx="0">
                  <c:v>4.6033287709532938E-2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E-4D81-BF87-18B0FCC3C2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270341207349082"/>
          <c:y val="0.90454687546079193"/>
          <c:w val="0.79962930559605971"/>
          <c:h val="7.4897038082785999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9.5671886831877402E-17"/>
                  <c:y val="0.101851888980711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6F-43C8-A827-886CD93DA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METANO'!$B$7</c:f>
              <c:numCache>
                <c:formatCode>#,##0</c:formatCode>
                <c:ptCount val="1"/>
                <c:pt idx="0">
                  <c:v>216136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A-4F1E-9882-C9F4C5818080}"/>
            </c:ext>
          </c:extLst>
        </c:ser>
        <c:ser>
          <c:idx val="1"/>
          <c:order val="1"/>
          <c:tx>
            <c:v>Gas metano consumato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25000045567237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0A-4F1E-9882-C9F4C5818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METANO'!$B$8</c:f>
              <c:numCache>
                <c:formatCode>#,##0</c:formatCode>
                <c:ptCount val="1"/>
                <c:pt idx="0">
                  <c:v>302289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A-4F1E-9882-C9F4C58180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615167750983405"/>
          <c:y val="0.87328371000426874"/>
          <c:w val="0.78771032820424736"/>
          <c:h val="7.853786765014131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METANO'!$B$4</c:f>
              <c:numCache>
                <c:formatCode>#,##0</c:formatCode>
                <c:ptCount val="1"/>
                <c:pt idx="0">
                  <c:v>1145030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7-45BE-9A86-D836A7A75D92}"/>
            </c:ext>
          </c:extLst>
        </c:ser>
        <c:ser>
          <c:idx val="1"/>
          <c:order val="1"/>
          <c:tx>
            <c:v>Gas metano consumato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METANO'!$B$5</c:f>
              <c:numCache>
                <c:formatCode>#,##0</c:formatCode>
                <c:ptCount val="1"/>
                <c:pt idx="0">
                  <c:v>890901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7-45BE-9A86-D836A7A75D92}"/>
            </c:ext>
          </c:extLst>
        </c:ser>
        <c:ser>
          <c:idx val="2"/>
          <c:order val="2"/>
          <c:tx>
            <c:v>Gas metano consumato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METANO'!$B$6</c:f>
              <c:numCache>
                <c:formatCode>#,##0</c:formatCode>
                <c:ptCount val="1"/>
                <c:pt idx="0">
                  <c:v>341724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7-45BE-9A86-D836A7A75D92}"/>
            </c:ext>
          </c:extLst>
        </c:ser>
        <c:ser>
          <c:idx val="3"/>
          <c:order val="3"/>
          <c:tx>
            <c:v>Gas metano consumato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9.5671886831877402E-17"/>
                  <c:y val="0.101851888980711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C7-45BE-9A86-D836A7A75D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METANO'!$B$7</c:f>
              <c:numCache>
                <c:formatCode>#,##0</c:formatCode>
                <c:ptCount val="1"/>
                <c:pt idx="0">
                  <c:v>216136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C7-45BE-9A86-D836A7A75D92}"/>
            </c:ext>
          </c:extLst>
        </c:ser>
        <c:ser>
          <c:idx val="4"/>
          <c:order val="4"/>
          <c:tx>
            <c:v>Gas metano consumato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7560975609756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C7-45BE-9A86-D836A7A75D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METANO'!$B$8</c:f>
              <c:numCache>
                <c:formatCode>#,##0</c:formatCode>
                <c:ptCount val="1"/>
                <c:pt idx="0">
                  <c:v>302289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C7-45BE-9A86-D836A7A75D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3500448114717363"/>
          <c:w val="1"/>
          <c:h val="0.13182254657192241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Costo Gas metano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Gas metano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56735236220472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FE-435C-AA51-674FAADBC3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METANO'!$C$7</c:f>
              <c:numCache>
                <c:formatCode>#,##0.00</c:formatCode>
                <c:ptCount val="1"/>
                <c:pt idx="0">
                  <c:v>200097.25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F-4F8B-87A4-7BF9F21BD103}"/>
            </c:ext>
          </c:extLst>
        </c:ser>
        <c:ser>
          <c:idx val="1"/>
          <c:order val="1"/>
          <c:tx>
            <c:v>Costo Gas metano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25541125541125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4F-4F8B-87A4-7BF9F21BD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METANO'!$C$8</c:f>
              <c:numCache>
                <c:formatCode>#,##0.00</c:formatCode>
                <c:ptCount val="1"/>
                <c:pt idx="0">
                  <c:v>230987.04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4F-4F8B-87A4-7BF9F21BD1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10336"/>
        <c:axId val="123197632"/>
      </c:barChart>
      <c:catAx>
        <c:axId val="15611033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23197632"/>
        <c:crosses val="autoZero"/>
        <c:auto val="1"/>
        <c:lblAlgn val="ctr"/>
        <c:lblOffset val="100"/>
        <c:noMultiLvlLbl val="0"/>
      </c:catAx>
      <c:valAx>
        <c:axId val="12319763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56110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179894179894181"/>
          <c:y val="0.8805262978491325"/>
          <c:w val="0.67172999208432282"/>
          <c:h val="7.343797934349115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Costo Gas metano [</a:t>
            </a:r>
            <a:r>
              <a:rPr lang="it-IT">
                <a:latin typeface="Times New Roman"/>
                <a:cs typeface="Times New Roman"/>
              </a:rPr>
              <a:t>€]</a:t>
            </a:r>
            <a:endParaRPr lang="it-I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Gas metano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METANO'!$C$4</c:f>
              <c:numCache>
                <c:formatCode>#,##0.00</c:formatCode>
                <c:ptCount val="1"/>
                <c:pt idx="0">
                  <c:v>416687.02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B-45C6-B640-E066625F0C13}"/>
            </c:ext>
          </c:extLst>
        </c:ser>
        <c:ser>
          <c:idx val="1"/>
          <c:order val="1"/>
          <c:tx>
            <c:v>Costo Gas metano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METANO'!$C$5</c:f>
              <c:numCache>
                <c:formatCode>#,##0.00</c:formatCode>
                <c:ptCount val="1"/>
                <c:pt idx="0">
                  <c:v>535387.17999999993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B-45C6-B640-E066625F0C13}"/>
            </c:ext>
          </c:extLst>
        </c:ser>
        <c:ser>
          <c:idx val="2"/>
          <c:order val="2"/>
          <c:tx>
            <c:v>Costo Gas metano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'CONSUMO GAS METANO'!$C$6</c:f>
              <c:numCache>
                <c:formatCode>#,##0.00</c:formatCode>
                <c:ptCount val="1"/>
                <c:pt idx="0">
                  <c:v>557741.78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FB-45C6-B640-E066625F0C13}"/>
            </c:ext>
          </c:extLst>
        </c:ser>
        <c:ser>
          <c:idx val="3"/>
          <c:order val="3"/>
          <c:tx>
            <c:v>Costo Gas metano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56735236220472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FB-45C6-B640-E066625F0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METANO'!$C$7</c:f>
              <c:numCache>
                <c:formatCode>#,##0.00</c:formatCode>
                <c:ptCount val="1"/>
                <c:pt idx="0">
                  <c:v>200097.25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FB-45C6-B640-E066625F0C13}"/>
            </c:ext>
          </c:extLst>
        </c:ser>
        <c:ser>
          <c:idx val="4"/>
          <c:order val="4"/>
          <c:tx>
            <c:v>Costo Gas metano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1392405063291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FB-45C6-B640-E066625F0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'CONSUMO GAS METANO'!$C$8</c:f>
              <c:numCache>
                <c:formatCode>#,##0.00</c:formatCode>
                <c:ptCount val="1"/>
                <c:pt idx="0">
                  <c:v>230987.04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FB-45C6-B640-E066625F0C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10336"/>
        <c:axId val="123197632"/>
      </c:barChart>
      <c:catAx>
        <c:axId val="15611033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23197632"/>
        <c:crosses val="autoZero"/>
        <c:auto val="1"/>
        <c:lblAlgn val="ctr"/>
        <c:lblOffset val="100"/>
        <c:noMultiLvlLbl val="0"/>
      </c:catAx>
      <c:valAx>
        <c:axId val="12319763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56110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4478056421767052E-2"/>
          <c:y val="0.89416259676401211"/>
          <c:w val="0.94875992377397722"/>
          <c:h val="7.1578789993023029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consumata [mc]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39621051018258E-2"/>
          <c:y val="0.16544715447154471"/>
          <c:w val="0.8958491867348698"/>
          <c:h val="0.69133858267716519"/>
        </c:manualLayout>
      </c:layout>
      <c:barChart>
        <c:barDir val="col"/>
        <c:grouping val="clustered"/>
        <c:varyColors val="0"/>
        <c:ser>
          <c:idx val="0"/>
          <c:order val="0"/>
          <c:tx>
            <c:v>Acqua consumata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IDRICI'!$B$4</c:f>
              <c:numCache>
                <c:formatCode>#,##0</c:formatCode>
                <c:ptCount val="1"/>
                <c:pt idx="0">
                  <c:v>46496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6-41AF-A4F3-DD2E9E074AEC}"/>
            </c:ext>
          </c:extLst>
        </c:ser>
        <c:ser>
          <c:idx val="1"/>
          <c:order val="1"/>
          <c:tx>
            <c:v>Acqua consumata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IDRICI'!$B$5</c:f>
              <c:numCache>
                <c:formatCode>#,##0</c:formatCode>
                <c:ptCount val="1"/>
                <c:pt idx="0">
                  <c:v>48315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6-41AF-A4F3-DD2E9E074AEC}"/>
            </c:ext>
          </c:extLst>
        </c:ser>
        <c:ser>
          <c:idx val="2"/>
          <c:order val="2"/>
          <c:tx>
            <c:v>Acqua consumata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IDRICI'!$B$6</c:f>
              <c:numCache>
                <c:formatCode>#,##0</c:formatCode>
                <c:ptCount val="1"/>
                <c:pt idx="0">
                  <c:v>15719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6-41AF-A4F3-DD2E9E074AEC}"/>
            </c:ext>
          </c:extLst>
        </c:ser>
        <c:ser>
          <c:idx val="3"/>
          <c:order val="3"/>
          <c:tx>
            <c:v>Acqua consumata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3083396676666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11-4BA4-A82F-B20D5D501F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'CONSUMI IDRICI'!$B$7</c:f>
              <c:numCache>
                <c:formatCode>#,##0</c:formatCode>
                <c:ptCount val="1"/>
                <c:pt idx="0">
                  <c:v>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1-4BA4-A82F-B20D5D501F08}"/>
            </c:ext>
          </c:extLst>
        </c:ser>
        <c:ser>
          <c:idx val="4"/>
          <c:order val="4"/>
          <c:tx>
            <c:v>Acqua consumata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00840346399721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5-4968-A476-42BF4700D7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'CONSUMI IDRICI'!$B$8</c:f>
              <c:numCache>
                <c:formatCode>#,##0</c:formatCode>
                <c:ptCount val="1"/>
                <c:pt idx="0">
                  <c:v>13089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5-4968-A476-42BF4700D7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7463494070540453E-2"/>
          <c:y val="0.85732315472761023"/>
          <c:w val="0.95671521351801847"/>
          <c:h val="0.11646021677315167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ACQ [mc/ton]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IDRICI'!$D$22</c:f>
              <c:numCache>
                <c:formatCode>#,##0.00</c:formatCode>
                <c:ptCount val="1"/>
                <c:pt idx="0">
                  <c:v>1.7632157755024649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E-4F7A-9116-D9DB7AC98F08}"/>
            </c:ext>
          </c:extLst>
        </c:ser>
        <c:ser>
          <c:idx val="1"/>
          <c:order val="1"/>
          <c:tx>
            <c:v>ACQ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IDRICI'!$D$23</c:f>
              <c:numCache>
                <c:formatCode>#,##0.00</c:formatCode>
                <c:ptCount val="1"/>
                <c:pt idx="0">
                  <c:v>1.2013576348310415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E-4F7A-9116-D9DB7AC98F08}"/>
            </c:ext>
          </c:extLst>
        </c:ser>
        <c:ser>
          <c:idx val="2"/>
          <c:order val="2"/>
          <c:tx>
            <c:v>ACQ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IDRICI'!$D$24</c:f>
              <c:numCache>
                <c:formatCode>#,##0.00</c:formatCode>
                <c:ptCount val="1"/>
                <c:pt idx="0">
                  <c:v>1.2198510010864505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E-4F7A-9116-D9DB7AC98F08}"/>
            </c:ext>
          </c:extLst>
        </c:ser>
        <c:ser>
          <c:idx val="3"/>
          <c:order val="3"/>
          <c:tx>
            <c:v>ACQ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23505572441742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54-4791-8402-ACEB19EA30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'CONSUMI IDRICI'!$D$25</c:f>
              <c:numCache>
                <c:formatCode>#,##0.00</c:formatCode>
                <c:ptCount val="1"/>
                <c:pt idx="0">
                  <c:v>1.0413043478260871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4-4791-8402-ACEB19EA3032}"/>
            </c:ext>
          </c:extLst>
        </c:ser>
        <c:ser>
          <c:idx val="4"/>
          <c:order val="4"/>
          <c:tx>
            <c:v>ACQ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-9.9164957660845386E-17"/>
                  <c:y val="0.133738601823708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EF-4A98-9BA7-F9530F4BD4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'CONSUMI IDRICI'!$D$26</c:f>
              <c:numCache>
                <c:formatCode>#,##0.00</c:formatCode>
                <c:ptCount val="1"/>
                <c:pt idx="0">
                  <c:v>0.78461815130080326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F-4A98-9BA7-F9530F4BD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749122891078777"/>
          <c:y val="0.89461742814063139"/>
          <c:w val="0.86941144527319481"/>
          <c:h val="6.8750448747098097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consumata [mc]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Acqua consumata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IDRICI'!$B$4</c:f>
              <c:numCache>
                <c:formatCode>#,##0</c:formatCode>
                <c:ptCount val="1"/>
                <c:pt idx="0">
                  <c:v>46496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13E-ABBB-985D583C6FB6}"/>
            </c:ext>
          </c:extLst>
        </c:ser>
        <c:ser>
          <c:idx val="1"/>
          <c:order val="1"/>
          <c:tx>
            <c:v>Acqua consumata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IDRICI'!$B$5</c:f>
              <c:numCache>
                <c:formatCode>#,##0</c:formatCode>
                <c:ptCount val="1"/>
                <c:pt idx="0">
                  <c:v>48315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13E-ABBB-985D583C6FB6}"/>
            </c:ext>
          </c:extLst>
        </c:ser>
        <c:ser>
          <c:idx val="2"/>
          <c:order val="2"/>
          <c:tx>
            <c:v>Acqua consumata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IDRICI'!$B$6</c:f>
              <c:numCache>
                <c:formatCode>#,##0</c:formatCode>
                <c:ptCount val="1"/>
                <c:pt idx="0">
                  <c:v>15719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13E-ABBB-985D583C6F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7463494070540447E-2"/>
          <c:y val="0.83699808488851524"/>
          <c:w val="0.95671521351801847"/>
          <c:h val="0.11646021677315167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consumata [mc]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Acqua consumata 2023</c:v>
          </c:tx>
          <c:invertIfNegative val="0"/>
          <c:dPt>
            <c:idx val="0"/>
            <c:invertIfNegative val="0"/>
            <c:bubble3D val="0"/>
            <c:spPr>
              <a:solidFill>
                <a:srgbClr val="873AC0"/>
              </a:solidFill>
              <a:ln>
                <a:solidFill>
                  <a:srgbClr val="873A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FF4-471F-836A-E213B1B688B1}"/>
              </c:ext>
            </c:extLst>
          </c:dPt>
          <c:dLbls>
            <c:dLbl>
              <c:idx val="0"/>
              <c:layout>
                <c:manualLayout>
                  <c:x val="-3.1974420463629681E-3"/>
                  <c:y val="0.137022397891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F4-471F-836A-E213B1B68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IDRICI'!$B$7</c:f>
              <c:numCache>
                <c:formatCode>#,##0</c:formatCode>
                <c:ptCount val="1"/>
                <c:pt idx="0">
                  <c:v>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4-471F-836A-E213B1B688B1}"/>
            </c:ext>
          </c:extLst>
        </c:ser>
        <c:ser>
          <c:idx val="1"/>
          <c:order val="1"/>
          <c:tx>
            <c:v>Acqua consumata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4229249011857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F4-471F-836A-E213B1B68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'CONSUMI IDRICI'!$B$8</c:f>
              <c:numCache>
                <c:formatCode>#,##0</c:formatCode>
                <c:ptCount val="1"/>
                <c:pt idx="0">
                  <c:v>13089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4-471F-836A-E213B1B68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7463494070540447E-2"/>
          <c:y val="0.83699808488851524"/>
          <c:w val="0.95671521351801847"/>
          <c:h val="0.11646021677315167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reflua</a:t>
            </a:r>
            <a:r>
              <a:rPr lang="it-IT" baseline="0"/>
              <a:t> scaricata</a:t>
            </a:r>
            <a:r>
              <a:rPr lang="it-IT"/>
              <a:t> [mc]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Acqua reflua scaricata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DEPURATORE'!$B$4</c:f>
              <c:numCache>
                <c:formatCode>#,##0</c:formatCode>
                <c:ptCount val="1"/>
                <c:pt idx="0">
                  <c:v>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0-4290-8A80-760C71098A33}"/>
            </c:ext>
          </c:extLst>
        </c:ser>
        <c:ser>
          <c:idx val="1"/>
          <c:order val="1"/>
          <c:tx>
            <c:v>Acqua reflua scaricata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DEPURATORE'!$B$5</c:f>
              <c:numCache>
                <c:formatCode>#,##0</c:formatCode>
                <c:ptCount val="1"/>
                <c:pt idx="0">
                  <c:v>37755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0-4290-8A80-760C71098A33}"/>
            </c:ext>
          </c:extLst>
        </c:ser>
        <c:ser>
          <c:idx val="2"/>
          <c:order val="2"/>
          <c:tx>
            <c:v>Acqua reflua scaricata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DEPURATORE'!$B$6</c:f>
              <c:numCache>
                <c:formatCode>#,##0</c:formatCode>
                <c:ptCount val="1"/>
                <c:pt idx="0">
                  <c:v>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0-4290-8A80-760C71098A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215007063816988E-2"/>
          <c:y val="0.88467187182093698"/>
          <c:w val="0.9312730162615197"/>
          <c:h val="8.967568621786165E-2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REF [mc/ton]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REF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DEPURATORE'!$E$20</c:f>
              <c:numCache>
                <c:formatCode>#,##0.00</c:formatCode>
                <c:ptCount val="1"/>
                <c:pt idx="0">
                  <c:v>1.2485020857034508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5-4A2E-8C91-C78952114C55}"/>
            </c:ext>
          </c:extLst>
        </c:ser>
        <c:ser>
          <c:idx val="1"/>
          <c:order val="1"/>
          <c:tx>
            <c:v>REF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DEPURATORE'!$E$21</c:f>
              <c:numCache>
                <c:formatCode>#,##0.00</c:formatCode>
                <c:ptCount val="1"/>
                <c:pt idx="0">
                  <c:v>0.93878210706914988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5-4A2E-8C91-C78952114C55}"/>
            </c:ext>
          </c:extLst>
        </c:ser>
        <c:ser>
          <c:idx val="2"/>
          <c:order val="2"/>
          <c:tx>
            <c:v>REF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DEPURATORE'!$E$22</c:f>
              <c:numCache>
                <c:formatCode>#,##0.00</c:formatCode>
                <c:ptCount val="1"/>
                <c:pt idx="0">
                  <c:v>0.70479590252987734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5-4A2E-8C91-C78952114C55}"/>
            </c:ext>
          </c:extLst>
        </c:ser>
        <c:ser>
          <c:idx val="3"/>
          <c:order val="3"/>
          <c:tx>
            <c:v>REF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-1.0536276751464822E-16"/>
                  <c:y val="0.116116116116116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47-4F40-986E-5FCFF75491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'SCARICO DEL DEPURATORE'!$E$23</c:f>
              <c:numCache>
                <c:formatCode>#,##0.00</c:formatCode>
                <c:ptCount val="1"/>
                <c:pt idx="0">
                  <c:v>0.29758454106280191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7-4F40-986E-5FCFF7549175}"/>
            </c:ext>
          </c:extLst>
        </c:ser>
        <c:ser>
          <c:idx val="4"/>
          <c:order val="4"/>
          <c:tx>
            <c:v>REF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8.4084084084083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6F-4732-AA37-B95532CE73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'SCARICO DEL DEPURATORE'!$E$24</c:f>
              <c:numCache>
                <c:formatCode>#,##0.00</c:formatCode>
                <c:ptCount val="1"/>
                <c:pt idx="0">
                  <c:v>0.18157295288334732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F-4732-AA37-B95532CE73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087202461761245"/>
          <c:y val="0.90494053108226336"/>
          <c:w val="0.87599103991311422"/>
          <c:h val="6.792461753091674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Andamento principali parametri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COD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DEPURATORE'!$B$32:$B$36</c:f>
              <c:numCache>
                <c:formatCode>#,##0</c:formatCode>
                <c:ptCount val="5"/>
                <c:pt idx="0">
                  <c:v>140</c:v>
                </c:pt>
                <c:pt idx="1">
                  <c:v>120</c:v>
                </c:pt>
                <c:pt idx="2">
                  <c:v>290</c:v>
                </c:pt>
                <c:pt idx="3">
                  <c:v>280</c:v>
                </c:pt>
                <c:pt idx="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A-421B-9229-1FA11295B8C6}"/>
            </c:ext>
          </c:extLst>
        </c:ser>
        <c:ser>
          <c:idx val="1"/>
          <c:order val="1"/>
          <c:tx>
            <c:v>BOD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DEPURATORE'!$C$32:$C$36</c:f>
              <c:numCache>
                <c:formatCode>#,##0</c:formatCode>
                <c:ptCount val="5"/>
                <c:pt idx="0">
                  <c:v>78</c:v>
                </c:pt>
                <c:pt idx="1">
                  <c:v>50</c:v>
                </c:pt>
                <c:pt idx="2">
                  <c:v>108</c:v>
                </c:pt>
                <c:pt idx="3">
                  <c:v>152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A-421B-9229-1FA11295B8C6}"/>
            </c:ext>
          </c:extLst>
        </c:ser>
        <c:ser>
          <c:idx val="2"/>
          <c:order val="2"/>
          <c:tx>
            <c:v>SST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DEPURATORE'!$D$32:$D$36</c:f>
              <c:numCache>
                <c:formatCode>#,##0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90</c:v>
                </c:pt>
                <c:pt idx="3">
                  <c:v>106</c:v>
                </c:pt>
                <c:pt idx="4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FA-421B-9229-1FA11295B8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107264"/>
        <c:axId val="133296640"/>
      </c:line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Andamento principali parametri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COD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DEPURATORE'!$B$47:$B$51</c:f>
              <c:numCache>
                <c:formatCode>#,##0</c:formatCode>
                <c:ptCount val="5"/>
                <c:pt idx="0">
                  <c:v>37</c:v>
                </c:pt>
                <c:pt idx="1">
                  <c:v>50.5</c:v>
                </c:pt>
                <c:pt idx="2">
                  <c:v>49</c:v>
                </c:pt>
                <c:pt idx="3">
                  <c:v>61</c:v>
                </c:pt>
                <c:pt idx="4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1-4D16-A0FD-731A6CCBFF19}"/>
            </c:ext>
          </c:extLst>
        </c:ser>
        <c:ser>
          <c:idx val="1"/>
          <c:order val="1"/>
          <c:tx>
            <c:v>BOD</c:v>
          </c:tx>
          <c:dLbls>
            <c:dLbl>
              <c:idx val="4"/>
              <c:layout>
                <c:manualLayout>
                  <c:x val="-2.6767791307338927E-3"/>
                  <c:y val="1.5650474381898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56-4903-A275-63F8F387B6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DEPURATORE'!$C$47:$C$51</c:f>
              <c:numCache>
                <c:formatCode>#,##0</c:formatCode>
                <c:ptCount val="5"/>
                <c:pt idx="0">
                  <c:v>70</c:v>
                </c:pt>
                <c:pt idx="1">
                  <c:v>76</c:v>
                </c:pt>
                <c:pt idx="2">
                  <c:v>40</c:v>
                </c:pt>
                <c:pt idx="3">
                  <c:v>39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1-4D16-A0FD-731A6CCBFF19}"/>
            </c:ext>
          </c:extLst>
        </c:ser>
        <c:ser>
          <c:idx val="2"/>
          <c:order val="2"/>
          <c:tx>
            <c:v>SST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'SCARICO DEL DEPURATORE'!$D$47:$D$51</c:f>
              <c:numCache>
                <c:formatCode>#,##0</c:formatCode>
                <c:ptCount val="5"/>
                <c:pt idx="0">
                  <c:v>62.5</c:v>
                </c:pt>
                <c:pt idx="1">
                  <c:v>68</c:v>
                </c:pt>
                <c:pt idx="2">
                  <c:v>43</c:v>
                </c:pt>
                <c:pt idx="3">
                  <c:v>45</c:v>
                </c:pt>
                <c:pt idx="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1-4D16-A0FD-731A6CCBFF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107264"/>
        <c:axId val="133296640"/>
      </c:line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reflua</a:t>
            </a:r>
            <a:r>
              <a:rPr lang="it-IT" baseline="0"/>
              <a:t> scaricata</a:t>
            </a:r>
            <a:r>
              <a:rPr lang="it-IT"/>
              <a:t> [mc]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Acqua reflua scaricata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-5.3872076724018302E-3"/>
                  <c:y val="0.145985457396194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DB-4D73-912E-BF02CDB0F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DEPURATORE'!$B$7</c:f>
              <c:numCache>
                <c:formatCode>#,##0</c:formatCode>
                <c:ptCount val="1"/>
                <c:pt idx="0">
                  <c:v>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0-48EC-9DA1-9D0F667735A9}"/>
            </c:ext>
          </c:extLst>
        </c:ser>
        <c:ser>
          <c:idx val="1"/>
          <c:order val="1"/>
          <c:tx>
            <c:v>Acqua reflua scaricata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-9.8764333060029241E-17"/>
                  <c:y val="0.155717821222607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D0-48EC-9DA1-9D0F66773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DEPURATORE'!$B$8</c:f>
              <c:numCache>
                <c:formatCode>#,##0</c:formatCode>
                <c:ptCount val="1"/>
                <c:pt idx="0">
                  <c:v>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0-48EC-9DA1-9D0F66773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516789529643746"/>
          <c:y val="0.87007332608131738"/>
          <c:w val="0.82891607048588589"/>
          <c:h val="8.96756862178616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Acqua</a:t>
            </a:r>
            <a:r>
              <a:rPr lang="it-IT" baseline="0"/>
              <a:t> </a:t>
            </a:r>
            <a:r>
              <a:rPr lang="it-IT"/>
              <a:t>reflua</a:t>
            </a:r>
            <a:r>
              <a:rPr lang="it-IT" baseline="0"/>
              <a:t> scaricata</a:t>
            </a:r>
            <a:r>
              <a:rPr lang="it-IT"/>
              <a:t> [mc]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Acqua reflua scaricata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DEPURATORE'!$B$4</c:f>
              <c:numCache>
                <c:formatCode>#,##0</c:formatCode>
                <c:ptCount val="1"/>
                <c:pt idx="0">
                  <c:v>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2-4269-B061-1E29959E34E4}"/>
            </c:ext>
          </c:extLst>
        </c:ser>
        <c:ser>
          <c:idx val="1"/>
          <c:order val="1"/>
          <c:tx>
            <c:v>Acqua reflua scaricata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DEPURATORE'!$B$5</c:f>
              <c:numCache>
                <c:formatCode>#,##0</c:formatCode>
                <c:ptCount val="1"/>
                <c:pt idx="0">
                  <c:v>37755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2-4269-B061-1E29959E34E4}"/>
            </c:ext>
          </c:extLst>
        </c:ser>
        <c:ser>
          <c:idx val="2"/>
          <c:order val="2"/>
          <c:tx>
            <c:v>Acqua reflua scaricata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DEPURATORE'!$B$6</c:f>
              <c:numCache>
                <c:formatCode>#,##0</c:formatCode>
                <c:ptCount val="1"/>
                <c:pt idx="0">
                  <c:v>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42-4269-B061-1E29959E34E4}"/>
            </c:ext>
          </c:extLst>
        </c:ser>
        <c:ser>
          <c:idx val="3"/>
          <c:order val="3"/>
          <c:tx>
            <c:v>Acqua reflua scaricata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8.5988289925296949E-3"/>
                  <c:y val="-1.4598545739619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42-4269-B061-1E29959E34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'SCARICO DEL DEPURATORE'!$B$7</c:f>
              <c:numCache>
                <c:formatCode>#,##0</c:formatCode>
                <c:ptCount val="1"/>
                <c:pt idx="0">
                  <c:v>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42-4269-B061-1E29959E34E4}"/>
            </c:ext>
          </c:extLst>
        </c:ser>
        <c:ser>
          <c:idx val="4"/>
          <c:order val="4"/>
          <c:tx>
            <c:v>Acqua reflua scaricata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'SCARICO DEL DEPURATORE'!$B$8</c:f>
              <c:numCache>
                <c:formatCode>#,##0</c:formatCode>
                <c:ptCount val="1"/>
                <c:pt idx="0">
                  <c:v>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42-4269-B061-1E29959E3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2241632163517021E-2"/>
          <c:y val="0.8979501063944294"/>
          <c:w val="0.93504988034762493"/>
          <c:h val="8.1019399388956512E-2"/>
        </c:manualLayout>
      </c:layout>
      <c:overlay val="0"/>
      <c:txPr>
        <a:bodyPr/>
        <a:lstStyle/>
        <a:p>
          <a:pPr>
            <a:defRPr sz="8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 sz="1600"/>
              <a:t>Andamento principali parametri E12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NOx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ATMOSFERA'!$B$42:$B$46</c:f>
              <c:numCache>
                <c:formatCode>#,##0</c:formatCode>
                <c:ptCount val="5"/>
                <c:pt idx="0">
                  <c:v>74</c:v>
                </c:pt>
                <c:pt idx="1">
                  <c:v>76</c:v>
                </c:pt>
                <c:pt idx="2">
                  <c:v>59</c:v>
                </c:pt>
                <c:pt idx="3">
                  <c:v>15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E-4D71-80A7-E20A8F660A0F}"/>
            </c:ext>
          </c:extLst>
        </c:ser>
        <c:ser>
          <c:idx val="1"/>
          <c:order val="1"/>
          <c:tx>
            <c:v>CO</c:v>
          </c:tx>
          <c:dLbls>
            <c:dLbl>
              <c:idx val="0"/>
              <c:layout>
                <c:manualLayout>
                  <c:x val="-5.3535582614677855E-2"/>
                  <c:y val="4.6126556631593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1E-4D71-80A7-E20A8F660A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ATMOSFERA'!$C$42:$C$46</c:f>
              <c:numCache>
                <c:formatCode>#,##0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82</c:v>
                </c:pt>
                <c:pt idx="4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E-4D71-80A7-E20A8F660A0F}"/>
            </c:ext>
          </c:extLst>
        </c:ser>
        <c:ser>
          <c:idx val="2"/>
          <c:order val="2"/>
          <c:tx>
            <c:v>HCl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'EMISSIONI IN ATMOSFERA'!$D$42:$D$46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1.2</c:v>
                </c:pt>
                <c:pt idx="3">
                  <c:v>4</c:v>
                </c:pt>
                <c:pt idx="4" formatCode="#,##0.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B-4C13-B090-67ACC94CD78D}"/>
            </c:ext>
          </c:extLst>
        </c:ser>
        <c:ser>
          <c:idx val="3"/>
          <c:order val="3"/>
          <c:tx>
            <c:v>SOV</c:v>
          </c:tx>
          <c:dLbls>
            <c:dLbl>
              <c:idx val="0"/>
              <c:layout>
                <c:manualLayout>
                  <c:x val="-1.7937219730941732E-2"/>
                  <c:y val="-6.535947712418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EA-4612-B546-36724BEDC40C}"/>
                </c:ext>
              </c:extLst>
            </c:dLbl>
            <c:dLbl>
              <c:idx val="1"/>
              <c:layout>
                <c:manualLayout>
                  <c:x val="-1.7937219730941815E-2"/>
                  <c:y val="-5.2287581699346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EA-4612-B546-36724BEDC40C}"/>
                </c:ext>
              </c:extLst>
            </c:dLbl>
            <c:dLbl>
              <c:idx val="3"/>
              <c:layout>
                <c:manualLayout>
                  <c:x val="-1.4947683109118086E-2"/>
                  <c:y val="-4.3572984749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AE-4F12-97F0-FCC86403332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'EMISSIONI IN ATMOSFERA'!$E$42:$E$46</c:f>
              <c:numCache>
                <c:formatCode>#,##0.0</c:formatCode>
                <c:ptCount val="5"/>
                <c:pt idx="0">
                  <c:v>3.6</c:v>
                </c:pt>
                <c:pt idx="1">
                  <c:v>3.1</c:v>
                </c:pt>
                <c:pt idx="2" formatCode="#,##0">
                  <c:v>2</c:v>
                </c:pt>
                <c:pt idx="3" formatCode="#,##0">
                  <c:v>3</c:v>
                </c:pt>
                <c:pt idx="4" formatCode="#,##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B-4C13-B090-67ACC94CD7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107264"/>
        <c:axId val="133296640"/>
      </c:line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 sz="1600"/>
              <a:t>Andamento principali parametri E13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NOx</c:v>
          </c:tx>
          <c:dLbls>
            <c:dLbl>
              <c:idx val="0"/>
              <c:layout>
                <c:manualLayout>
                  <c:x val="-6.0882800608827448E-3"/>
                  <c:y val="5.7971014492753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28-42EE-A19B-6802EB520EC9}"/>
                </c:ext>
              </c:extLst>
            </c:dLbl>
            <c:dLbl>
              <c:idx val="1"/>
              <c:layout>
                <c:manualLayout>
                  <c:x val="9.1324200913240894E-3"/>
                  <c:y val="-2.8985507246376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28-42EE-A19B-6802EB520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ATMOSFERA'!$B$57:$B$61</c:f>
              <c:numCache>
                <c:formatCode>#,##0</c:formatCode>
                <c:ptCount val="5"/>
                <c:pt idx="0">
                  <c:v>100</c:v>
                </c:pt>
                <c:pt idx="1">
                  <c:v>97</c:v>
                </c:pt>
                <c:pt idx="2">
                  <c:v>69</c:v>
                </c:pt>
                <c:pt idx="3">
                  <c:v>66</c:v>
                </c:pt>
                <c:pt idx="4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8-42EE-A19B-6802EB520E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107264"/>
        <c:axId val="133296640"/>
      </c:line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ATMOSFERA'!$B$4</c:f>
              <c:numCache>
                <c:formatCode>#,##0</c:formatCode>
                <c:ptCount val="1"/>
                <c:pt idx="0">
                  <c:v>1145030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B-41C0-9C83-7B8785D1FB32}"/>
            </c:ext>
          </c:extLst>
        </c:ser>
        <c:ser>
          <c:idx val="1"/>
          <c:order val="1"/>
          <c:tx>
            <c:v>Gas metano consumato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ATMOSFERA'!$B$5</c:f>
              <c:numCache>
                <c:formatCode>#,##0</c:formatCode>
                <c:ptCount val="1"/>
                <c:pt idx="0">
                  <c:v>890901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B-41C0-9C83-7B8785D1FB32}"/>
            </c:ext>
          </c:extLst>
        </c:ser>
        <c:ser>
          <c:idx val="2"/>
          <c:order val="2"/>
          <c:tx>
            <c:v>Gas metano consumato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ATMOSFERA'!$B$6</c:f>
              <c:numCache>
                <c:formatCode>#,##0</c:formatCode>
                <c:ptCount val="1"/>
                <c:pt idx="0">
                  <c:v>341724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B-41C0-9C83-7B8785D1FB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1344087059820352E-2"/>
          <c:y val="0.85476518473504837"/>
          <c:w val="0.95649063520977018"/>
          <c:h val="0.11309423778588429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9.5671886831877402E-17"/>
                  <c:y val="0.101851888980711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29-4034-9F4F-95C21AE60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ATMOSFERA'!$B$7</c:f>
              <c:numCache>
                <c:formatCode>#,##0</c:formatCode>
                <c:ptCount val="1"/>
                <c:pt idx="0">
                  <c:v>216136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9-4034-9F4F-95C21AE6050C}"/>
            </c:ext>
          </c:extLst>
        </c:ser>
        <c:ser>
          <c:idx val="1"/>
          <c:order val="1"/>
          <c:tx>
            <c:v>Gas metano consumato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0.125000045567237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29-4034-9F4F-95C21AE60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ATMOSFERA'!$B$8</c:f>
              <c:numCache>
                <c:formatCode>#,##0</c:formatCode>
                <c:ptCount val="1"/>
                <c:pt idx="0">
                  <c:v>302289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9-4034-9F4F-95C21AE605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615167750983405"/>
          <c:y val="0.87328371000426874"/>
          <c:w val="0.78771032820424736"/>
          <c:h val="7.853786765014131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Gas metano consumato [Smc]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 metano consumato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ATMOSFERA'!$B$4</c:f>
              <c:numCache>
                <c:formatCode>#,##0</c:formatCode>
                <c:ptCount val="1"/>
                <c:pt idx="0">
                  <c:v>1145030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5-4E0D-8053-DE0B58495052}"/>
            </c:ext>
          </c:extLst>
        </c:ser>
        <c:ser>
          <c:idx val="1"/>
          <c:order val="1"/>
          <c:tx>
            <c:v>Gas metano consumato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ATMOSFERA'!$B$5</c:f>
              <c:numCache>
                <c:formatCode>#,##0</c:formatCode>
                <c:ptCount val="1"/>
                <c:pt idx="0">
                  <c:v>890901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5-4E0D-8053-DE0B58495052}"/>
            </c:ext>
          </c:extLst>
        </c:ser>
        <c:ser>
          <c:idx val="2"/>
          <c:order val="2"/>
          <c:tx>
            <c:v>Gas metano consumato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'EMISSIONI IN ATMOSFERA'!$B$6</c:f>
              <c:numCache>
                <c:formatCode>#,##0</c:formatCode>
                <c:ptCount val="1"/>
                <c:pt idx="0">
                  <c:v>341724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5-4E0D-8053-DE0B58495052}"/>
            </c:ext>
          </c:extLst>
        </c:ser>
        <c:ser>
          <c:idx val="3"/>
          <c:order val="3"/>
          <c:tx>
            <c:v>Gas metano consumato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9.5671886831877402E-17"/>
                  <c:y val="0.101851888980711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45-4E0D-8053-DE0B584950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'EMISSIONI IN ATMOSFERA'!$B$7</c:f>
              <c:numCache>
                <c:formatCode>#,##0</c:formatCode>
                <c:ptCount val="1"/>
                <c:pt idx="0">
                  <c:v>216136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45-4E0D-8053-DE0B58495052}"/>
            </c:ext>
          </c:extLst>
        </c:ser>
        <c:ser>
          <c:idx val="4"/>
          <c:order val="4"/>
          <c:tx>
            <c:v>Gas metano consumato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9.7560975609756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45-4E0D-8053-DE0B584950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'EMISSIONI IN ATMOSFERA'!$B$8</c:f>
              <c:numCache>
                <c:formatCode>#,##0</c:formatCode>
                <c:ptCount val="1"/>
                <c:pt idx="0">
                  <c:v>302289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45-4E0D-8053-DE0B584950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83500448114717363"/>
          <c:w val="1"/>
          <c:h val="0.13182254657192241"/>
        </c:manualLayout>
      </c:layout>
      <c:overlay val="0"/>
      <c:txPr>
        <a:bodyPr/>
        <a:lstStyle/>
        <a:p>
          <a:pPr>
            <a:defRPr sz="9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RUM lav [dBA/ora]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RUM lav 2018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dLbl>
              <c:idx val="0"/>
              <c:layout>
                <c:manualLayout>
                  <c:x val="-3.0441400304414561E-3"/>
                  <c:y val="0.15140415140415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00-4455-9DE8-5E78D62ED6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RUMORI!$I$8</c:f>
              <c:numCache>
                <c:formatCode>#,##0.0000</c:formatCode>
                <c:ptCount val="1"/>
                <c:pt idx="0">
                  <c:v>3.8153153153153152E-2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3-4C72-B94D-5131A03DA92E}"/>
            </c:ext>
          </c:extLst>
        </c:ser>
        <c:ser>
          <c:idx val="1"/>
          <c:order val="1"/>
          <c:tx>
            <c:v>RUM lav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dLbl>
              <c:idx val="0"/>
              <c:layout>
                <c:manualLayout>
                  <c:x val="-5.5808589185841061E-17"/>
                  <c:y val="0.263736263736263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00-4455-9DE8-5E78D62ED6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RUMORI!$I$9</c:f>
              <c:numCache>
                <c:formatCode>#,##0.0000</c:formatCode>
                <c:ptCount val="1"/>
                <c:pt idx="0">
                  <c:v>3.9451672862453532E-2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3-4C72-B94D-5131A03DA92E}"/>
            </c:ext>
          </c:extLst>
        </c:ser>
        <c:ser>
          <c:idx val="2"/>
          <c:order val="2"/>
          <c:tx>
            <c:v>RUM lav 2023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dLbl>
              <c:idx val="0"/>
              <c:layout>
                <c:manualLayout>
                  <c:x val="3.0441400304414001E-3"/>
                  <c:y val="0.161172161172161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00-4455-9DE8-5E78D62ED6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kWh consumati</c:v>
              </c:pt>
            </c:strLit>
          </c:cat>
          <c:val>
            <c:numRef>
              <c:f>RUMORI!$I$10</c:f>
              <c:numCache>
                <c:formatCode>#,##0.0000</c:formatCode>
                <c:ptCount val="1"/>
                <c:pt idx="0">
                  <c:v>3.7047101449275359E-2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3-4C72-B94D-5131A03DA9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571890842411821"/>
          <c:y val="0.87557298832069785"/>
          <c:w val="0.76676685962199931"/>
          <c:h val="8.2853104900349001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Rifiuti prodotti</a:t>
            </a:r>
            <a:r>
              <a:rPr lang="it-IT" baseline="0"/>
              <a:t> </a:t>
            </a:r>
            <a:r>
              <a:rPr lang="it-IT"/>
              <a:t>[kg]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Rifiuti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RIFIUTI!$B$4</c:f>
              <c:numCache>
                <c:formatCode>#,##0.00</c:formatCode>
                <c:ptCount val="1"/>
                <c:pt idx="0">
                  <c:v>197231.21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C-4D1C-A544-6DCDDD20D42E}"/>
            </c:ext>
          </c:extLst>
        </c:ser>
        <c:ser>
          <c:idx val="1"/>
          <c:order val="1"/>
          <c:tx>
            <c:v>Rifiuti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RIFIUTI!$B$5</c:f>
              <c:numCache>
                <c:formatCode>#,##0.00</c:formatCode>
                <c:ptCount val="1"/>
                <c:pt idx="0">
                  <c:v>69022.73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C-4D1C-A544-6DCDDD20D42E}"/>
            </c:ext>
          </c:extLst>
        </c:ser>
        <c:ser>
          <c:idx val="2"/>
          <c:order val="2"/>
          <c:tx>
            <c:v>Rifiuti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RIFIUTI!$B$6</c:f>
              <c:numCache>
                <c:formatCode>#,##0.00</c:formatCode>
                <c:ptCount val="1"/>
                <c:pt idx="0">
                  <c:v>32516.18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C-4D1C-A544-6DCDDD20D42E}"/>
            </c:ext>
          </c:extLst>
        </c:ser>
        <c:ser>
          <c:idx val="3"/>
          <c:order val="3"/>
          <c:tx>
            <c:v>Rifiuti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-8.9703364301784975E-17"/>
                  <c:y val="9.25926263461017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6-44D2-8D8C-63AB5289D0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RIFIUTI!$B$7</c:f>
              <c:numCache>
                <c:formatCode>#,##0.00</c:formatCode>
                <c:ptCount val="1"/>
                <c:pt idx="0">
                  <c:v>710.86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6-44D2-8D8C-63AB5289D0F6}"/>
            </c:ext>
          </c:extLst>
        </c:ser>
        <c:ser>
          <c:idx val="4"/>
          <c:order val="4"/>
          <c:tx>
            <c:v>Rifiuti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RIFIUTI!$B$8</c:f>
              <c:numCache>
                <c:formatCode>#,##0.00</c:formatCode>
                <c:ptCount val="1"/>
                <c:pt idx="0">
                  <c:v>1714.91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E-4D22-A485-84C9A32AB2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2974781569463567"/>
          <c:y val="0.87791334132157384"/>
          <c:w val="0.85999987671263489"/>
          <c:h val="7.853786765014131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it-IT"/>
              <a:t>Indicatore RIF [kg/ton]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RIF 2020</c:v>
          </c:tx>
          <c:spPr>
            <a:solidFill>
              <a:srgbClr val="D20000"/>
            </a:solidFill>
            <a:ln>
              <a:solidFill>
                <a:srgbClr val="D2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RIFIUTI!$D$20</c:f>
              <c:numCache>
                <c:formatCode>#,##0.00</c:formatCode>
                <c:ptCount val="1"/>
                <c:pt idx="0">
                  <c:v>7.4793784603716338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8-46C7-91FF-8527CBFFDAD7}"/>
            </c:ext>
          </c:extLst>
        </c:ser>
        <c:ser>
          <c:idx val="1"/>
          <c:order val="1"/>
          <c:tx>
            <c:v>RIF 2021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RIFIUTI!$D$21</c:f>
              <c:numCache>
                <c:formatCode>#,##0.00</c:formatCode>
                <c:ptCount val="1"/>
                <c:pt idx="0">
                  <c:v>1.716257552776189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8-46C7-91FF-8527CBFFDAD7}"/>
            </c:ext>
          </c:extLst>
        </c:ser>
        <c:ser>
          <c:idx val="2"/>
          <c:order val="2"/>
          <c:tx>
            <c:v>RIF 2022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RIFIUTI!$D$22</c:f>
              <c:numCache>
                <c:formatCode>#,##0.00</c:formatCode>
                <c:ptCount val="1"/>
                <c:pt idx="0">
                  <c:v>2.5233726524910756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8-46C7-91FF-8527CBFFDAD7}"/>
            </c:ext>
          </c:extLst>
        </c:ser>
        <c:ser>
          <c:idx val="3"/>
          <c:order val="3"/>
          <c:tx>
            <c:v>RIF 2023</c:v>
          </c:tx>
          <c:spPr>
            <a:solidFill>
              <a:srgbClr val="873AC0"/>
            </a:solidFill>
            <a:ln>
              <a:solidFill>
                <a:srgbClr val="873AC0"/>
              </a:solidFill>
            </a:ln>
          </c:spPr>
          <c:invertIfNegative val="0"/>
          <c:dLbls>
            <c:dLbl>
              <c:idx val="0"/>
              <c:layout>
                <c:manualLayout>
                  <c:x val="-3.4013605442176869E-3"/>
                  <c:y val="1.4925373134328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2E-4BAE-B76B-FFE677C531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RIFIUTI!$D$23</c:f>
              <c:numCache>
                <c:formatCode>#,##0.00</c:formatCode>
                <c:ptCount val="1"/>
                <c:pt idx="0">
                  <c:v>8.5852657004830926E-2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E-4BAE-B76B-FFE677C5318B}"/>
            </c:ext>
          </c:extLst>
        </c:ser>
        <c:ser>
          <c:idx val="4"/>
          <c:order val="4"/>
          <c:tx>
            <c:v>RIF 2024</c:v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RIFIUTI!$D$24</c:f>
              <c:numCache>
                <c:formatCode>#,##0.00</c:formatCode>
                <c:ptCount val="1"/>
                <c:pt idx="0">
                  <c:v>0.1028000239779403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4-4A39-BD94-27570FF7C4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6107264"/>
        <c:axId val="133296640"/>
      </c:barChart>
      <c:catAx>
        <c:axId val="15610726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one"/>
        <c:crossAx val="133296640"/>
        <c:crosses val="autoZero"/>
        <c:auto val="1"/>
        <c:lblAlgn val="ctr"/>
        <c:lblOffset val="100"/>
        <c:noMultiLvlLbl val="0"/>
      </c:catAx>
      <c:valAx>
        <c:axId val="133296640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crossAx val="1561072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15827869425067E-2"/>
          <c:y val="0.87528866850121245"/>
          <c:w val="0.8843537618634173"/>
          <c:h val="7.826608179167915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  <a:latin typeface="Times New Roman" pitchFamily="18" charset="0"/>
          <a:cs typeface="Times New Roman" pitchFamily="18" charset="0"/>
        </a:defRPr>
      </a:pPr>
      <a:endParaRPr lang="it-IT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38</xdr:row>
      <xdr:rowOff>171450</xdr:rowOff>
    </xdr:from>
    <xdr:to>
      <xdr:col>16</xdr:col>
      <xdr:colOff>114300</xdr:colOff>
      <xdr:row>50</xdr:row>
      <xdr:rowOff>114300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C8924B7-3466-4FEE-831A-EAFD4CD7C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55</xdr:row>
      <xdr:rowOff>47625</xdr:rowOff>
    </xdr:from>
    <xdr:to>
      <xdr:col>16</xdr:col>
      <xdr:colOff>133350</xdr:colOff>
      <xdr:row>67</xdr:row>
      <xdr:rowOff>123825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57F610E-20DE-4F44-8346-C1329E206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619125</xdr:colOff>
      <xdr:row>1</xdr:row>
      <xdr:rowOff>26458</xdr:rowOff>
    </xdr:from>
    <xdr:to>
      <xdr:col>10</xdr:col>
      <xdr:colOff>276225</xdr:colOff>
      <xdr:row>14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B0E293D-1C8E-4E22-BAE5-837948430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488951</xdr:colOff>
      <xdr:row>1</xdr:row>
      <xdr:rowOff>51860</xdr:rowOff>
    </xdr:from>
    <xdr:to>
      <xdr:col>18</xdr:col>
      <xdr:colOff>542925</xdr:colOff>
      <xdr:row>14</xdr:row>
      <xdr:rowOff>38101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00C95BA-0F6B-4686-8F60-6F8E6DAAC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19050</xdr:colOff>
      <xdr:row>0</xdr:row>
      <xdr:rowOff>66675</xdr:rowOff>
    </xdr:from>
    <xdr:to>
      <xdr:col>31</xdr:col>
      <xdr:colOff>295275</xdr:colOff>
      <xdr:row>15</xdr:row>
      <xdr:rowOff>66676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98981D3-C0BF-4A16-94A5-73FABEAD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600075</xdr:colOff>
      <xdr:row>16</xdr:row>
      <xdr:rowOff>92075</xdr:rowOff>
    </xdr:from>
    <xdr:to>
      <xdr:col>10</xdr:col>
      <xdr:colOff>266700</xdr:colOff>
      <xdr:row>31</xdr:row>
      <xdr:rowOff>19050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FAD9CF75-6924-438B-8A9E-042811B3B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530224</xdr:colOff>
      <xdr:row>16</xdr:row>
      <xdr:rowOff>78319</xdr:rowOff>
    </xdr:from>
    <xdr:to>
      <xdr:col>18</xdr:col>
      <xdr:colOff>571499</xdr:colOff>
      <xdr:row>31</xdr:row>
      <xdr:rowOff>9525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D8AD21F-DD97-43F5-AA09-31E4DACE0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1059</xdr:colOff>
      <xdr:row>15</xdr:row>
      <xdr:rowOff>123825</xdr:rowOff>
    </xdr:from>
    <xdr:to>
      <xdr:col>31</xdr:col>
      <xdr:colOff>295275</xdr:colOff>
      <xdr:row>32</xdr:row>
      <xdr:rowOff>104775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5FEA2152-2A72-4BAA-ADB1-9127EC155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333376</xdr:colOff>
      <xdr:row>0</xdr:row>
      <xdr:rowOff>161925</xdr:rowOff>
    </xdr:from>
    <xdr:to>
      <xdr:col>10</xdr:col>
      <xdr:colOff>352425</xdr:colOff>
      <xdr:row>12</xdr:row>
      <xdr:rowOff>123824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1989F59-B43B-43F8-AC3E-8344551DD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304801</xdr:colOff>
      <xdr:row>15</xdr:row>
      <xdr:rowOff>28575</xdr:rowOff>
    </xdr:from>
    <xdr:to>
      <xdr:col>10</xdr:col>
      <xdr:colOff>400050</xdr:colOff>
      <xdr:row>29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D942C8B-0421-4DCC-8F2F-39F78A908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561975</xdr:colOff>
      <xdr:row>37</xdr:row>
      <xdr:rowOff>180976</xdr:rowOff>
    </xdr:from>
    <xdr:to>
      <xdr:col>16</xdr:col>
      <xdr:colOff>314325</xdr:colOff>
      <xdr:row>50</xdr:row>
      <xdr:rowOff>57150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E96F5CA-0FE9-48C0-9551-59588E8FC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0</xdr:row>
      <xdr:rowOff>161925</xdr:rowOff>
    </xdr:from>
    <xdr:to>
      <xdr:col>18</xdr:col>
      <xdr:colOff>590549</xdr:colOff>
      <xdr:row>12</xdr:row>
      <xdr:rowOff>123824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0B0FE59-13C8-446F-96C5-8E24B1734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266698</xdr:colOff>
      <xdr:row>0</xdr:row>
      <xdr:rowOff>57150</xdr:rowOff>
    </xdr:from>
    <xdr:to>
      <xdr:col>31</xdr:col>
      <xdr:colOff>400050</xdr:colOff>
      <xdr:row>14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52F6B8D-FE97-4C82-B19F-EBBD41ADE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600075</xdr:colOff>
      <xdr:row>15</xdr:row>
      <xdr:rowOff>19050</xdr:rowOff>
    </xdr:from>
    <xdr:to>
      <xdr:col>18</xdr:col>
      <xdr:colOff>523875</xdr:colOff>
      <xdr:row>29</xdr:row>
      <xdr:rowOff>152400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C28E671-9FEB-4208-8F05-BB3BA759D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238124</xdr:colOff>
      <xdr:row>15</xdr:row>
      <xdr:rowOff>9525</xdr:rowOff>
    </xdr:from>
    <xdr:to>
      <xdr:col>31</xdr:col>
      <xdr:colOff>476250</xdr:colOff>
      <xdr:row>30</xdr:row>
      <xdr:rowOff>19050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70EA022-7699-416F-9E9A-93F8369C3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0</xdr:row>
      <xdr:rowOff>85726</xdr:rowOff>
    </xdr:from>
    <xdr:to>
      <xdr:col>25</xdr:col>
      <xdr:colOff>66675</xdr:colOff>
      <xdr:row>13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DCAD87-19FE-45D2-8EE4-0FF9F4B06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180975</xdr:rowOff>
    </xdr:from>
    <xdr:to>
      <xdr:col>14</xdr:col>
      <xdr:colOff>428625</xdr:colOff>
      <xdr:row>28</xdr:row>
      <xdr:rowOff>114300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EC62C4F-07D4-44E5-A1A4-2300DD1F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466725</xdr:colOff>
      <xdr:row>0</xdr:row>
      <xdr:rowOff>104775</xdr:rowOff>
    </xdr:from>
    <xdr:to>
      <xdr:col>7</xdr:col>
      <xdr:colOff>152400</xdr:colOff>
      <xdr:row>10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5469372-A2CC-4BDE-B388-16123ACC0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381000</xdr:colOff>
      <xdr:row>0</xdr:row>
      <xdr:rowOff>114300</xdr:rowOff>
    </xdr:from>
    <xdr:to>
      <xdr:col>14</xdr:col>
      <xdr:colOff>85725</xdr:colOff>
      <xdr:row>10</xdr:row>
      <xdr:rowOff>66675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C96E394-3F80-422E-9076-D29D0046E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523876</xdr:colOff>
      <xdr:row>0</xdr:row>
      <xdr:rowOff>247651</xdr:rowOff>
    </xdr:from>
    <xdr:to>
      <xdr:col>8</xdr:col>
      <xdr:colOff>371474</xdr:colOff>
      <xdr:row>12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2394787-3B73-4547-A3E3-01A8094DE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13</xdr:row>
      <xdr:rowOff>76200</xdr:rowOff>
    </xdr:from>
    <xdr:to>
      <xdr:col>14</xdr:col>
      <xdr:colOff>352425</xdr:colOff>
      <xdr:row>27</xdr:row>
      <xdr:rowOff>47625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0883B2A-9E26-45A4-B6F7-1E494329B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180976</xdr:colOff>
      <xdr:row>29</xdr:row>
      <xdr:rowOff>19050</xdr:rowOff>
    </xdr:from>
    <xdr:to>
      <xdr:col>12</xdr:col>
      <xdr:colOff>66676</xdr:colOff>
      <xdr:row>41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89D48C9-9E27-4D71-825F-1682BE474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876301</xdr:colOff>
      <xdr:row>45</xdr:row>
      <xdr:rowOff>57151</xdr:rowOff>
    </xdr:from>
    <xdr:to>
      <xdr:col>11</xdr:col>
      <xdr:colOff>581026</xdr:colOff>
      <xdr:row>57</xdr:row>
      <xdr:rowOff>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8E0FBBE-6ABA-4138-BCB5-326C4F89B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0</xdr:row>
      <xdr:rowOff>228600</xdr:rowOff>
    </xdr:from>
    <xdr:to>
      <xdr:col>16</xdr:col>
      <xdr:colOff>466723</xdr:colOff>
      <xdr:row>11</xdr:row>
      <xdr:rowOff>180974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31CC14F-8B3B-4AF3-B8FA-8D91CEC0A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57151</xdr:colOff>
      <xdr:row>0</xdr:row>
      <xdr:rowOff>209550</xdr:rowOff>
    </xdr:from>
    <xdr:to>
      <xdr:col>29</xdr:col>
      <xdr:colOff>85725</xdr:colOff>
      <xdr:row>13</xdr:row>
      <xdr:rowOff>171450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A7F39DB0-7E2F-478E-BBBC-5AE7153E6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36</xdr:row>
      <xdr:rowOff>1</xdr:rowOff>
    </xdr:from>
    <xdr:to>
      <xdr:col>12</xdr:col>
      <xdr:colOff>409575</xdr:colOff>
      <xdr:row>48</xdr:row>
      <xdr:rowOff>142876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7F77DAA-E60A-4293-909B-766A1B5A5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1181100</xdr:colOff>
      <xdr:row>52</xdr:row>
      <xdr:rowOff>142875</xdr:rowOff>
    </xdr:from>
    <xdr:to>
      <xdr:col>7</xdr:col>
      <xdr:colOff>190500</xdr:colOff>
      <xdr:row>64</xdr:row>
      <xdr:rowOff>180975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05AFC7-CA04-4B83-8774-5087A994E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0</xdr:row>
      <xdr:rowOff>104775</xdr:rowOff>
    </xdr:from>
    <xdr:to>
      <xdr:col>7</xdr:col>
      <xdr:colOff>600074</xdr:colOff>
      <xdr:row>11</xdr:row>
      <xdr:rowOff>190499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FF296E4-2D63-47DE-ABD8-A0589A7CB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238124</xdr:colOff>
      <xdr:row>0</xdr:row>
      <xdr:rowOff>104775</xdr:rowOff>
    </xdr:from>
    <xdr:to>
      <xdr:col>16</xdr:col>
      <xdr:colOff>228598</xdr:colOff>
      <xdr:row>11</xdr:row>
      <xdr:rowOff>190499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2FCF4FC-AFFC-4D3B-B701-53A733EF6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514347</xdr:colOff>
      <xdr:row>0</xdr:row>
      <xdr:rowOff>0</xdr:rowOff>
    </xdr:from>
    <xdr:to>
      <xdr:col>29</xdr:col>
      <xdr:colOff>38099</xdr:colOff>
      <xdr:row>13</xdr:row>
      <xdr:rowOff>66675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E2A88BF0-6DDF-4899-860C-B7E4DB358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11</xdr:row>
      <xdr:rowOff>85725</xdr:rowOff>
    </xdr:from>
    <xdr:to>
      <xdr:col>7</xdr:col>
      <xdr:colOff>828675</xdr:colOff>
      <xdr:row>23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640856F-199E-4332-9116-B8B2D302F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781051</xdr:colOff>
      <xdr:row>0</xdr:row>
      <xdr:rowOff>142876</xdr:rowOff>
    </xdr:from>
    <xdr:to>
      <xdr:col>7</xdr:col>
      <xdr:colOff>285750</xdr:colOff>
      <xdr:row>12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EFEC59B-A1FE-44B6-9733-02E90135E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13</xdr:row>
      <xdr:rowOff>57149</xdr:rowOff>
    </xdr:from>
    <xdr:to>
      <xdr:col>10</xdr:col>
      <xdr:colOff>409575</xdr:colOff>
      <xdr:row>25</xdr:row>
      <xdr:rowOff>104775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1D7ECBA-111A-4B8F-9822-DA77ADD54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3FFC-5380-40A4-A5A0-B6308964EECF}">
  <dimension ref="A1:E20"/>
  <sheetViews>
    <sheetView workbookViewId="0">
      <selection activeCell="D17" sqref="D17"/>
    </sheetView>
  </sheetViews>
  <sheetFormatPr defaultColWidth="9.140625" defaultRowHeight="15.75" x14ac:dyDescent="0.25"/>
  <cols>
    <col min="1" max="1" width="46.85546875" style="1" customWidth="1"/>
    <col min="2" max="2" width="33.140625" style="1" customWidth="1"/>
    <col min="3" max="3" width="53.28515625" style="1" customWidth="1"/>
    <col min="4" max="4" width="62.7109375" style="1" customWidth="1"/>
    <col min="5" max="5" width="47.28515625" style="1" customWidth="1"/>
    <col min="6" max="16384" width="9.140625" style="1"/>
  </cols>
  <sheetData>
    <row r="1" spans="1:5" ht="20.25" x14ac:dyDescent="0.25">
      <c r="A1" s="10" t="s">
        <v>0</v>
      </c>
    </row>
    <row r="2" spans="1:5" x14ac:dyDescent="0.25">
      <c r="A2" s="2"/>
    </row>
    <row r="3" spans="1:5" x14ac:dyDescent="0.25">
      <c r="A3" s="2" t="s">
        <v>6</v>
      </c>
    </row>
    <row r="4" spans="1:5" x14ac:dyDescent="0.25">
      <c r="A4" s="2"/>
    </row>
    <row r="5" spans="1:5" x14ac:dyDescent="0.25">
      <c r="A5" s="2"/>
    </row>
    <row r="6" spans="1:5" ht="27" customHeight="1" x14ac:dyDescent="0.25">
      <c r="A6" s="18" t="s">
        <v>67</v>
      </c>
      <c r="B6" s="18" t="s">
        <v>68</v>
      </c>
      <c r="C6" s="18" t="s">
        <v>35</v>
      </c>
      <c r="D6" s="18" t="s">
        <v>114</v>
      </c>
    </row>
    <row r="7" spans="1:5" ht="19.5" customHeight="1" x14ac:dyDescent="0.25">
      <c r="A7" s="17" t="s">
        <v>1</v>
      </c>
      <c r="B7" s="60"/>
      <c r="C7" s="61"/>
      <c r="D7" s="62"/>
    </row>
    <row r="8" spans="1:5" ht="73.5" customHeight="1" x14ac:dyDescent="0.25">
      <c r="A8" s="25" t="s">
        <v>65</v>
      </c>
      <c r="B8" s="3" t="s">
        <v>69</v>
      </c>
      <c r="C8" s="19" t="s">
        <v>108</v>
      </c>
      <c r="D8" s="24" t="s">
        <v>142</v>
      </c>
      <c r="E8" s="22"/>
    </row>
    <row r="9" spans="1:5" ht="48.75" customHeight="1" x14ac:dyDescent="0.25">
      <c r="A9" s="25" t="s">
        <v>66</v>
      </c>
      <c r="B9" s="3" t="s">
        <v>70</v>
      </c>
      <c r="C9" s="19" t="s">
        <v>148</v>
      </c>
      <c r="D9" s="24" t="s">
        <v>142</v>
      </c>
    </row>
    <row r="10" spans="1:5" ht="47.25" customHeight="1" x14ac:dyDescent="0.25">
      <c r="A10" s="17" t="s">
        <v>2</v>
      </c>
      <c r="B10" s="3" t="s">
        <v>71</v>
      </c>
      <c r="C10" s="19" t="s">
        <v>107</v>
      </c>
      <c r="D10" s="24" t="s">
        <v>142</v>
      </c>
    </row>
    <row r="11" spans="1:5" ht="42.75" customHeight="1" x14ac:dyDescent="0.25">
      <c r="A11" s="17" t="s">
        <v>3</v>
      </c>
      <c r="B11" s="3" t="s">
        <v>72</v>
      </c>
      <c r="C11" s="12"/>
      <c r="D11" s="32" t="s">
        <v>115</v>
      </c>
    </row>
    <row r="12" spans="1:5" ht="47.25" customHeight="1" x14ac:dyDescent="0.25">
      <c r="A12" s="17" t="s">
        <v>4</v>
      </c>
      <c r="B12" s="3" t="s">
        <v>75</v>
      </c>
      <c r="C12" s="12"/>
      <c r="D12" s="24" t="s">
        <v>141</v>
      </c>
    </row>
    <row r="13" spans="1:5" ht="19.5" customHeight="1" x14ac:dyDescent="0.25">
      <c r="A13" s="17" t="s">
        <v>5</v>
      </c>
      <c r="B13" s="63"/>
      <c r="C13" s="64"/>
      <c r="D13" s="65"/>
    </row>
    <row r="14" spans="1:5" ht="39.75" customHeight="1" x14ac:dyDescent="0.25">
      <c r="A14" s="26" t="s">
        <v>136</v>
      </c>
      <c r="B14" s="3" t="s">
        <v>125</v>
      </c>
      <c r="C14" s="19" t="s">
        <v>144</v>
      </c>
      <c r="D14" s="24" t="s">
        <v>143</v>
      </c>
    </row>
    <row r="15" spans="1:5" ht="27.75" customHeight="1" x14ac:dyDescent="0.25">
      <c r="A15" s="25" t="s">
        <v>127</v>
      </c>
      <c r="B15" s="3" t="s">
        <v>126</v>
      </c>
      <c r="C15" s="12"/>
      <c r="D15" s="15"/>
      <c r="E15" s="27"/>
    </row>
    <row r="16" spans="1:5" ht="35.25" customHeight="1" x14ac:dyDescent="0.25">
      <c r="A16" s="15" t="s">
        <v>7</v>
      </c>
      <c r="B16" s="3" t="s">
        <v>21</v>
      </c>
      <c r="C16" s="12"/>
      <c r="D16" s="32" t="s">
        <v>128</v>
      </c>
    </row>
    <row r="17" spans="1:4" ht="26.25" customHeight="1" x14ac:dyDescent="0.25">
      <c r="A17" s="15" t="s">
        <v>8</v>
      </c>
      <c r="B17" s="3" t="s">
        <v>21</v>
      </c>
      <c r="C17" s="12"/>
      <c r="D17" s="33" t="s">
        <v>129</v>
      </c>
    </row>
    <row r="18" spans="1:4" ht="60" customHeight="1" x14ac:dyDescent="0.25">
      <c r="A18" s="17" t="s">
        <v>9</v>
      </c>
      <c r="B18" s="3" t="s">
        <v>80</v>
      </c>
      <c r="C18" s="12"/>
      <c r="D18" s="24" t="s">
        <v>145</v>
      </c>
    </row>
    <row r="19" spans="1:4" ht="44.25" customHeight="1" x14ac:dyDescent="0.25">
      <c r="A19" s="17" t="s">
        <v>10</v>
      </c>
      <c r="B19" s="3" t="s">
        <v>62</v>
      </c>
      <c r="C19" s="12"/>
      <c r="D19" s="24" t="s">
        <v>146</v>
      </c>
    </row>
    <row r="20" spans="1:4" ht="47.25" customHeight="1" x14ac:dyDescent="0.25">
      <c r="A20" s="17" t="s">
        <v>48</v>
      </c>
      <c r="B20" s="3" t="s">
        <v>81</v>
      </c>
      <c r="C20" s="12"/>
      <c r="D20" s="24" t="s">
        <v>147</v>
      </c>
    </row>
  </sheetData>
  <mergeCells count="2">
    <mergeCell ref="B7:D7"/>
    <mergeCell ref="B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9468-31B3-4E55-88F0-4159561B0D45}">
  <dimension ref="A1:F70"/>
  <sheetViews>
    <sheetView topLeftCell="A37" workbookViewId="0">
      <selection activeCell="S39" sqref="S39"/>
    </sheetView>
  </sheetViews>
  <sheetFormatPr defaultColWidth="9.140625" defaultRowHeight="15.75" x14ac:dyDescent="0.25"/>
  <cols>
    <col min="1" max="1" width="9.140625" style="1"/>
    <col min="2" max="2" width="23.5703125" style="1" customWidth="1"/>
    <col min="3" max="3" width="15.5703125" style="1" customWidth="1"/>
    <col min="4" max="4" width="16" style="1" customWidth="1"/>
    <col min="5" max="5" width="13.85546875" style="1" customWidth="1"/>
    <col min="6" max="16384" width="9.140625" style="1"/>
  </cols>
  <sheetData>
    <row r="1" spans="1:3" ht="20.25" x14ac:dyDescent="0.25">
      <c r="A1" s="10" t="s">
        <v>11</v>
      </c>
    </row>
    <row r="2" spans="1:3" x14ac:dyDescent="0.25">
      <c r="A2" s="2"/>
    </row>
    <row r="3" spans="1:3" ht="41.25" customHeight="1" x14ac:dyDescent="0.25">
      <c r="A3" s="3" t="s">
        <v>12</v>
      </c>
      <c r="B3" s="4" t="s">
        <v>13</v>
      </c>
      <c r="C3" s="4" t="s">
        <v>14</v>
      </c>
    </row>
    <row r="4" spans="1:3" x14ac:dyDescent="0.25">
      <c r="A4" s="5">
        <v>2020</v>
      </c>
      <c r="B4" s="6">
        <v>3455531</v>
      </c>
      <c r="C4" s="7">
        <v>456874.17999999993</v>
      </c>
    </row>
    <row r="5" spans="1:3" x14ac:dyDescent="0.25">
      <c r="A5" s="5">
        <v>2021</v>
      </c>
      <c r="B5" s="6">
        <v>4146430</v>
      </c>
      <c r="C5" s="7">
        <v>897971.01</v>
      </c>
    </row>
    <row r="6" spans="1:3" x14ac:dyDescent="0.25">
      <c r="A6" s="8">
        <v>2022</v>
      </c>
      <c r="B6" s="6">
        <v>3286718</v>
      </c>
      <c r="C6" s="7">
        <v>1427223.1</v>
      </c>
    </row>
    <row r="7" spans="1:3" x14ac:dyDescent="0.25">
      <c r="A7" s="36">
        <v>2023</v>
      </c>
      <c r="B7" s="37">
        <v>2781483.477</v>
      </c>
      <c r="C7" s="38">
        <v>887352.42</v>
      </c>
    </row>
    <row r="8" spans="1:3" x14ac:dyDescent="0.25">
      <c r="A8" s="36">
        <v>2024</v>
      </c>
      <c r="B8" s="37">
        <v>3391455</v>
      </c>
      <c r="C8" s="38">
        <v>862055.51</v>
      </c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5" x14ac:dyDescent="0.25">
      <c r="A33" s="2"/>
    </row>
    <row r="34" spans="1:5" x14ac:dyDescent="0.25">
      <c r="A34" s="9" t="s">
        <v>63</v>
      </c>
    </row>
    <row r="35" spans="1:5" x14ac:dyDescent="0.25">
      <c r="A35" s="9" t="s">
        <v>150</v>
      </c>
    </row>
    <row r="36" spans="1:5" x14ac:dyDescent="0.25">
      <c r="A36" s="9" t="s">
        <v>151</v>
      </c>
    </row>
    <row r="37" spans="1:5" x14ac:dyDescent="0.25">
      <c r="A37" s="9" t="s">
        <v>159</v>
      </c>
    </row>
    <row r="38" spans="1:5" x14ac:dyDescent="0.25">
      <c r="A38" s="40" t="s">
        <v>160</v>
      </c>
    </row>
    <row r="39" spans="1:5" x14ac:dyDescent="0.25">
      <c r="A39" s="9"/>
    </row>
    <row r="41" spans="1:5" x14ac:dyDescent="0.25">
      <c r="A41" s="2" t="s">
        <v>95</v>
      </c>
    </row>
    <row r="42" spans="1:5" x14ac:dyDescent="0.25">
      <c r="A42" s="2"/>
    </row>
    <row r="43" spans="1:5" ht="18" customHeight="1" x14ac:dyDescent="0.25">
      <c r="A43" s="1" t="s">
        <v>94</v>
      </c>
    </row>
    <row r="45" spans="1:5" ht="31.5" x14ac:dyDescent="0.25">
      <c r="A45" s="3" t="s">
        <v>12</v>
      </c>
      <c r="B45" s="4" t="s">
        <v>13</v>
      </c>
      <c r="C45" s="4" t="s">
        <v>14</v>
      </c>
      <c r="D45" s="4" t="s">
        <v>16</v>
      </c>
      <c r="E45" s="4" t="s">
        <v>97</v>
      </c>
    </row>
    <row r="46" spans="1:5" x14ac:dyDescent="0.25">
      <c r="A46" s="5">
        <v>2020</v>
      </c>
      <c r="B46" s="6">
        <v>3455531</v>
      </c>
      <c r="C46" s="7">
        <v>456874.17999999993</v>
      </c>
      <c r="D46" s="6">
        <v>26370000</v>
      </c>
      <c r="E46" s="7">
        <f>B46/D46</f>
        <v>0.13104023511566174</v>
      </c>
    </row>
    <row r="47" spans="1:5" x14ac:dyDescent="0.25">
      <c r="A47" s="5">
        <v>2021</v>
      </c>
      <c r="B47" s="6">
        <v>4146430</v>
      </c>
      <c r="C47" s="7">
        <v>897971.01</v>
      </c>
      <c r="D47" s="6">
        <v>40217000</v>
      </c>
      <c r="E47" s="7">
        <f t="shared" ref="E47" si="0">B47/D47</f>
        <v>0.10310142477061938</v>
      </c>
    </row>
    <row r="48" spans="1:5" x14ac:dyDescent="0.25">
      <c r="A48" s="8">
        <v>2022</v>
      </c>
      <c r="B48" s="6">
        <v>3286718</v>
      </c>
      <c r="C48" s="7">
        <v>1427223.1</v>
      </c>
      <c r="D48" s="6">
        <v>12886000</v>
      </c>
      <c r="E48" s="7">
        <f>B48/D48</f>
        <v>0.25506115163743598</v>
      </c>
    </row>
    <row r="49" spans="1:6" x14ac:dyDescent="0.25">
      <c r="A49" s="36">
        <v>2023</v>
      </c>
      <c r="B49" s="37">
        <v>2781483.477</v>
      </c>
      <c r="C49" s="38">
        <v>887352.42</v>
      </c>
      <c r="D49" s="37">
        <v>8280000</v>
      </c>
      <c r="E49" s="38">
        <f>B49/D49</f>
        <v>0.33592795615942028</v>
      </c>
    </row>
    <row r="50" spans="1:6" x14ac:dyDescent="0.25">
      <c r="A50" s="36">
        <v>2024</v>
      </c>
      <c r="B50" s="37">
        <v>3391455</v>
      </c>
      <c r="C50" s="38">
        <v>862055.51</v>
      </c>
      <c r="D50" s="37">
        <v>16681850</v>
      </c>
      <c r="E50" s="38">
        <f>B50/D50</f>
        <v>0.20330209179437533</v>
      </c>
    </row>
    <row r="51" spans="1:6" x14ac:dyDescent="0.25">
      <c r="A51" s="2"/>
    </row>
    <row r="53" spans="1:6" ht="18.75" x14ac:dyDescent="0.25">
      <c r="A53" s="11" t="s">
        <v>15</v>
      </c>
    </row>
    <row r="54" spans="1:6" ht="18.75" x14ac:dyDescent="0.25">
      <c r="A54" s="11"/>
    </row>
    <row r="55" spans="1:6" x14ac:dyDescent="0.25">
      <c r="A55" s="9" t="s">
        <v>149</v>
      </c>
    </row>
    <row r="56" spans="1:6" x14ac:dyDescent="0.25">
      <c r="A56" s="9" t="s">
        <v>96</v>
      </c>
    </row>
    <row r="57" spans="1:6" x14ac:dyDescent="0.25">
      <c r="A57" s="2"/>
    </row>
    <row r="58" spans="1:6" ht="45.75" customHeight="1" x14ac:dyDescent="0.25">
      <c r="A58" s="3" t="s">
        <v>12</v>
      </c>
      <c r="B58" s="4" t="s">
        <v>13</v>
      </c>
      <c r="C58" s="4" t="s">
        <v>14</v>
      </c>
      <c r="D58" s="4" t="s">
        <v>92</v>
      </c>
      <c r="E58" s="4" t="s">
        <v>93</v>
      </c>
      <c r="F58" s="4" t="s">
        <v>134</v>
      </c>
    </row>
    <row r="59" spans="1:6" x14ac:dyDescent="0.25">
      <c r="A59" s="5">
        <v>2020</v>
      </c>
      <c r="B59" s="6">
        <f>5779+4094</f>
        <v>9873</v>
      </c>
      <c r="C59" s="7">
        <v>456874.17999999993</v>
      </c>
      <c r="D59" s="6">
        <v>26370</v>
      </c>
      <c r="E59" s="7">
        <f>B59/D59</f>
        <v>0.3744027303754266</v>
      </c>
      <c r="F59" s="7">
        <f>E60-E59</f>
        <v>-9.700759896333716E-2</v>
      </c>
    </row>
    <row r="60" spans="1:6" x14ac:dyDescent="0.25">
      <c r="A60" s="5">
        <v>2021</v>
      </c>
      <c r="B60" s="6">
        <f>6561+4595</f>
        <v>11156</v>
      </c>
      <c r="C60" s="7">
        <v>897971.01</v>
      </c>
      <c r="D60" s="6">
        <v>40217</v>
      </c>
      <c r="E60" s="7">
        <f t="shared" ref="E60" si="1">B60/D60</f>
        <v>0.27739513141208944</v>
      </c>
      <c r="F60" s="7">
        <f>E61-E60</f>
        <v>3.5114569038011467E-2</v>
      </c>
    </row>
    <row r="61" spans="1:6" x14ac:dyDescent="0.25">
      <c r="A61" s="8">
        <v>2022</v>
      </c>
      <c r="B61" s="6">
        <v>4027</v>
      </c>
      <c r="C61" s="7">
        <v>1427223.1</v>
      </c>
      <c r="D61" s="6">
        <v>12886</v>
      </c>
      <c r="E61" s="7">
        <f>B61/D61</f>
        <v>0.3125097004501009</v>
      </c>
      <c r="F61" s="7">
        <f>E62-E61</f>
        <v>3.6403343028159951E-2</v>
      </c>
    </row>
    <row r="62" spans="1:6" x14ac:dyDescent="0.25">
      <c r="A62" s="36">
        <v>2023</v>
      </c>
      <c r="B62" s="37">
        <v>2889</v>
      </c>
      <c r="C62" s="38">
        <v>887352.42</v>
      </c>
      <c r="D62" s="37">
        <v>8280</v>
      </c>
      <c r="E62" s="38">
        <f>B62/D62</f>
        <v>0.34891304347826085</v>
      </c>
      <c r="F62" s="38">
        <f>E63-E62</f>
        <v>-4.6071657553311829E-2</v>
      </c>
    </row>
    <row r="63" spans="1:6" x14ac:dyDescent="0.25">
      <c r="A63" s="36">
        <v>2024</v>
      </c>
      <c r="B63" s="37">
        <v>5052</v>
      </c>
      <c r="C63" s="38">
        <v>862055.51</v>
      </c>
      <c r="D63" s="37">
        <v>16682</v>
      </c>
      <c r="E63" s="38">
        <f>B63/D63</f>
        <v>0.30284138592494902</v>
      </c>
      <c r="F63" s="38" t="s">
        <v>21</v>
      </c>
    </row>
    <row r="64" spans="1:6" x14ac:dyDescent="0.25">
      <c r="A64" s="2"/>
    </row>
    <row r="65" spans="1:1" x14ac:dyDescent="0.25">
      <c r="A65" s="2"/>
    </row>
    <row r="66" spans="1:1" x14ac:dyDescent="0.25">
      <c r="A66" s="2"/>
    </row>
    <row r="69" spans="1:1" x14ac:dyDescent="0.25">
      <c r="A69" s="2"/>
    </row>
    <row r="70" spans="1:1" x14ac:dyDescent="0.25">
      <c r="A70" s="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041D-DA28-4C36-858A-03FC12EF7CBD}">
  <dimension ref="A1:F57"/>
  <sheetViews>
    <sheetView topLeftCell="A28" workbookViewId="0">
      <selection activeCell="E52" sqref="E52"/>
    </sheetView>
  </sheetViews>
  <sheetFormatPr defaultColWidth="9.140625" defaultRowHeight="15.75" x14ac:dyDescent="0.25"/>
  <cols>
    <col min="1" max="1" width="9.140625" style="1"/>
    <col min="2" max="2" width="19.42578125" style="1" customWidth="1"/>
    <col min="3" max="3" width="15.5703125" style="1" customWidth="1"/>
    <col min="4" max="4" width="13.140625" style="1" customWidth="1"/>
    <col min="5" max="5" width="13.85546875" style="1" customWidth="1"/>
    <col min="6" max="16384" width="9.140625" style="1"/>
  </cols>
  <sheetData>
    <row r="1" spans="1:3" ht="20.25" x14ac:dyDescent="0.25">
      <c r="A1" s="10" t="s">
        <v>17</v>
      </c>
    </row>
    <row r="2" spans="1:3" x14ac:dyDescent="0.25">
      <c r="A2" s="2"/>
    </row>
    <row r="3" spans="1:3" ht="41.25" customHeight="1" x14ac:dyDescent="0.25">
      <c r="A3" s="3" t="s">
        <v>12</v>
      </c>
      <c r="B3" s="4" t="s">
        <v>18</v>
      </c>
      <c r="C3" s="4" t="s">
        <v>14</v>
      </c>
    </row>
    <row r="4" spans="1:3" x14ac:dyDescent="0.25">
      <c r="A4" s="5">
        <v>2020</v>
      </c>
      <c r="B4" s="6">
        <v>1145030</v>
      </c>
      <c r="C4" s="7">
        <v>416687.02</v>
      </c>
    </row>
    <row r="5" spans="1:3" x14ac:dyDescent="0.25">
      <c r="A5" s="5">
        <v>2021</v>
      </c>
      <c r="B5" s="6">
        <v>890901</v>
      </c>
      <c r="C5" s="7">
        <v>535387.17999999993</v>
      </c>
    </row>
    <row r="6" spans="1:3" x14ac:dyDescent="0.25">
      <c r="A6" s="8">
        <v>2022</v>
      </c>
      <c r="B6" s="6">
        <v>341724</v>
      </c>
      <c r="C6" s="7">
        <v>557741.78</v>
      </c>
    </row>
    <row r="7" spans="1:3" x14ac:dyDescent="0.25">
      <c r="A7" s="36">
        <v>2023</v>
      </c>
      <c r="B7" s="37">
        <v>216136</v>
      </c>
      <c r="C7" s="38">
        <v>200097.25</v>
      </c>
    </row>
    <row r="8" spans="1:3" x14ac:dyDescent="0.25">
      <c r="A8" s="36">
        <v>2024</v>
      </c>
      <c r="B8" s="37">
        <v>302289</v>
      </c>
      <c r="C8" s="38">
        <v>230987.04</v>
      </c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2" spans="1:1" x14ac:dyDescent="0.25">
      <c r="A32" s="9" t="s">
        <v>64</v>
      </c>
    </row>
    <row r="33" spans="1:6" x14ac:dyDescent="0.25">
      <c r="A33" s="9" t="s">
        <v>152</v>
      </c>
    </row>
    <row r="34" spans="1:6" x14ac:dyDescent="0.25">
      <c r="A34" s="9" t="s">
        <v>161</v>
      </c>
    </row>
    <row r="35" spans="1:6" x14ac:dyDescent="0.25">
      <c r="A35" s="9" t="s">
        <v>162</v>
      </c>
    </row>
    <row r="36" spans="1:6" x14ac:dyDescent="0.25">
      <c r="A36" s="40" t="s">
        <v>153</v>
      </c>
    </row>
    <row r="39" spans="1:6" ht="18.75" x14ac:dyDescent="0.25">
      <c r="A39" s="11" t="s">
        <v>22</v>
      </c>
    </row>
    <row r="40" spans="1:6" ht="18.75" x14ac:dyDescent="0.25">
      <c r="A40" s="11"/>
    </row>
    <row r="41" spans="1:6" x14ac:dyDescent="0.25">
      <c r="A41" s="9" t="s">
        <v>99</v>
      </c>
    </row>
    <row r="42" spans="1:6" x14ac:dyDescent="0.25">
      <c r="A42" s="9" t="s">
        <v>100</v>
      </c>
    </row>
    <row r="43" spans="1:6" x14ac:dyDescent="0.25">
      <c r="A43" s="2"/>
    </row>
    <row r="44" spans="1:6" ht="41.25" customHeight="1" x14ac:dyDescent="0.25">
      <c r="A44" s="3" t="s">
        <v>12</v>
      </c>
      <c r="B44" s="4" t="s">
        <v>18</v>
      </c>
      <c r="C44" s="4" t="s">
        <v>14</v>
      </c>
      <c r="D44" s="69" t="s">
        <v>98</v>
      </c>
      <c r="E44" s="4" t="s">
        <v>23</v>
      </c>
      <c r="F44" s="4" t="s">
        <v>134</v>
      </c>
    </row>
    <row r="45" spans="1:6" x14ac:dyDescent="0.25">
      <c r="A45" s="5">
        <v>2020</v>
      </c>
      <c r="B45" s="6">
        <v>1145030</v>
      </c>
      <c r="C45" s="7">
        <v>416687.02</v>
      </c>
      <c r="D45" s="6">
        <v>10638596</v>
      </c>
      <c r="E45" s="23">
        <f>B45/D45</f>
        <v>0.1076298037823788</v>
      </c>
      <c r="F45" s="7">
        <f>E46-E45</f>
        <v>-4.8525769254887455E-2</v>
      </c>
    </row>
    <row r="46" spans="1:6" x14ac:dyDescent="0.25">
      <c r="A46" s="5">
        <v>2021</v>
      </c>
      <c r="B46" s="6">
        <v>890901</v>
      </c>
      <c r="C46" s="7">
        <v>535387.17999999993</v>
      </c>
      <c r="D46" s="6">
        <v>15073438</v>
      </c>
      <c r="E46" s="23">
        <f t="shared" ref="E46" si="0">B46/D46</f>
        <v>5.9104034527491342E-2</v>
      </c>
      <c r="F46" s="7">
        <f t="shared" ref="F46:F48" si="1">E47-E46</f>
        <v>5.3136811549058111E-3</v>
      </c>
    </row>
    <row r="47" spans="1:6" x14ac:dyDescent="0.25">
      <c r="A47" s="8">
        <v>2022</v>
      </c>
      <c r="B47" s="6">
        <v>341724</v>
      </c>
      <c r="C47" s="7">
        <v>557741.78</v>
      </c>
      <c r="D47" s="6">
        <v>5304814</v>
      </c>
      <c r="E47" s="23">
        <f>B47/D47</f>
        <v>6.4417715682397153E-2</v>
      </c>
      <c r="F47" s="7">
        <f t="shared" si="1"/>
        <v>0.30259626282683361</v>
      </c>
    </row>
    <row r="48" spans="1:6" x14ac:dyDescent="0.25">
      <c r="A48" s="36">
        <v>2023</v>
      </c>
      <c r="B48" s="37">
        <v>216136</v>
      </c>
      <c r="C48" s="38">
        <v>200097.25</v>
      </c>
      <c r="D48" s="37">
        <v>588904</v>
      </c>
      <c r="E48" s="39">
        <f>B48/D48</f>
        <v>0.36701397850923073</v>
      </c>
      <c r="F48" s="38">
        <f t="shared" si="1"/>
        <v>-0.32098069079969782</v>
      </c>
    </row>
    <row r="49" spans="1:6" x14ac:dyDescent="0.25">
      <c r="A49" s="36">
        <v>2024</v>
      </c>
      <c r="B49" s="37">
        <v>302289</v>
      </c>
      <c r="C49" s="38">
        <v>230987.04</v>
      </c>
      <c r="D49" s="37">
        <v>6566748</v>
      </c>
      <c r="E49" s="39">
        <f>B49/D49</f>
        <v>4.6033287709532938E-2</v>
      </c>
      <c r="F49" s="38" t="s">
        <v>21</v>
      </c>
    </row>
    <row r="50" spans="1:6" x14ac:dyDescent="0.25">
      <c r="A50" s="2"/>
    </row>
    <row r="51" spans="1:6" x14ac:dyDescent="0.25">
      <c r="A51" s="9" t="s">
        <v>154</v>
      </c>
    </row>
    <row r="52" spans="1:6" x14ac:dyDescent="0.25">
      <c r="A52" s="9" t="s">
        <v>155</v>
      </c>
    </row>
    <row r="53" spans="1:6" x14ac:dyDescent="0.25">
      <c r="A53" s="9" t="s">
        <v>156</v>
      </c>
    </row>
    <row r="54" spans="1:6" x14ac:dyDescent="0.25">
      <c r="A54" s="9" t="s">
        <v>157</v>
      </c>
    </row>
    <row r="55" spans="1:6" x14ac:dyDescent="0.25">
      <c r="A55" s="9" t="s">
        <v>163</v>
      </c>
    </row>
    <row r="56" spans="1:6" x14ac:dyDescent="0.25">
      <c r="A56" s="2"/>
    </row>
    <row r="57" spans="1:6" x14ac:dyDescent="0.25">
      <c r="A57" s="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089A-15E2-454E-A37C-5C8A9A41F68B}">
  <dimension ref="A1:E33"/>
  <sheetViews>
    <sheetView workbookViewId="0">
      <selection activeCell="C26" sqref="C26"/>
    </sheetView>
  </sheetViews>
  <sheetFormatPr defaultColWidth="9.140625" defaultRowHeight="15.75" x14ac:dyDescent="0.25"/>
  <cols>
    <col min="1" max="1" width="9.140625" style="1"/>
    <col min="2" max="2" width="27.7109375" style="1" customWidth="1"/>
    <col min="3" max="3" width="15.5703125" style="1" customWidth="1"/>
    <col min="4" max="4" width="16.5703125" style="1" customWidth="1"/>
    <col min="5" max="5" width="13.85546875" style="1" customWidth="1"/>
    <col min="6" max="16384" width="9.140625" style="1"/>
  </cols>
  <sheetData>
    <row r="1" spans="1:2" ht="20.25" x14ac:dyDescent="0.25">
      <c r="A1" s="10" t="s">
        <v>19</v>
      </c>
    </row>
    <row r="2" spans="1:2" x14ac:dyDescent="0.25">
      <c r="A2" s="2"/>
    </row>
    <row r="3" spans="1:2" ht="47.25" customHeight="1" x14ac:dyDescent="0.25">
      <c r="A3" s="3" t="s">
        <v>12</v>
      </c>
      <c r="B3" s="4" t="s">
        <v>135</v>
      </c>
    </row>
    <row r="4" spans="1:2" x14ac:dyDescent="0.25">
      <c r="A4" s="5">
        <v>2020</v>
      </c>
      <c r="B4" s="6">
        <f>1294+45202</f>
        <v>46496</v>
      </c>
    </row>
    <row r="5" spans="1:2" x14ac:dyDescent="0.25">
      <c r="A5" s="5">
        <v>2021</v>
      </c>
      <c r="B5" s="6">
        <f>1349+46966</f>
        <v>48315</v>
      </c>
    </row>
    <row r="6" spans="1:2" x14ac:dyDescent="0.25">
      <c r="A6" s="8">
        <v>2022</v>
      </c>
      <c r="B6" s="6">
        <f>384+15335</f>
        <v>15719</v>
      </c>
    </row>
    <row r="7" spans="1:2" x14ac:dyDescent="0.25">
      <c r="A7" s="36">
        <v>2023</v>
      </c>
      <c r="B7" s="37">
        <v>8622</v>
      </c>
    </row>
    <row r="8" spans="1:2" x14ac:dyDescent="0.25">
      <c r="A8" s="36">
        <v>2024</v>
      </c>
      <c r="B8" s="37">
        <v>13089</v>
      </c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4" spans="1:2" x14ac:dyDescent="0.25">
      <c r="A14" s="2"/>
    </row>
    <row r="15" spans="1:2" ht="18.75" x14ac:dyDescent="0.25">
      <c r="A15" s="11" t="s">
        <v>24</v>
      </c>
    </row>
    <row r="16" spans="1:2" ht="18.75" x14ac:dyDescent="0.25">
      <c r="A16" s="11"/>
    </row>
    <row r="17" spans="1:5" x14ac:dyDescent="0.25">
      <c r="A17" s="9" t="s">
        <v>101</v>
      </c>
    </row>
    <row r="18" spans="1:5" x14ac:dyDescent="0.25">
      <c r="A18" s="9" t="s">
        <v>102</v>
      </c>
    </row>
    <row r="19" spans="1:5" x14ac:dyDescent="0.25">
      <c r="A19" s="9" t="s">
        <v>103</v>
      </c>
    </row>
    <row r="20" spans="1:5" x14ac:dyDescent="0.25">
      <c r="A20" s="2"/>
    </row>
    <row r="21" spans="1:5" ht="41.25" customHeight="1" x14ac:dyDescent="0.25">
      <c r="A21" s="3" t="s">
        <v>12</v>
      </c>
      <c r="B21" s="4" t="s">
        <v>20</v>
      </c>
      <c r="C21" s="4" t="s">
        <v>92</v>
      </c>
      <c r="D21" s="4" t="s">
        <v>25</v>
      </c>
      <c r="E21" s="4" t="s">
        <v>134</v>
      </c>
    </row>
    <row r="22" spans="1:5" x14ac:dyDescent="0.25">
      <c r="A22" s="5">
        <v>2020</v>
      </c>
      <c r="B22" s="6">
        <v>46496</v>
      </c>
      <c r="C22" s="6">
        <v>26370</v>
      </c>
      <c r="D22" s="7">
        <f>B22/C22</f>
        <v>1.7632157755024649</v>
      </c>
      <c r="E22" s="7">
        <f>D23-D22</f>
        <v>-0.56185814067142337</v>
      </c>
    </row>
    <row r="23" spans="1:5" x14ac:dyDescent="0.25">
      <c r="A23" s="5">
        <v>2021</v>
      </c>
      <c r="B23" s="6">
        <v>48315</v>
      </c>
      <c r="C23" s="6">
        <v>40217</v>
      </c>
      <c r="D23" s="7">
        <f t="shared" ref="D23:D24" si="0">B23/C23</f>
        <v>1.2013576348310415</v>
      </c>
      <c r="E23" s="7">
        <f t="shared" ref="E23:E25" si="1">D24-D23</f>
        <v>1.8493366255408983E-2</v>
      </c>
    </row>
    <row r="24" spans="1:5" x14ac:dyDescent="0.25">
      <c r="A24" s="8">
        <v>2022</v>
      </c>
      <c r="B24" s="6">
        <v>15719</v>
      </c>
      <c r="C24" s="6">
        <v>12886</v>
      </c>
      <c r="D24" s="7">
        <f t="shared" si="0"/>
        <v>1.2198510010864505</v>
      </c>
      <c r="E24" s="7">
        <f t="shared" si="1"/>
        <v>-0.17854665326036345</v>
      </c>
    </row>
    <row r="25" spans="1:5" x14ac:dyDescent="0.25">
      <c r="A25" s="36">
        <v>2023</v>
      </c>
      <c r="B25" s="37">
        <v>8622</v>
      </c>
      <c r="C25" s="37">
        <v>8280</v>
      </c>
      <c r="D25" s="38">
        <f t="shared" ref="D25" si="2">B25/C25</f>
        <v>1.0413043478260871</v>
      </c>
      <c r="E25" s="38">
        <f t="shared" si="1"/>
        <v>-0.25668619652528379</v>
      </c>
    </row>
    <row r="26" spans="1:5" x14ac:dyDescent="0.25">
      <c r="A26" s="36">
        <v>2024</v>
      </c>
      <c r="B26" s="37">
        <v>13089</v>
      </c>
      <c r="C26" s="37">
        <v>16682</v>
      </c>
      <c r="D26" s="38">
        <f t="shared" ref="D26" si="3">B26/C26</f>
        <v>0.78461815130080326</v>
      </c>
      <c r="E26" s="38" t="s">
        <v>21</v>
      </c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2" spans="1:5" x14ac:dyDescent="0.25">
      <c r="A32" s="2"/>
    </row>
    <row r="33" spans="1:1" x14ac:dyDescent="0.25">
      <c r="A33" s="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DB92-973C-4B12-A8D8-3FDD478667D2}">
  <dimension ref="A1:E54"/>
  <sheetViews>
    <sheetView topLeftCell="A28" workbookViewId="0">
      <selection activeCell="C23" sqref="C23:C24"/>
    </sheetView>
  </sheetViews>
  <sheetFormatPr defaultColWidth="9.140625" defaultRowHeight="15.75" x14ac:dyDescent="0.25"/>
  <cols>
    <col min="1" max="1" width="10.7109375" style="1" customWidth="1"/>
    <col min="2" max="2" width="20.5703125" style="1" customWidth="1"/>
    <col min="3" max="3" width="15.5703125" style="1" customWidth="1"/>
    <col min="4" max="4" width="16.140625" style="1" customWidth="1"/>
    <col min="5" max="5" width="13.85546875" style="1" customWidth="1"/>
    <col min="6" max="16384" width="9.140625" style="1"/>
  </cols>
  <sheetData>
    <row r="1" spans="1:2" ht="20.25" x14ac:dyDescent="0.25">
      <c r="A1" s="10" t="s">
        <v>26</v>
      </c>
    </row>
    <row r="2" spans="1:2" x14ac:dyDescent="0.25">
      <c r="A2" s="2"/>
    </row>
    <row r="3" spans="1:2" ht="47.25" customHeight="1" x14ac:dyDescent="0.25">
      <c r="A3" s="3" t="s">
        <v>12</v>
      </c>
      <c r="B3" s="4" t="s">
        <v>27</v>
      </c>
    </row>
    <row r="4" spans="1:2" x14ac:dyDescent="0.25">
      <c r="A4" s="5">
        <v>2020</v>
      </c>
      <c r="B4" s="28">
        <f>21507+11416</f>
        <v>32923</v>
      </c>
    </row>
    <row r="5" spans="1:2" x14ac:dyDescent="0.25">
      <c r="A5" s="5">
        <v>2021</v>
      </c>
      <c r="B5" s="28">
        <f>26668+11087</f>
        <v>37755</v>
      </c>
    </row>
    <row r="6" spans="1:2" x14ac:dyDescent="0.25">
      <c r="A6" s="8">
        <v>2022</v>
      </c>
      <c r="B6" s="28">
        <f>8789+293</f>
        <v>9082</v>
      </c>
    </row>
    <row r="7" spans="1:2" x14ac:dyDescent="0.25">
      <c r="A7" s="36">
        <v>2023</v>
      </c>
      <c r="B7" s="37">
        <v>2464</v>
      </c>
    </row>
    <row r="8" spans="1:2" x14ac:dyDescent="0.25">
      <c r="A8" s="36">
        <v>2024</v>
      </c>
      <c r="B8" s="37">
        <v>3029</v>
      </c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4" spans="1:2" ht="18.75" x14ac:dyDescent="0.25">
      <c r="A14" s="11" t="s">
        <v>28</v>
      </c>
    </row>
    <row r="15" spans="1:2" ht="18.75" x14ac:dyDescent="0.25">
      <c r="A15" s="11"/>
    </row>
    <row r="16" spans="1:2" x14ac:dyDescent="0.25">
      <c r="A16" s="9" t="s">
        <v>104</v>
      </c>
    </row>
    <row r="17" spans="1:5" x14ac:dyDescent="0.25">
      <c r="A17" s="9" t="s">
        <v>105</v>
      </c>
    </row>
    <row r="19" spans="1:5" ht="41.25" customHeight="1" x14ac:dyDescent="0.25">
      <c r="A19" s="3" t="s">
        <v>12</v>
      </c>
      <c r="B19" s="4" t="s">
        <v>27</v>
      </c>
      <c r="C19" s="4" t="s">
        <v>14</v>
      </c>
      <c r="D19" s="4" t="s">
        <v>92</v>
      </c>
      <c r="E19" s="4" t="s">
        <v>106</v>
      </c>
    </row>
    <row r="20" spans="1:5" x14ac:dyDescent="0.25">
      <c r="A20" s="5">
        <v>2020</v>
      </c>
      <c r="B20" s="28">
        <f>21507+11416</f>
        <v>32923</v>
      </c>
      <c r="C20" s="7">
        <v>416687.02</v>
      </c>
      <c r="D20" s="6">
        <v>26370</v>
      </c>
      <c r="E20" s="7">
        <f>B20/D20</f>
        <v>1.2485020857034508</v>
      </c>
    </row>
    <row r="21" spans="1:5" x14ac:dyDescent="0.25">
      <c r="A21" s="5">
        <v>2021</v>
      </c>
      <c r="B21" s="28">
        <f>26668+11087</f>
        <v>37755</v>
      </c>
      <c r="C21" s="7">
        <v>535387.17999999993</v>
      </c>
      <c r="D21" s="6">
        <v>40217</v>
      </c>
      <c r="E21" s="7">
        <f t="shared" ref="E21:E22" si="0">B21/D21</f>
        <v>0.93878210706914988</v>
      </c>
    </row>
    <row r="22" spans="1:5" x14ac:dyDescent="0.25">
      <c r="A22" s="8">
        <v>2022</v>
      </c>
      <c r="B22" s="28">
        <f>8789+293</f>
        <v>9082</v>
      </c>
      <c r="C22" s="7">
        <v>557741.78</v>
      </c>
      <c r="D22" s="6">
        <v>12886</v>
      </c>
      <c r="E22" s="7">
        <f t="shared" si="0"/>
        <v>0.70479590252987734</v>
      </c>
    </row>
    <row r="23" spans="1:5" x14ac:dyDescent="0.25">
      <c r="A23" s="36">
        <v>2023</v>
      </c>
      <c r="B23" s="37">
        <v>2464</v>
      </c>
      <c r="C23" s="46"/>
      <c r="D23" s="37">
        <v>8280</v>
      </c>
      <c r="E23" s="38">
        <f>B23/D23</f>
        <v>0.29758454106280191</v>
      </c>
    </row>
    <row r="24" spans="1:5" x14ac:dyDescent="0.25">
      <c r="A24" s="36">
        <v>2024</v>
      </c>
      <c r="B24" s="37">
        <v>3029</v>
      </c>
      <c r="C24" s="46"/>
      <c r="D24" s="37">
        <v>16682</v>
      </c>
      <c r="E24" s="38">
        <f t="shared" ref="E24" si="1">B24/D24</f>
        <v>0.18157295288334732</v>
      </c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9" spans="1:5" x14ac:dyDescent="0.25">
      <c r="A29" s="2" t="s">
        <v>29</v>
      </c>
    </row>
    <row r="30" spans="1:5" x14ac:dyDescent="0.25">
      <c r="A30" s="2"/>
    </row>
    <row r="31" spans="1:5" ht="41.25" customHeight="1" x14ac:dyDescent="0.25">
      <c r="A31" s="3" t="s">
        <v>12</v>
      </c>
      <c r="B31" s="4" t="s">
        <v>30</v>
      </c>
      <c r="C31" s="4" t="s">
        <v>32</v>
      </c>
      <c r="D31" s="4" t="s">
        <v>31</v>
      </c>
    </row>
    <row r="32" spans="1:5" x14ac:dyDescent="0.25">
      <c r="A32" s="5">
        <v>2020</v>
      </c>
      <c r="B32" s="6">
        <v>140</v>
      </c>
      <c r="C32" s="6">
        <v>78</v>
      </c>
      <c r="D32" s="6">
        <v>100</v>
      </c>
    </row>
    <row r="33" spans="1:4" x14ac:dyDescent="0.25">
      <c r="A33" s="5">
        <v>2021</v>
      </c>
      <c r="B33" s="6">
        <v>120</v>
      </c>
      <c r="C33" s="6">
        <v>50</v>
      </c>
      <c r="D33" s="6">
        <v>90</v>
      </c>
    </row>
    <row r="34" spans="1:4" x14ac:dyDescent="0.25">
      <c r="A34" s="8">
        <v>2022</v>
      </c>
      <c r="B34" s="6">
        <v>290</v>
      </c>
      <c r="C34" s="6">
        <v>108</v>
      </c>
      <c r="D34" s="6">
        <v>90</v>
      </c>
    </row>
    <row r="35" spans="1:4" x14ac:dyDescent="0.25">
      <c r="A35" s="36">
        <v>2023</v>
      </c>
      <c r="B35" s="37">
        <v>280</v>
      </c>
      <c r="C35" s="37">
        <v>152</v>
      </c>
      <c r="D35" s="37">
        <v>106</v>
      </c>
    </row>
    <row r="36" spans="1:4" x14ac:dyDescent="0.25">
      <c r="A36" s="36">
        <v>2024</v>
      </c>
      <c r="B36" s="37">
        <v>64</v>
      </c>
      <c r="C36" s="37">
        <v>21</v>
      </c>
      <c r="D36" s="37">
        <v>96</v>
      </c>
    </row>
    <row r="37" spans="1:4" ht="24.75" customHeight="1" x14ac:dyDescent="0.25">
      <c r="A37" s="16" t="s">
        <v>79</v>
      </c>
      <c r="B37" s="16">
        <v>500</v>
      </c>
      <c r="C37" s="16">
        <v>250</v>
      </c>
      <c r="D37" s="16">
        <v>200</v>
      </c>
    </row>
    <row r="39" spans="1:4" x14ac:dyDescent="0.25">
      <c r="A39" s="9" t="s">
        <v>33</v>
      </c>
    </row>
    <row r="44" spans="1:4" x14ac:dyDescent="0.25">
      <c r="A44" s="2" t="s">
        <v>113</v>
      </c>
    </row>
    <row r="45" spans="1:4" x14ac:dyDescent="0.25">
      <c r="A45" s="2"/>
    </row>
    <row r="46" spans="1:4" ht="41.25" customHeight="1" x14ac:dyDescent="0.25">
      <c r="A46" s="3" t="s">
        <v>12</v>
      </c>
      <c r="B46" s="4" t="s">
        <v>30</v>
      </c>
      <c r="C46" s="4" t="s">
        <v>32</v>
      </c>
      <c r="D46" s="4" t="s">
        <v>31</v>
      </c>
    </row>
    <row r="47" spans="1:4" x14ac:dyDescent="0.25">
      <c r="A47" s="5">
        <v>2020</v>
      </c>
      <c r="B47" s="6">
        <v>37</v>
      </c>
      <c r="C47" s="6">
        <v>70</v>
      </c>
      <c r="D47" s="6">
        <v>62.5</v>
      </c>
    </row>
    <row r="48" spans="1:4" x14ac:dyDescent="0.25">
      <c r="A48" s="5">
        <v>2021</v>
      </c>
      <c r="B48" s="6">
        <v>50.5</v>
      </c>
      <c r="C48" s="6">
        <v>76</v>
      </c>
      <c r="D48" s="6">
        <v>68</v>
      </c>
    </row>
    <row r="49" spans="1:4" x14ac:dyDescent="0.25">
      <c r="A49" s="8">
        <v>2022</v>
      </c>
      <c r="B49" s="6">
        <v>49</v>
      </c>
      <c r="C49" s="6">
        <v>40</v>
      </c>
      <c r="D49" s="6">
        <v>43</v>
      </c>
    </row>
    <row r="50" spans="1:4" x14ac:dyDescent="0.25">
      <c r="A50" s="36">
        <v>2023</v>
      </c>
      <c r="B50" s="37">
        <v>61</v>
      </c>
      <c r="C50" s="37">
        <v>39</v>
      </c>
      <c r="D50" s="37">
        <v>45</v>
      </c>
    </row>
    <row r="51" spans="1:4" x14ac:dyDescent="0.25">
      <c r="A51" s="36">
        <v>2024</v>
      </c>
      <c r="B51" s="37">
        <v>59</v>
      </c>
      <c r="C51" s="37">
        <v>36</v>
      </c>
      <c r="D51" s="37">
        <v>46</v>
      </c>
    </row>
    <row r="52" spans="1:4" ht="24" customHeight="1" x14ac:dyDescent="0.25">
      <c r="A52" s="16" t="s">
        <v>79</v>
      </c>
      <c r="B52" s="16">
        <v>500</v>
      </c>
      <c r="C52" s="16">
        <v>250</v>
      </c>
      <c r="D52" s="16">
        <v>200</v>
      </c>
    </row>
    <row r="54" spans="1:4" x14ac:dyDescent="0.25">
      <c r="A54" s="9" t="s">
        <v>41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0846-7591-4AF7-8988-BBC9A459B6BC}">
  <dimension ref="A1:J68"/>
  <sheetViews>
    <sheetView topLeftCell="A28" workbookViewId="0">
      <selection activeCell="A27" sqref="A27"/>
    </sheetView>
  </sheetViews>
  <sheetFormatPr defaultColWidth="9.140625" defaultRowHeight="15.75" x14ac:dyDescent="0.25"/>
  <cols>
    <col min="1" max="1" width="9.140625" style="1"/>
    <col min="2" max="2" width="25.28515625" style="1" customWidth="1"/>
    <col min="3" max="3" width="21.140625" style="1" customWidth="1"/>
    <col min="4" max="4" width="19.5703125" style="1" customWidth="1"/>
    <col min="5" max="5" width="18.42578125" style="1" customWidth="1"/>
    <col min="6" max="16384" width="9.140625" style="1"/>
  </cols>
  <sheetData>
    <row r="1" spans="1:2" ht="20.25" x14ac:dyDescent="0.25">
      <c r="A1" s="10" t="s">
        <v>34</v>
      </c>
    </row>
    <row r="2" spans="1:2" x14ac:dyDescent="0.25">
      <c r="A2" s="2"/>
    </row>
    <row r="3" spans="1:2" ht="47.25" customHeight="1" x14ac:dyDescent="0.25">
      <c r="A3" s="3" t="s">
        <v>12</v>
      </c>
      <c r="B3" s="4" t="s">
        <v>18</v>
      </c>
    </row>
    <row r="4" spans="1:2" x14ac:dyDescent="0.25">
      <c r="A4" s="5">
        <v>2020</v>
      </c>
      <c r="B4" s="6">
        <v>1145030</v>
      </c>
    </row>
    <row r="5" spans="1:2" x14ac:dyDescent="0.25">
      <c r="A5" s="5">
        <v>2021</v>
      </c>
      <c r="B5" s="6">
        <v>890901</v>
      </c>
    </row>
    <row r="6" spans="1:2" x14ac:dyDescent="0.25">
      <c r="A6" s="8">
        <v>2022</v>
      </c>
      <c r="B6" s="6">
        <v>341724</v>
      </c>
    </row>
    <row r="7" spans="1:2" x14ac:dyDescent="0.25">
      <c r="A7" s="36">
        <v>2023</v>
      </c>
      <c r="B7" s="37">
        <v>216136</v>
      </c>
    </row>
    <row r="8" spans="1:2" x14ac:dyDescent="0.25">
      <c r="A8" s="36">
        <v>2024</v>
      </c>
      <c r="B8" s="37">
        <v>302289</v>
      </c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4" spans="1:2" ht="18.75" x14ac:dyDescent="0.25">
      <c r="A14" s="11" t="s">
        <v>40</v>
      </c>
    </row>
    <row r="15" spans="1:2" x14ac:dyDescent="0.25">
      <c r="A15" s="2"/>
    </row>
    <row r="16" spans="1:2" x14ac:dyDescent="0.25">
      <c r="A16" s="1" t="s">
        <v>44</v>
      </c>
    </row>
    <row r="17" spans="1:10" x14ac:dyDescent="0.25">
      <c r="A17" s="1" t="s">
        <v>45</v>
      </c>
    </row>
    <row r="18" spans="1:10" x14ac:dyDescent="0.25">
      <c r="A18" s="2"/>
    </row>
    <row r="19" spans="1:10" x14ac:dyDescent="0.25">
      <c r="A19" s="2" t="s">
        <v>73</v>
      </c>
    </row>
    <row r="20" spans="1:10" x14ac:dyDescent="0.25">
      <c r="A20" s="2"/>
    </row>
    <row r="21" spans="1:10" ht="34.5" customHeight="1" x14ac:dyDescent="0.25">
      <c r="A21" s="3" t="s">
        <v>12</v>
      </c>
      <c r="B21" s="4" t="s">
        <v>42</v>
      </c>
      <c r="C21" s="4" t="s">
        <v>43</v>
      </c>
      <c r="D21" s="14" t="s">
        <v>76</v>
      </c>
      <c r="E21" s="14" t="s">
        <v>76</v>
      </c>
    </row>
    <row r="22" spans="1:10" x14ac:dyDescent="0.25">
      <c r="A22" s="5">
        <v>2020</v>
      </c>
      <c r="B22" s="6">
        <v>1</v>
      </c>
      <c r="C22" s="6">
        <v>1</v>
      </c>
      <c r="D22" s="13">
        <f>IF(B22&lt;5,1,0)</f>
        <v>1</v>
      </c>
      <c r="E22" s="13">
        <f>IF(C22&lt;3,1,0)</f>
        <v>1</v>
      </c>
      <c r="G22" s="68" t="s">
        <v>77</v>
      </c>
      <c r="H22" s="68"/>
      <c r="I22" s="68"/>
      <c r="J22" s="68"/>
    </row>
    <row r="23" spans="1:10" x14ac:dyDescent="0.25">
      <c r="A23" s="5">
        <v>2021</v>
      </c>
      <c r="B23" s="6">
        <v>1</v>
      </c>
      <c r="C23" s="6">
        <v>0</v>
      </c>
      <c r="D23" s="13">
        <f t="shared" ref="D23:E24" si="0">IF(B23&lt;5,1,0)</f>
        <v>1</v>
      </c>
      <c r="E23" s="13">
        <f t="shared" si="0"/>
        <v>1</v>
      </c>
      <c r="G23" s="68" t="s">
        <v>78</v>
      </c>
      <c r="H23" s="68"/>
      <c r="I23" s="68"/>
      <c r="J23" s="68"/>
    </row>
    <row r="24" spans="1:10" x14ac:dyDescent="0.25">
      <c r="A24" s="8">
        <v>2022</v>
      </c>
      <c r="B24" s="6">
        <v>0</v>
      </c>
      <c r="C24" s="6">
        <v>0</v>
      </c>
      <c r="D24" s="13">
        <f t="shared" si="0"/>
        <v>1</v>
      </c>
      <c r="E24" s="13">
        <f t="shared" si="0"/>
        <v>1</v>
      </c>
    </row>
    <row r="25" spans="1:10" x14ac:dyDescent="0.25">
      <c r="A25" s="36">
        <v>2023</v>
      </c>
      <c r="B25" s="37">
        <v>1</v>
      </c>
      <c r="C25" s="37">
        <v>1</v>
      </c>
      <c r="D25" s="41">
        <f t="shared" ref="D25:D26" si="1">IF(B25&lt;5,1,0)</f>
        <v>1</v>
      </c>
      <c r="E25" s="41">
        <f t="shared" ref="E25:E26" si="2">IF(C25&lt;5,1,0)</f>
        <v>1</v>
      </c>
    </row>
    <row r="26" spans="1:10" x14ac:dyDescent="0.25">
      <c r="A26" s="36">
        <v>2024</v>
      </c>
      <c r="B26" s="37">
        <v>0</v>
      </c>
      <c r="C26" s="37">
        <v>1</v>
      </c>
      <c r="D26" s="41">
        <f t="shared" si="1"/>
        <v>1</v>
      </c>
      <c r="E26" s="41">
        <f t="shared" si="2"/>
        <v>1</v>
      </c>
    </row>
    <row r="27" spans="1:10" x14ac:dyDescent="0.25">
      <c r="A27" s="2"/>
    </row>
    <row r="28" spans="1:10" x14ac:dyDescent="0.25">
      <c r="A28" s="2" t="s">
        <v>74</v>
      </c>
    </row>
    <row r="29" spans="1:10" x14ac:dyDescent="0.25">
      <c r="A29" s="2"/>
    </row>
    <row r="30" spans="1:10" ht="31.5" x14ac:dyDescent="0.25">
      <c r="A30" s="3" t="s">
        <v>12</v>
      </c>
      <c r="B30" s="4" t="s">
        <v>42</v>
      </c>
      <c r="C30" s="4" t="s">
        <v>43</v>
      </c>
      <c r="D30" s="14" t="s">
        <v>76</v>
      </c>
      <c r="E30" s="14" t="s">
        <v>76</v>
      </c>
    </row>
    <row r="31" spans="1:10" x14ac:dyDescent="0.25">
      <c r="A31" s="5">
        <v>2020</v>
      </c>
      <c r="B31" s="6">
        <v>1</v>
      </c>
      <c r="C31" s="6">
        <v>0</v>
      </c>
      <c r="D31" s="13">
        <f>IF(B31&lt;5,1,0)</f>
        <v>1</v>
      </c>
      <c r="E31" s="13">
        <f>IF(C31&lt;3,1,0)</f>
        <v>1</v>
      </c>
      <c r="G31" s="68" t="s">
        <v>77</v>
      </c>
      <c r="H31" s="68"/>
      <c r="I31" s="68"/>
      <c r="J31" s="68"/>
    </row>
    <row r="32" spans="1:10" x14ac:dyDescent="0.25">
      <c r="A32" s="5">
        <v>2021</v>
      </c>
      <c r="B32" s="6">
        <v>1</v>
      </c>
      <c r="C32" s="6">
        <v>1</v>
      </c>
      <c r="D32" s="13">
        <f t="shared" ref="D32:D33" si="3">IF(B32&lt;5,1,0)</f>
        <v>1</v>
      </c>
      <c r="E32" s="13">
        <f t="shared" ref="E32:E33" si="4">IF(C32&lt;5,1,0)</f>
        <v>1</v>
      </c>
      <c r="G32" s="68" t="s">
        <v>78</v>
      </c>
      <c r="H32" s="68"/>
      <c r="I32" s="68"/>
      <c r="J32" s="68"/>
    </row>
    <row r="33" spans="1:5" x14ac:dyDescent="0.25">
      <c r="A33" s="8">
        <v>2022</v>
      </c>
      <c r="B33" s="6">
        <v>0</v>
      </c>
      <c r="C33" s="6">
        <v>0</v>
      </c>
      <c r="D33" s="13">
        <f t="shared" si="3"/>
        <v>1</v>
      </c>
      <c r="E33" s="13">
        <f t="shared" si="4"/>
        <v>1</v>
      </c>
    </row>
    <row r="34" spans="1:5" x14ac:dyDescent="0.25">
      <c r="A34" s="36">
        <v>2023</v>
      </c>
      <c r="B34" s="37">
        <v>0</v>
      </c>
      <c r="C34" s="37">
        <v>0</v>
      </c>
      <c r="D34" s="41">
        <f t="shared" ref="D34" si="5">IF(B34&lt;5,1,0)</f>
        <v>1</v>
      </c>
      <c r="E34" s="41">
        <f t="shared" ref="E34" si="6">IF(C34&lt;5,1,0)</f>
        <v>1</v>
      </c>
    </row>
    <row r="35" spans="1:5" x14ac:dyDescent="0.25">
      <c r="A35" s="36">
        <v>2024</v>
      </c>
      <c r="B35" s="37">
        <v>0</v>
      </c>
      <c r="C35" s="37">
        <v>0</v>
      </c>
      <c r="D35" s="41">
        <f t="shared" ref="D35" si="7">IF(B35&lt;5,1,0)</f>
        <v>1</v>
      </c>
      <c r="E35" s="41">
        <f t="shared" ref="E35" si="8">IF(C35&lt;5,1,0)</f>
        <v>1</v>
      </c>
    </row>
    <row r="37" spans="1:5" ht="18.75" x14ac:dyDescent="0.25">
      <c r="A37" s="11" t="s">
        <v>39</v>
      </c>
    </row>
    <row r="38" spans="1:5" x14ac:dyDescent="0.25">
      <c r="A38" s="2"/>
    </row>
    <row r="39" spans="1:5" ht="24.75" customHeight="1" x14ac:dyDescent="0.25">
      <c r="A39" s="66" t="s">
        <v>37</v>
      </c>
      <c r="B39" s="67"/>
    </row>
    <row r="40" spans="1:5" x14ac:dyDescent="0.25">
      <c r="A40" s="2"/>
    </row>
    <row r="41" spans="1:5" ht="41.25" customHeight="1" x14ac:dyDescent="0.25">
      <c r="A41" s="3" t="s">
        <v>12</v>
      </c>
      <c r="B41" s="4" t="s">
        <v>36</v>
      </c>
      <c r="C41" s="4" t="s">
        <v>109</v>
      </c>
      <c r="D41" s="4" t="s">
        <v>110</v>
      </c>
      <c r="E41" s="4" t="s">
        <v>111</v>
      </c>
    </row>
    <row r="42" spans="1:5" x14ac:dyDescent="0.25">
      <c r="A42" s="5">
        <v>2020</v>
      </c>
      <c r="B42" s="6">
        <v>74</v>
      </c>
      <c r="C42" s="6">
        <v>65</v>
      </c>
      <c r="D42" s="6" t="s">
        <v>112</v>
      </c>
      <c r="E42" s="21">
        <v>3.6</v>
      </c>
    </row>
    <row r="43" spans="1:5" x14ac:dyDescent="0.25">
      <c r="A43" s="5">
        <v>2021</v>
      </c>
      <c r="B43" s="6">
        <v>76</v>
      </c>
      <c r="C43" s="6">
        <v>69</v>
      </c>
      <c r="D43" s="6" t="s">
        <v>112</v>
      </c>
      <c r="E43" s="21">
        <v>3.1</v>
      </c>
    </row>
    <row r="44" spans="1:5" x14ac:dyDescent="0.25">
      <c r="A44" s="8">
        <v>2022</v>
      </c>
      <c r="B44" s="6">
        <v>59</v>
      </c>
      <c r="C44" s="6">
        <v>74</v>
      </c>
      <c r="D44" s="6">
        <v>1.2</v>
      </c>
      <c r="E44" s="6">
        <v>2</v>
      </c>
    </row>
    <row r="45" spans="1:5" x14ac:dyDescent="0.25">
      <c r="A45" s="34">
        <v>2023</v>
      </c>
      <c r="B45" s="35">
        <v>15</v>
      </c>
      <c r="C45" s="35">
        <v>82</v>
      </c>
      <c r="D45" s="35">
        <v>4</v>
      </c>
      <c r="E45" s="35">
        <v>3</v>
      </c>
    </row>
    <row r="46" spans="1:5" x14ac:dyDescent="0.25">
      <c r="A46" s="34">
        <v>2024</v>
      </c>
      <c r="B46" s="35">
        <v>254</v>
      </c>
      <c r="C46" s="35">
        <v>345</v>
      </c>
      <c r="D46" s="47">
        <v>6.2</v>
      </c>
      <c r="E46" s="35">
        <v>2</v>
      </c>
    </row>
    <row r="47" spans="1:5" ht="23.25" customHeight="1" x14ac:dyDescent="0.25">
      <c r="A47" s="16" t="s">
        <v>79</v>
      </c>
      <c r="B47" s="16">
        <v>450</v>
      </c>
      <c r="C47" s="16">
        <v>650</v>
      </c>
      <c r="D47" s="16">
        <v>10</v>
      </c>
      <c r="E47" s="16">
        <v>100</v>
      </c>
    </row>
    <row r="49" spans="1:2" x14ac:dyDescent="0.25">
      <c r="A49" s="9" t="s">
        <v>41</v>
      </c>
    </row>
    <row r="50" spans="1:2" x14ac:dyDescent="0.25">
      <c r="A50" s="9"/>
    </row>
    <row r="51" spans="1:2" x14ac:dyDescent="0.25">
      <c r="A51" s="9" t="s">
        <v>166</v>
      </c>
    </row>
    <row r="52" spans="1:2" x14ac:dyDescent="0.25">
      <c r="A52" s="9" t="s">
        <v>168</v>
      </c>
    </row>
    <row r="54" spans="1:2" x14ac:dyDescent="0.25">
      <c r="A54" s="66" t="s">
        <v>38</v>
      </c>
      <c r="B54" s="67"/>
    </row>
    <row r="55" spans="1:2" x14ac:dyDescent="0.25">
      <c r="A55" s="2"/>
    </row>
    <row r="56" spans="1:2" ht="31.5" x14ac:dyDescent="0.25">
      <c r="A56" s="3" t="s">
        <v>12</v>
      </c>
      <c r="B56" s="4" t="s">
        <v>36</v>
      </c>
    </row>
    <row r="57" spans="1:2" x14ac:dyDescent="0.25">
      <c r="A57" s="5">
        <v>2020</v>
      </c>
      <c r="B57" s="6">
        <v>100</v>
      </c>
    </row>
    <row r="58" spans="1:2" x14ac:dyDescent="0.25">
      <c r="A58" s="5">
        <v>2021</v>
      </c>
      <c r="B58" s="6">
        <v>97</v>
      </c>
    </row>
    <row r="59" spans="1:2" x14ac:dyDescent="0.25">
      <c r="A59" s="8">
        <v>2022</v>
      </c>
      <c r="B59" s="6">
        <v>69</v>
      </c>
    </row>
    <row r="60" spans="1:2" x14ac:dyDescent="0.25">
      <c r="A60" s="34">
        <v>2023</v>
      </c>
      <c r="B60" s="35">
        <v>66</v>
      </c>
    </row>
    <row r="61" spans="1:2" x14ac:dyDescent="0.25">
      <c r="A61" s="34">
        <v>2024</v>
      </c>
      <c r="B61" s="35">
        <v>309</v>
      </c>
    </row>
    <row r="62" spans="1:2" x14ac:dyDescent="0.25">
      <c r="A62" s="16" t="s">
        <v>79</v>
      </c>
      <c r="B62" s="16">
        <v>450</v>
      </c>
    </row>
    <row r="64" spans="1:2" x14ac:dyDescent="0.25">
      <c r="A64" s="9" t="s">
        <v>41</v>
      </c>
    </row>
    <row r="67" spans="1:1" x14ac:dyDescent="0.25">
      <c r="A67" s="9" t="s">
        <v>167</v>
      </c>
    </row>
    <row r="68" spans="1:1" x14ac:dyDescent="0.25">
      <c r="A68" s="9" t="s">
        <v>169</v>
      </c>
    </row>
  </sheetData>
  <mergeCells count="6">
    <mergeCell ref="A54:B54"/>
    <mergeCell ref="G22:J22"/>
    <mergeCell ref="G23:J23"/>
    <mergeCell ref="G31:J31"/>
    <mergeCell ref="G32:J32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C20D-E8E4-41BC-96E9-072A42EC44B3}">
  <dimension ref="A1:J26"/>
  <sheetViews>
    <sheetView workbookViewId="0">
      <selection activeCell="I21" sqref="I21"/>
    </sheetView>
  </sheetViews>
  <sheetFormatPr defaultColWidth="9.140625" defaultRowHeight="15.75" x14ac:dyDescent="0.25"/>
  <cols>
    <col min="1" max="1" width="9.140625" style="1"/>
    <col min="2" max="2" width="25.28515625" style="1" customWidth="1"/>
    <col min="3" max="3" width="21.140625" style="1" customWidth="1"/>
    <col min="4" max="4" width="17.5703125" style="1" customWidth="1"/>
    <col min="5" max="5" width="13.85546875" style="1" customWidth="1"/>
    <col min="6" max="6" width="9.140625" style="1"/>
    <col min="7" max="7" width="17.28515625" style="1" customWidth="1"/>
    <col min="8" max="8" width="16" style="1" customWidth="1"/>
    <col min="9" max="9" width="13" style="1" customWidth="1"/>
    <col min="10" max="16384" width="9.140625" style="1"/>
  </cols>
  <sheetData>
    <row r="1" spans="1:10" ht="20.25" x14ac:dyDescent="0.25">
      <c r="A1" s="10" t="s">
        <v>46</v>
      </c>
    </row>
    <row r="2" spans="1:10" x14ac:dyDescent="0.25">
      <c r="A2" s="2"/>
    </row>
    <row r="3" spans="1:10" x14ac:dyDescent="0.25">
      <c r="A3" s="2" t="s">
        <v>47</v>
      </c>
    </row>
    <row r="4" spans="1:10" x14ac:dyDescent="0.25">
      <c r="A4" s="2"/>
    </row>
    <row r="5" spans="1:10" ht="18.75" x14ac:dyDescent="0.25">
      <c r="A5" s="11" t="s">
        <v>123</v>
      </c>
    </row>
    <row r="6" spans="1:10" x14ac:dyDescent="0.25">
      <c r="A6" s="2"/>
    </row>
    <row r="7" spans="1:10" ht="50.25" customHeight="1" x14ac:dyDescent="0.25">
      <c r="A7" s="3" t="s">
        <v>12</v>
      </c>
      <c r="B7" s="4" t="s">
        <v>116</v>
      </c>
      <c r="C7" s="4" t="s">
        <v>117</v>
      </c>
      <c r="D7" s="4" t="s">
        <v>118</v>
      </c>
      <c r="E7" s="4" t="s">
        <v>119</v>
      </c>
      <c r="F7" s="4" t="s">
        <v>120</v>
      </c>
      <c r="G7" s="4" t="s">
        <v>131</v>
      </c>
      <c r="H7" s="4" t="s">
        <v>132</v>
      </c>
      <c r="I7" s="4" t="s">
        <v>133</v>
      </c>
      <c r="J7" s="4" t="s">
        <v>134</v>
      </c>
    </row>
    <row r="8" spans="1:10" x14ac:dyDescent="0.25">
      <c r="A8" s="5">
        <v>2018</v>
      </c>
      <c r="B8" s="21">
        <f>AVERAGE(92.5,90)</f>
        <v>91.25</v>
      </c>
      <c r="C8" s="21">
        <f>AVERAGE(89,82)</f>
        <v>85.5</v>
      </c>
      <c r="D8" s="21">
        <f>AVERAGE(90.5,91)</f>
        <v>90.75</v>
      </c>
      <c r="E8" s="21">
        <v>88.5</v>
      </c>
      <c r="F8" s="21">
        <f>AVERAGE(65,70)</f>
        <v>67.5</v>
      </c>
      <c r="G8" s="21">
        <f>AVERAGE(B8:F8)</f>
        <v>84.7</v>
      </c>
      <c r="H8" s="28">
        <v>2220</v>
      </c>
      <c r="I8" s="29">
        <f>G8/H8</f>
        <v>3.8153153153153152E-2</v>
      </c>
      <c r="J8" s="29">
        <f>I9-I8</f>
        <v>1.2985197093003803E-3</v>
      </c>
    </row>
    <row r="9" spans="1:10" x14ac:dyDescent="0.25">
      <c r="A9" s="5">
        <v>2021</v>
      </c>
      <c r="B9" s="21">
        <f t="shared" ref="B9" si="0">AVERAGE(93.5,91)</f>
        <v>92.25</v>
      </c>
      <c r="C9" s="21">
        <f t="shared" ref="C9" si="1">AVERAGE(89,82)</f>
        <v>85.5</v>
      </c>
      <c r="D9" s="21">
        <f t="shared" ref="D9" si="2">AVERAGE(90.5,91)</f>
        <v>90.75</v>
      </c>
      <c r="E9" s="21">
        <v>88.5</v>
      </c>
      <c r="F9" s="21">
        <f t="shared" ref="F9" si="3">AVERAGE(65,70)</f>
        <v>67.5</v>
      </c>
      <c r="G9" s="21">
        <f>AVERAGE(B9:F9)</f>
        <v>84.9</v>
      </c>
      <c r="H9" s="28">
        <v>2152</v>
      </c>
      <c r="I9" s="29">
        <f>G9/H9</f>
        <v>3.9451672862453532E-2</v>
      </c>
      <c r="J9" s="29" t="s">
        <v>21</v>
      </c>
    </row>
    <row r="10" spans="1:10" x14ac:dyDescent="0.25">
      <c r="A10" s="43">
        <v>2023</v>
      </c>
      <c r="B10" s="42">
        <v>89</v>
      </c>
      <c r="C10" s="42">
        <v>83</v>
      </c>
      <c r="D10" s="42">
        <v>89</v>
      </c>
      <c r="E10" s="42">
        <v>83</v>
      </c>
      <c r="F10" s="42">
        <v>65</v>
      </c>
      <c r="G10" s="42">
        <f>AVERAGE(B10:F10)</f>
        <v>81.8</v>
      </c>
      <c r="H10" s="45">
        <v>2208</v>
      </c>
      <c r="I10" s="44">
        <f>G10/H10</f>
        <v>3.7047101449275359E-2</v>
      </c>
      <c r="J10" s="44" t="s">
        <v>21</v>
      </c>
    </row>
    <row r="11" spans="1:10" x14ac:dyDescent="0.25">
      <c r="A11" s="2"/>
    </row>
    <row r="12" spans="1:10" x14ac:dyDescent="0.25">
      <c r="A12" s="2"/>
    </row>
    <row r="13" spans="1:10" x14ac:dyDescent="0.25">
      <c r="A13" s="2"/>
    </row>
    <row r="14" spans="1:10" ht="18.75" x14ac:dyDescent="0.25">
      <c r="A14" s="11" t="s">
        <v>124</v>
      </c>
    </row>
    <row r="15" spans="1:10" x14ac:dyDescent="0.25">
      <c r="A15" s="2"/>
    </row>
    <row r="16" spans="1:10" ht="31.5" x14ac:dyDescent="0.25">
      <c r="A16" s="3" t="s">
        <v>12</v>
      </c>
      <c r="B16" s="4" t="s">
        <v>121</v>
      </c>
      <c r="C16" s="4" t="s">
        <v>122</v>
      </c>
    </row>
    <row r="17" spans="1:3" x14ac:dyDescent="0.25">
      <c r="A17" s="5">
        <v>2018</v>
      </c>
      <c r="B17" s="21">
        <f>AVERAGE(58,65,58.5,54.5,67,63.5)</f>
        <v>61.083333333333336</v>
      </c>
      <c r="C17" s="21">
        <f>AVERAGE(46.5,49.5,56)</f>
        <v>50.666666666666664</v>
      </c>
    </row>
    <row r="18" spans="1:3" x14ac:dyDescent="0.25">
      <c r="A18" s="5">
        <v>2021</v>
      </c>
      <c r="B18" s="21">
        <f>AVERAGE(58,62,59,53,65,60)</f>
        <v>59.5</v>
      </c>
      <c r="C18" s="21">
        <f>AVERAGE(46,48.5,54.5)</f>
        <v>49.666666666666664</v>
      </c>
    </row>
    <row r="19" spans="1:3" x14ac:dyDescent="0.25">
      <c r="A19" s="43">
        <v>2023</v>
      </c>
      <c r="B19" s="42">
        <v>57.1</v>
      </c>
      <c r="C19" s="42">
        <v>43.8</v>
      </c>
    </row>
    <row r="22" spans="1:3" x14ac:dyDescent="0.25">
      <c r="A22" s="9"/>
    </row>
    <row r="25" spans="1:3" x14ac:dyDescent="0.25">
      <c r="A25" s="9" t="s">
        <v>164</v>
      </c>
    </row>
    <row r="26" spans="1:3" x14ac:dyDescent="0.25">
      <c r="A26" s="9" t="s">
        <v>165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9F4B-BC94-49B7-AC9F-080428D0FBDC}">
  <dimension ref="A1:P51"/>
  <sheetViews>
    <sheetView topLeftCell="A7" workbookViewId="0">
      <selection activeCell="H33" sqref="H33"/>
    </sheetView>
  </sheetViews>
  <sheetFormatPr defaultColWidth="9.140625" defaultRowHeight="15.75" x14ac:dyDescent="0.25"/>
  <cols>
    <col min="1" max="1" width="10.140625" style="1" customWidth="1"/>
    <col min="2" max="2" width="25.28515625" style="1" customWidth="1"/>
    <col min="3" max="3" width="21.140625" style="1" customWidth="1"/>
    <col min="4" max="4" width="16.140625" style="1" customWidth="1"/>
    <col min="5" max="5" width="18.140625" style="1" customWidth="1"/>
    <col min="6" max="6" width="14.42578125" style="1" customWidth="1"/>
    <col min="7" max="7" width="15.42578125" style="1" customWidth="1"/>
    <col min="8" max="8" width="15" style="1" customWidth="1"/>
    <col min="9" max="9" width="15.140625" style="1" customWidth="1"/>
    <col min="10" max="10" width="15.5703125" style="1" customWidth="1"/>
    <col min="11" max="11" width="16.28515625" style="1" customWidth="1"/>
    <col min="12" max="12" width="16.42578125" style="1" customWidth="1"/>
    <col min="13" max="13" width="15.5703125" style="1" customWidth="1"/>
    <col min="14" max="16384" width="9.140625" style="1"/>
  </cols>
  <sheetData>
    <row r="1" spans="1:2" ht="20.25" x14ac:dyDescent="0.25">
      <c r="A1" s="10" t="s">
        <v>49</v>
      </c>
    </row>
    <row r="2" spans="1:2" x14ac:dyDescent="0.25">
      <c r="A2" s="2"/>
    </row>
    <row r="3" spans="1:2" ht="47.25" customHeight="1" x14ac:dyDescent="0.25">
      <c r="A3" s="3" t="s">
        <v>12</v>
      </c>
      <c r="B3" s="4" t="s">
        <v>50</v>
      </c>
    </row>
    <row r="4" spans="1:2" x14ac:dyDescent="0.25">
      <c r="A4" s="5">
        <v>2020</v>
      </c>
      <c r="B4" s="54">
        <v>197231.21</v>
      </c>
    </row>
    <row r="5" spans="1:2" x14ac:dyDescent="0.25">
      <c r="A5" s="5">
        <v>2021</v>
      </c>
      <c r="B5" s="54">
        <v>69022.73</v>
      </c>
    </row>
    <row r="6" spans="1:2" x14ac:dyDescent="0.25">
      <c r="A6" s="8">
        <v>2022</v>
      </c>
      <c r="B6" s="54">
        <v>32516.18</v>
      </c>
    </row>
    <row r="7" spans="1:2" x14ac:dyDescent="0.25">
      <c r="A7" s="36">
        <v>2023</v>
      </c>
      <c r="B7" s="38">
        <v>710.86</v>
      </c>
    </row>
    <row r="8" spans="1:2" x14ac:dyDescent="0.25">
      <c r="A8" s="36">
        <v>2024</v>
      </c>
      <c r="B8" s="38">
        <v>1714.91</v>
      </c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4" spans="1:2" x14ac:dyDescent="0.25">
      <c r="A14" s="2"/>
    </row>
    <row r="15" spans="1:2" x14ac:dyDescent="0.25">
      <c r="A15" s="2"/>
    </row>
    <row r="17" spans="1:16" ht="18.75" x14ac:dyDescent="0.25">
      <c r="A17" s="11" t="s">
        <v>51</v>
      </c>
    </row>
    <row r="18" spans="1:16" x14ac:dyDescent="0.25">
      <c r="A18" s="2"/>
    </row>
    <row r="19" spans="1:16" ht="41.25" customHeight="1" x14ac:dyDescent="0.25">
      <c r="A19" s="3" t="s">
        <v>12</v>
      </c>
      <c r="B19" s="4" t="s">
        <v>50</v>
      </c>
      <c r="C19" s="4" t="s">
        <v>92</v>
      </c>
      <c r="D19" s="4" t="s">
        <v>130</v>
      </c>
      <c r="E19" s="4" t="s">
        <v>134</v>
      </c>
    </row>
    <row r="20" spans="1:16" x14ac:dyDescent="0.25">
      <c r="A20" s="5">
        <v>2020</v>
      </c>
      <c r="B20" s="28">
        <v>197231.21</v>
      </c>
      <c r="C20" s="6">
        <v>26370</v>
      </c>
      <c r="D20" s="30">
        <f>B20/C20</f>
        <v>7.4793784603716338</v>
      </c>
      <c r="E20" s="7">
        <f>D21-D20</f>
        <v>-5.7631209075954448</v>
      </c>
    </row>
    <row r="21" spans="1:16" x14ac:dyDescent="0.25">
      <c r="A21" s="5">
        <v>2021</v>
      </c>
      <c r="B21" s="28">
        <v>69022.73</v>
      </c>
      <c r="C21" s="6">
        <v>40217</v>
      </c>
      <c r="D21" s="30">
        <f>B21/C21</f>
        <v>1.716257552776189</v>
      </c>
      <c r="E21" s="7">
        <f t="shared" ref="E21:E22" si="0">D22-D21</f>
        <v>0.8071150997148866</v>
      </c>
    </row>
    <row r="22" spans="1:16" x14ac:dyDescent="0.25">
      <c r="A22" s="8">
        <v>2022</v>
      </c>
      <c r="B22" s="28">
        <v>32516.18</v>
      </c>
      <c r="C22" s="6">
        <v>12886</v>
      </c>
      <c r="D22" s="30">
        <f>B22/C22</f>
        <v>2.5233726524910756</v>
      </c>
      <c r="E22" s="7">
        <f t="shared" si="0"/>
        <v>-2.4375199954862445</v>
      </c>
    </row>
    <row r="23" spans="1:16" x14ac:dyDescent="0.25">
      <c r="A23" s="36">
        <v>2023</v>
      </c>
      <c r="B23" s="38">
        <v>710.86</v>
      </c>
      <c r="C23" s="37">
        <v>8280</v>
      </c>
      <c r="D23" s="38">
        <f>B23/C23</f>
        <v>8.5852657004830926E-2</v>
      </c>
      <c r="E23" s="38" t="s">
        <v>21</v>
      </c>
    </row>
    <row r="24" spans="1:16" x14ac:dyDescent="0.25">
      <c r="A24" s="36">
        <v>2024</v>
      </c>
      <c r="B24" s="38">
        <v>1714.91</v>
      </c>
      <c r="C24" s="37">
        <v>16682</v>
      </c>
      <c r="D24" s="38">
        <f>B24/C24</f>
        <v>0.1028000239779403</v>
      </c>
      <c r="E24" s="38" t="s">
        <v>21</v>
      </c>
    </row>
    <row r="25" spans="1:16" x14ac:dyDescent="0.25">
      <c r="A25" s="2"/>
    </row>
    <row r="26" spans="1:16" x14ac:dyDescent="0.25">
      <c r="A26" s="2"/>
    </row>
    <row r="28" spans="1:16" ht="18.75" x14ac:dyDescent="0.25">
      <c r="A28" s="11" t="s">
        <v>199</v>
      </c>
    </row>
    <row r="29" spans="1:16" x14ac:dyDescent="0.25">
      <c r="A29" s="2"/>
    </row>
    <row r="30" spans="1:16" ht="27.75" customHeight="1" x14ac:dyDescent="0.25">
      <c r="A30" s="3" t="s">
        <v>12</v>
      </c>
      <c r="B30" s="31" t="s">
        <v>52</v>
      </c>
      <c r="C30" s="31" t="s">
        <v>53</v>
      </c>
      <c r="D30" s="31" t="s">
        <v>54</v>
      </c>
      <c r="E30" s="31" t="s">
        <v>137</v>
      </c>
      <c r="F30" s="31" t="s">
        <v>138</v>
      </c>
      <c r="G30" s="31" t="s">
        <v>139</v>
      </c>
      <c r="H30" s="31" t="s">
        <v>140</v>
      </c>
      <c r="I30" s="31" t="s">
        <v>158</v>
      </c>
      <c r="J30" s="31" t="s">
        <v>170</v>
      </c>
      <c r="K30" s="31" t="s">
        <v>171</v>
      </c>
      <c r="L30" s="31" t="s">
        <v>172</v>
      </c>
      <c r="M30" s="4" t="s">
        <v>196</v>
      </c>
    </row>
    <row r="31" spans="1:16" x14ac:dyDescent="0.25">
      <c r="A31" s="5">
        <v>2020</v>
      </c>
      <c r="B31" s="48">
        <v>61.21</v>
      </c>
      <c r="C31" s="49">
        <v>60</v>
      </c>
      <c r="D31" s="6">
        <v>0</v>
      </c>
      <c r="E31" s="49">
        <v>197110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55">
        <f>(C31+E31)/B20</f>
        <v>0.99968965357967432</v>
      </c>
      <c r="O31" s="57"/>
      <c r="P31" s="59" t="s">
        <v>200</v>
      </c>
    </row>
    <row r="32" spans="1:16" x14ac:dyDescent="0.25">
      <c r="A32" s="5">
        <v>2021</v>
      </c>
      <c r="B32" s="48">
        <v>40.729999999999997</v>
      </c>
      <c r="C32" s="49">
        <v>30</v>
      </c>
      <c r="D32" s="49">
        <v>3392</v>
      </c>
      <c r="E32" s="51">
        <v>30140</v>
      </c>
      <c r="F32" s="51">
        <v>35130</v>
      </c>
      <c r="G32" s="53">
        <v>120</v>
      </c>
      <c r="H32" s="6">
        <v>0</v>
      </c>
      <c r="I32" s="51">
        <v>170</v>
      </c>
      <c r="J32" s="6">
        <v>0</v>
      </c>
      <c r="K32" s="6">
        <v>0</v>
      </c>
      <c r="L32" s="6">
        <v>0</v>
      </c>
      <c r="M32" s="55">
        <f>(C32+D32+E32+F32+I32)/B21</f>
        <v>0.99767134681575187</v>
      </c>
      <c r="O32" s="58"/>
      <c r="P32" s="59" t="s">
        <v>201</v>
      </c>
    </row>
    <row r="33" spans="1:13" x14ac:dyDescent="0.25">
      <c r="A33" s="8">
        <v>2022</v>
      </c>
      <c r="B33" s="48">
        <v>38.677999999999997</v>
      </c>
      <c r="C33" s="6">
        <v>0</v>
      </c>
      <c r="D33" s="6">
        <v>0</v>
      </c>
      <c r="E33" s="6">
        <v>0</v>
      </c>
      <c r="F33" s="6">
        <v>0</v>
      </c>
      <c r="G33" s="52">
        <v>17.5</v>
      </c>
      <c r="H33" s="53">
        <v>31820</v>
      </c>
      <c r="I33" s="51">
        <v>640</v>
      </c>
      <c r="J33" s="6">
        <v>0</v>
      </c>
      <c r="K33" s="6">
        <v>0</v>
      </c>
      <c r="L33" s="6">
        <v>0</v>
      </c>
      <c r="M33" s="56">
        <f>(I33)/B22</f>
        <v>1.9682508830988141E-2</v>
      </c>
    </row>
    <row r="34" spans="1:13" x14ac:dyDescent="0.25">
      <c r="A34" s="36">
        <v>2023</v>
      </c>
      <c r="B34" s="48">
        <v>30.856000000000002</v>
      </c>
      <c r="C34" s="49">
        <v>40</v>
      </c>
      <c r="D34" s="37">
        <v>0</v>
      </c>
      <c r="E34" s="37">
        <v>0</v>
      </c>
      <c r="F34" s="37">
        <v>0</v>
      </c>
      <c r="G34" s="53">
        <v>50</v>
      </c>
      <c r="H34" s="37">
        <v>0</v>
      </c>
      <c r="I34" s="51">
        <v>590</v>
      </c>
      <c r="J34" s="37">
        <v>0</v>
      </c>
      <c r="K34" s="37">
        <v>0</v>
      </c>
      <c r="L34" s="37">
        <v>0</v>
      </c>
      <c r="M34" s="55">
        <f>(C34+I34)/B23</f>
        <v>0.88625045719269613</v>
      </c>
    </row>
    <row r="35" spans="1:13" x14ac:dyDescent="0.25">
      <c r="A35" s="36">
        <v>2024</v>
      </c>
      <c r="B35" s="48">
        <v>24.91</v>
      </c>
      <c r="C35" s="49">
        <v>20</v>
      </c>
      <c r="D35" s="49">
        <v>690</v>
      </c>
      <c r="E35" s="37">
        <v>0</v>
      </c>
      <c r="F35" s="37">
        <v>0</v>
      </c>
      <c r="G35" s="53">
        <v>40</v>
      </c>
      <c r="H35" s="37">
        <v>0</v>
      </c>
      <c r="I35" s="37">
        <v>0</v>
      </c>
      <c r="J35" s="50">
        <v>350</v>
      </c>
      <c r="K35" s="53">
        <v>440</v>
      </c>
      <c r="L35" s="50">
        <v>150</v>
      </c>
      <c r="M35" s="55">
        <f>(C35+D35+J35+L35)/B24</f>
        <v>0.70557638593278948</v>
      </c>
    </row>
    <row r="37" spans="1:13" x14ac:dyDescent="0.25">
      <c r="A37" s="9" t="s">
        <v>197</v>
      </c>
    </row>
    <row r="38" spans="1:13" x14ac:dyDescent="0.25">
      <c r="A38" s="9" t="s">
        <v>198</v>
      </c>
    </row>
    <row r="40" spans="1:13" x14ac:dyDescent="0.25">
      <c r="A40" s="2" t="s">
        <v>173</v>
      </c>
    </row>
    <row r="41" spans="1:13" x14ac:dyDescent="0.25">
      <c r="A41" s="1" t="s">
        <v>187</v>
      </c>
      <c r="B41" s="1" t="s">
        <v>184</v>
      </c>
    </row>
    <row r="42" spans="1:13" x14ac:dyDescent="0.25">
      <c r="A42" s="1" t="s">
        <v>188</v>
      </c>
      <c r="B42" s="1" t="s">
        <v>186</v>
      </c>
    </row>
    <row r="43" spans="1:13" x14ac:dyDescent="0.25">
      <c r="A43" s="1" t="s">
        <v>174</v>
      </c>
      <c r="B43" s="1" t="s">
        <v>190</v>
      </c>
    </row>
    <row r="44" spans="1:13" x14ac:dyDescent="0.25">
      <c r="A44" s="1" t="s">
        <v>175</v>
      </c>
      <c r="B44" s="1" t="s">
        <v>191</v>
      </c>
    </row>
    <row r="45" spans="1:13" x14ac:dyDescent="0.25">
      <c r="A45" s="1" t="s">
        <v>176</v>
      </c>
      <c r="B45" s="1" t="s">
        <v>192</v>
      </c>
    </row>
    <row r="46" spans="1:13" x14ac:dyDescent="0.25">
      <c r="A46" s="1" t="s">
        <v>177</v>
      </c>
      <c r="B46" s="1" t="s">
        <v>178</v>
      </c>
    </row>
    <row r="47" spans="1:13" x14ac:dyDescent="0.25">
      <c r="A47" s="1" t="s">
        <v>179</v>
      </c>
      <c r="B47" s="1" t="s">
        <v>185</v>
      </c>
    </row>
    <row r="48" spans="1:13" x14ac:dyDescent="0.25">
      <c r="A48" s="1" t="s">
        <v>180</v>
      </c>
      <c r="B48" s="1" t="s">
        <v>189</v>
      </c>
    </row>
    <row r="49" spans="1:2" x14ac:dyDescent="0.25">
      <c r="A49" s="1" t="s">
        <v>181</v>
      </c>
      <c r="B49" s="1" t="s">
        <v>194</v>
      </c>
    </row>
    <row r="50" spans="1:2" x14ac:dyDescent="0.25">
      <c r="A50" s="1" t="s">
        <v>182</v>
      </c>
      <c r="B50" s="1" t="s">
        <v>193</v>
      </c>
    </row>
    <row r="51" spans="1:2" x14ac:dyDescent="0.25">
      <c r="A51" s="1" t="s">
        <v>183</v>
      </c>
      <c r="B51" s="1" t="s">
        <v>195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1971-F420-406B-83C1-A305612396A6}">
  <dimension ref="A1:J14"/>
  <sheetViews>
    <sheetView workbookViewId="0">
      <selection activeCell="C12" sqref="C12"/>
    </sheetView>
  </sheetViews>
  <sheetFormatPr defaultColWidth="9.140625" defaultRowHeight="15.75" x14ac:dyDescent="0.25"/>
  <cols>
    <col min="1" max="1" width="9.140625" style="1"/>
    <col min="2" max="2" width="25.28515625" style="1" customWidth="1"/>
    <col min="3" max="3" width="21.140625" style="1" customWidth="1"/>
    <col min="4" max="4" width="16.140625" style="1" customWidth="1"/>
    <col min="5" max="5" width="13.85546875" style="1" customWidth="1"/>
    <col min="6" max="9" width="9.140625" style="1"/>
    <col min="10" max="10" width="11.5703125" style="1" customWidth="1"/>
    <col min="11" max="16384" width="9.140625" style="1"/>
  </cols>
  <sheetData>
    <row r="1" spans="1:10" ht="20.25" x14ac:dyDescent="0.25">
      <c r="A1" s="10" t="s">
        <v>55</v>
      </c>
    </row>
    <row r="2" spans="1:10" x14ac:dyDescent="0.25">
      <c r="A2" s="2"/>
    </row>
    <row r="3" spans="1:10" x14ac:dyDescent="0.25">
      <c r="A3" s="2" t="s">
        <v>61</v>
      </c>
    </row>
    <row r="4" spans="1:10" x14ac:dyDescent="0.25">
      <c r="A4" s="1" t="s">
        <v>58</v>
      </c>
    </row>
    <row r="5" spans="1:10" x14ac:dyDescent="0.25">
      <c r="A5" s="1" t="s">
        <v>59</v>
      </c>
    </row>
    <row r="6" spans="1:10" x14ac:dyDescent="0.25">
      <c r="A6" s="2"/>
    </row>
    <row r="7" spans="1:10" ht="41.25" customHeight="1" x14ac:dyDescent="0.25">
      <c r="A7" s="3" t="s">
        <v>12</v>
      </c>
      <c r="B7" s="4" t="s">
        <v>56</v>
      </c>
      <c r="C7" s="4" t="s">
        <v>57</v>
      </c>
      <c r="D7" s="4" t="s">
        <v>60</v>
      </c>
      <c r="E7" s="14" t="s">
        <v>62</v>
      </c>
    </row>
    <row r="8" spans="1:10" x14ac:dyDescent="0.25">
      <c r="A8" s="5">
        <v>2020</v>
      </c>
      <c r="B8" s="6">
        <v>0</v>
      </c>
      <c r="C8" s="6">
        <v>0</v>
      </c>
      <c r="D8" s="6" t="s">
        <v>21</v>
      </c>
      <c r="E8" s="20" t="s">
        <v>21</v>
      </c>
      <c r="G8" s="68" t="s">
        <v>82</v>
      </c>
      <c r="H8" s="68"/>
      <c r="I8" s="68"/>
      <c r="J8" s="68"/>
    </row>
    <row r="9" spans="1:10" x14ac:dyDescent="0.25">
      <c r="A9" s="5">
        <v>2021</v>
      </c>
      <c r="B9" s="6">
        <v>2</v>
      </c>
      <c r="C9" s="6">
        <v>2</v>
      </c>
      <c r="D9" s="6">
        <f t="shared" ref="D9:D10" si="0">C9/B9*100</f>
        <v>100</v>
      </c>
      <c r="E9" s="20">
        <f t="shared" ref="E9:E10" si="1">IF(D9&gt;90%,1,0)</f>
        <v>1</v>
      </c>
      <c r="G9" s="68" t="s">
        <v>83</v>
      </c>
      <c r="H9" s="68"/>
      <c r="I9" s="68"/>
      <c r="J9" s="68"/>
    </row>
    <row r="10" spans="1:10" x14ac:dyDescent="0.25">
      <c r="A10" s="8">
        <v>2022</v>
      </c>
      <c r="B10" s="6">
        <v>2</v>
      </c>
      <c r="C10" s="6">
        <v>2</v>
      </c>
      <c r="D10" s="6">
        <f t="shared" si="0"/>
        <v>100</v>
      </c>
      <c r="E10" s="20">
        <f t="shared" si="1"/>
        <v>1</v>
      </c>
    </row>
    <row r="11" spans="1:10" x14ac:dyDescent="0.25">
      <c r="A11" s="36">
        <v>2023</v>
      </c>
      <c r="B11" s="37">
        <v>3</v>
      </c>
      <c r="C11" s="37">
        <v>3</v>
      </c>
      <c r="D11" s="37">
        <f t="shared" ref="D11" si="2">C11/B11*100</f>
        <v>100</v>
      </c>
      <c r="E11" s="20">
        <f t="shared" ref="E11" si="3">IF(D11&gt;90%,1,0)</f>
        <v>1</v>
      </c>
    </row>
    <row r="12" spans="1:10" x14ac:dyDescent="0.25">
      <c r="A12" s="36">
        <v>2024</v>
      </c>
      <c r="B12" s="37">
        <v>3</v>
      </c>
      <c r="C12" s="37">
        <v>3</v>
      </c>
      <c r="D12" s="37">
        <f t="shared" ref="D12" si="4">C12/B12*100</f>
        <v>100</v>
      </c>
      <c r="E12" s="20">
        <f t="shared" ref="E12" si="5">IF(D12&gt;90%,1,0)</f>
        <v>1</v>
      </c>
    </row>
    <row r="13" spans="1:10" x14ac:dyDescent="0.25">
      <c r="A13" s="2"/>
    </row>
    <row r="14" spans="1:10" x14ac:dyDescent="0.25">
      <c r="A14" s="9" t="s">
        <v>84</v>
      </c>
    </row>
  </sheetData>
  <mergeCells count="2"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4671-B60B-431C-98D3-64A70799B563}">
  <dimension ref="A1:H12"/>
  <sheetViews>
    <sheetView tabSelected="1" workbookViewId="0">
      <selection activeCell="A13" sqref="A13"/>
    </sheetView>
  </sheetViews>
  <sheetFormatPr defaultColWidth="9.140625" defaultRowHeight="15.75" x14ac:dyDescent="0.25"/>
  <cols>
    <col min="1" max="1" width="9.140625" style="1"/>
    <col min="2" max="2" width="27.85546875" style="1" customWidth="1"/>
    <col min="3" max="3" width="13.85546875" style="1" customWidth="1"/>
    <col min="4" max="4" width="9.140625" style="1"/>
    <col min="5" max="5" width="9.140625" style="1" customWidth="1"/>
    <col min="6" max="7" width="9.140625" style="1"/>
    <col min="8" max="8" width="19.42578125" style="1" customWidth="1"/>
    <col min="9" max="16384" width="9.140625" style="1"/>
  </cols>
  <sheetData>
    <row r="1" spans="1:8" ht="20.25" x14ac:dyDescent="0.25">
      <c r="A1" s="10" t="s">
        <v>85</v>
      </c>
    </row>
    <row r="2" spans="1:8" x14ac:dyDescent="0.25">
      <c r="A2" s="2"/>
    </row>
    <row r="3" spans="1:8" x14ac:dyDescent="0.25">
      <c r="A3" s="2" t="s">
        <v>86</v>
      </c>
    </row>
    <row r="4" spans="1:8" x14ac:dyDescent="0.25">
      <c r="A4" s="1" t="s">
        <v>87</v>
      </c>
    </row>
    <row r="5" spans="1:8" x14ac:dyDescent="0.25">
      <c r="A5" s="1" t="s">
        <v>91</v>
      </c>
    </row>
    <row r="6" spans="1:8" x14ac:dyDescent="0.25">
      <c r="A6" s="2"/>
    </row>
    <row r="7" spans="1:8" ht="41.25" customHeight="1" x14ac:dyDescent="0.25">
      <c r="A7" s="3" t="s">
        <v>12</v>
      </c>
      <c r="B7" s="4" t="s">
        <v>88</v>
      </c>
      <c r="C7" s="14" t="s">
        <v>81</v>
      </c>
    </row>
    <row r="8" spans="1:8" x14ac:dyDescent="0.25">
      <c r="A8" s="5">
        <v>2020</v>
      </c>
      <c r="B8" s="6">
        <v>0</v>
      </c>
      <c r="C8" s="20">
        <f>IF(B8&lt;3,1,0)</f>
        <v>1</v>
      </c>
      <c r="E8" s="68" t="s">
        <v>89</v>
      </c>
      <c r="F8" s="68"/>
      <c r="G8" s="68"/>
      <c r="H8" s="68"/>
    </row>
    <row r="9" spans="1:8" x14ac:dyDescent="0.25">
      <c r="A9" s="5">
        <v>2021</v>
      </c>
      <c r="B9" s="6">
        <v>0</v>
      </c>
      <c r="C9" s="20">
        <f t="shared" ref="C9:C10" si="0">IF(B9&lt;3,1,0)</f>
        <v>1</v>
      </c>
      <c r="E9" s="68" t="s">
        <v>90</v>
      </c>
      <c r="F9" s="68"/>
      <c r="G9" s="68"/>
      <c r="H9" s="68"/>
    </row>
    <row r="10" spans="1:8" x14ac:dyDescent="0.25">
      <c r="A10" s="8">
        <v>2022</v>
      </c>
      <c r="B10" s="6">
        <v>0</v>
      </c>
      <c r="C10" s="20">
        <f t="shared" si="0"/>
        <v>1</v>
      </c>
    </row>
    <row r="11" spans="1:8" x14ac:dyDescent="0.25">
      <c r="A11" s="36">
        <v>2023</v>
      </c>
      <c r="B11" s="37">
        <v>0</v>
      </c>
      <c r="C11" s="20">
        <f t="shared" ref="C11" si="1">IF(B11&lt;3,1,0)</f>
        <v>1</v>
      </c>
    </row>
    <row r="12" spans="1:8" x14ac:dyDescent="0.25">
      <c r="A12" s="36">
        <v>2024</v>
      </c>
      <c r="B12" s="37">
        <v>0</v>
      </c>
      <c r="C12" s="20">
        <f t="shared" ref="C12" si="2">IF(B12&lt;3,1,0)</f>
        <v>1</v>
      </c>
    </row>
  </sheetData>
  <mergeCells count="2">
    <mergeCell ref="E8:H8"/>
    <mergeCell ref="E9:H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ASPETTI AMBIENTALI SIGNIF</vt:lpstr>
      <vt:lpstr>CONSUMO ENERGIA ELETTRICA</vt:lpstr>
      <vt:lpstr>CONSUMO GAS METANO</vt:lpstr>
      <vt:lpstr>CONSUMI IDRICI</vt:lpstr>
      <vt:lpstr>SCARICO DEL DEPURATORE</vt:lpstr>
      <vt:lpstr>EMISSIONI IN ATMOSFERA</vt:lpstr>
      <vt:lpstr>RUMORI</vt:lpstr>
      <vt:lpstr>RIFIUTI</vt:lpstr>
      <vt:lpstr>FORMAZIONE</vt:lpstr>
      <vt:lpstr>RECLAMI AMBIENTALI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Laboratorio</cp:lastModifiedBy>
  <cp:lastPrinted>2022-01-18T15:12:07Z</cp:lastPrinted>
  <dcterms:created xsi:type="dcterms:W3CDTF">2022-01-18T10:22:23Z</dcterms:created>
  <dcterms:modified xsi:type="dcterms:W3CDTF">2025-01-21T14:16:44Z</dcterms:modified>
</cp:coreProperties>
</file>