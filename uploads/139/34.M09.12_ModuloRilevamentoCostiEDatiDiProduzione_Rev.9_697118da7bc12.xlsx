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\\192.168.0.5\Arc\Laboratorio\agata HACCP\Blending Succo Non Pastorizzato\"/>
    </mc:Choice>
  </mc:AlternateContent>
  <xr:revisionPtr revIDLastSave="0" documentId="13_ncr:1_{502A1635-3D2F-4D2E-BE31-22978733CAD9}" xr6:coauthVersionLast="45" xr6:coauthVersionMax="47" xr10:uidLastSave="{00000000-0000-0000-0000-000000000000}"/>
  <bookViews>
    <workbookView xWindow="-120" yWindow="-120" windowWidth="25440" windowHeight="15390" activeTab="2" xr2:uid="{00000000-000D-0000-FFFF-FFFF00000000}"/>
  </bookViews>
  <sheets>
    <sheet name="M 09.12 01" sheetId="5" r:id="rId1"/>
    <sheet name="M 09. 12 02" sheetId="14" r:id="rId2"/>
    <sheet name="M 09.12 03" sheetId="6" r:id="rId3"/>
    <sheet name="M 09.12 04" sheetId="10" r:id="rId4"/>
    <sheet name="M 09.12 05" sheetId="1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4" i="15" l="1"/>
  <c r="I24" i="15" l="1"/>
  <c r="H24" i="15"/>
  <c r="I17" i="5" l="1"/>
  <c r="J30" i="10" l="1"/>
  <c r="H30" i="10"/>
  <c r="G30" i="10"/>
  <c r="J29" i="10"/>
  <c r="H29" i="10"/>
  <c r="G29" i="10"/>
  <c r="J28" i="10"/>
  <c r="H28" i="10"/>
  <c r="G28" i="10"/>
  <c r="I30" i="5" l="1"/>
  <c r="J30" i="5"/>
  <c r="K30" i="5"/>
  <c r="I31" i="5"/>
  <c r="J31" i="5"/>
  <c r="K31" i="5"/>
  <c r="I32" i="5"/>
  <c r="J32" i="5"/>
  <c r="K32" i="5"/>
  <c r="I24" i="5"/>
  <c r="J24" i="5"/>
  <c r="K24" i="5"/>
  <c r="I25" i="5"/>
  <c r="J25" i="5"/>
  <c r="K25" i="5"/>
  <c r="I26" i="5"/>
  <c r="J26" i="5"/>
  <c r="K26" i="5"/>
  <c r="I27" i="5"/>
  <c r="J27" i="5"/>
  <c r="K27" i="5"/>
  <c r="I28" i="5"/>
  <c r="J28" i="5"/>
  <c r="K28" i="5"/>
  <c r="I29" i="5"/>
  <c r="J29" i="5"/>
  <c r="K29" i="5"/>
  <c r="J10" i="5"/>
  <c r="K10" i="5"/>
  <c r="J11" i="5"/>
  <c r="K11" i="5"/>
  <c r="J12" i="5"/>
  <c r="K12" i="5"/>
  <c r="J13" i="5"/>
  <c r="K13" i="5"/>
  <c r="J14" i="5"/>
  <c r="K14" i="5"/>
  <c r="J15" i="5"/>
  <c r="K15" i="5"/>
  <c r="J16" i="5"/>
  <c r="K16" i="5"/>
  <c r="J17" i="5"/>
  <c r="K17" i="5"/>
  <c r="J18" i="5"/>
  <c r="K18" i="5"/>
  <c r="I18" i="5"/>
  <c r="I10" i="5"/>
  <c r="I11" i="5"/>
  <c r="I12" i="5"/>
  <c r="I13" i="5"/>
  <c r="I14" i="5"/>
  <c r="I15" i="5"/>
  <c r="I16" i="5"/>
  <c r="E19" i="6" l="1"/>
  <c r="G19" i="6"/>
  <c r="H19" i="6"/>
  <c r="D19" i="6"/>
  <c r="O10" i="6"/>
  <c r="P10" i="6"/>
  <c r="Q10" i="6"/>
  <c r="N11" i="6"/>
  <c r="O11" i="6"/>
  <c r="P11" i="6"/>
  <c r="Q11" i="6"/>
  <c r="N12" i="6"/>
  <c r="O12" i="6"/>
  <c r="P12" i="6"/>
  <c r="Q12" i="6"/>
  <c r="N13" i="6"/>
  <c r="O13" i="6"/>
  <c r="P13" i="6"/>
  <c r="Q13" i="6"/>
  <c r="N14" i="6"/>
  <c r="O14" i="6"/>
  <c r="P14" i="6"/>
  <c r="Q14" i="6"/>
  <c r="N15" i="6"/>
  <c r="O15" i="6"/>
  <c r="P15" i="6"/>
  <c r="Q15" i="6"/>
  <c r="N16" i="6"/>
  <c r="O16" i="6"/>
  <c r="P16" i="6"/>
  <c r="Q16" i="6"/>
  <c r="N17" i="6"/>
  <c r="O17" i="6"/>
  <c r="P17" i="6"/>
  <c r="Q17" i="6"/>
  <c r="N18" i="6"/>
  <c r="O18" i="6"/>
  <c r="P18" i="6"/>
  <c r="Q18" i="6"/>
  <c r="Q9" i="6"/>
  <c r="P9" i="6"/>
  <c r="O9" i="6"/>
  <c r="O19" i="6" l="1"/>
  <c r="Q19" i="6"/>
  <c r="P19" i="6"/>
  <c r="H26" i="6"/>
  <c r="I18" i="6"/>
  <c r="K18" i="6" s="1"/>
  <c r="I17" i="6"/>
  <c r="K17" i="6" s="1"/>
  <c r="I16" i="6"/>
  <c r="K16" i="6" s="1"/>
  <c r="I15" i="6"/>
  <c r="K15" i="6" s="1"/>
  <c r="I14" i="6"/>
  <c r="K14" i="6" s="1"/>
  <c r="I13" i="6"/>
  <c r="I12" i="6"/>
  <c r="I11" i="6"/>
  <c r="I10" i="6"/>
  <c r="I9" i="6"/>
  <c r="M9" i="6" s="1"/>
  <c r="F10" i="6"/>
  <c r="N10" i="6" s="1"/>
  <c r="F11" i="6"/>
  <c r="F12" i="6"/>
  <c r="F13" i="6"/>
  <c r="F14" i="6"/>
  <c r="J14" i="6" s="1"/>
  <c r="F15" i="6"/>
  <c r="J15" i="6" s="1"/>
  <c r="F16" i="6"/>
  <c r="J16" i="6" s="1"/>
  <c r="F17" i="6"/>
  <c r="J17" i="6" s="1"/>
  <c r="F18" i="6"/>
  <c r="J18" i="6" s="1"/>
  <c r="F9" i="6"/>
  <c r="L17" i="6" l="1"/>
  <c r="L15" i="6"/>
  <c r="L13" i="6"/>
  <c r="M11" i="6"/>
  <c r="M13" i="6"/>
  <c r="M15" i="6"/>
  <c r="M17" i="6"/>
  <c r="L18" i="6"/>
  <c r="L16" i="6"/>
  <c r="L14" i="6"/>
  <c r="M12" i="6"/>
  <c r="M14" i="6"/>
  <c r="M16" i="6"/>
  <c r="M18" i="6"/>
  <c r="M10" i="6"/>
  <c r="L11" i="6"/>
  <c r="L12" i="6"/>
  <c r="L9" i="6"/>
  <c r="N9" i="6"/>
  <c r="L10" i="6"/>
  <c r="F19" i="6"/>
  <c r="I19" i="6"/>
  <c r="M19" i="6" l="1"/>
  <c r="K19" i="6"/>
  <c r="J19" i="6"/>
  <c r="N19" i="6"/>
  <c r="L19" i="6"/>
</calcChain>
</file>

<file path=xl/sharedStrings.xml><?xml version="1.0" encoding="utf-8"?>
<sst xmlns="http://schemas.openxmlformats.org/spreadsheetml/2006/main" count="451" uniqueCount="168">
  <si>
    <t>Agrumi-Gel s.r.l.</t>
  </si>
  <si>
    <t>KG.</t>
  </si>
  <si>
    <t>IMBALLO</t>
  </si>
  <si>
    <t>TARA</t>
  </si>
  <si>
    <t>N°</t>
  </si>
  <si>
    <t>MISURA</t>
  </si>
  <si>
    <t>REGETTA</t>
  </si>
  <si>
    <t>VELOFILM</t>
  </si>
  <si>
    <t>SIGILLI</t>
  </si>
  <si>
    <t>CAMPIONE N°</t>
  </si>
  <si>
    <t>DATA PRODUZIONE</t>
  </si>
  <si>
    <t>LOTTO DA PRODURRE</t>
  </si>
  <si>
    <t>CLIENTE</t>
  </si>
  <si>
    <t>MODULO RILEVAMENTO COSTI E DATI DI PRODUZIONE</t>
  </si>
  <si>
    <t>M 09.12 01</t>
  </si>
  <si>
    <t>M 09.12 03</t>
  </si>
  <si>
    <t>1. USCITA CELLE</t>
  </si>
  <si>
    <t>OPERATORE</t>
  </si>
  <si>
    <t>DATA</t>
  </si>
  <si>
    <t>ORA INIZIO</t>
  </si>
  <si>
    <t>ORA FINE</t>
  </si>
  <si>
    <t>LOTTO</t>
  </si>
  <si>
    <t>N° FUSTI</t>
  </si>
  <si>
    <t>EFFETTIVI</t>
  </si>
  <si>
    <t>2. TRASFERIMENTO REAGENTI PER BLENDING</t>
  </si>
  <si>
    <t>REAGENTE</t>
  </si>
  <si>
    <t>N° COLLI</t>
  </si>
  <si>
    <t>Q.TA'</t>
  </si>
  <si>
    <t>3. TRASFERIMENTO IMBALLI PER BLENDING</t>
  </si>
  <si>
    <t>3. INGRESSO PRODOTTI FINITI IN CELLA</t>
  </si>
  <si>
    <t>PRODOTTO</t>
  </si>
  <si>
    <t>Q.TA' PREVISTA</t>
  </si>
  <si>
    <t>TOT.</t>
  </si>
  <si>
    <t>Q.TA' EFFETTIVA</t>
  </si>
  <si>
    <t>TINO 1</t>
  </si>
  <si>
    <t>TINO 2</t>
  </si>
  <si>
    <t>TINO 3</t>
  </si>
  <si>
    <t>TINO 4</t>
  </si>
  <si>
    <t>PREVENTIVO</t>
  </si>
  <si>
    <t>EFFETTIVO</t>
  </si>
  <si>
    <t>TINI UTILIZZATI</t>
  </si>
  <si>
    <t>TOTALE</t>
  </si>
  <si>
    <t>DA</t>
  </si>
  <si>
    <t>KG. NETTI CADAUNO</t>
  </si>
  <si>
    <t>CON N°</t>
  </si>
  <si>
    <t>ISTRUZIONI PER IL CONFEZIONAMENTO</t>
  </si>
  <si>
    <t>TIPO</t>
  </si>
  <si>
    <t>APPORRE N°</t>
  </si>
  <si>
    <t>ETICHETTE PER OGNI</t>
  </si>
  <si>
    <t>SISTEMARE IL CARICO SU N°</t>
  </si>
  <si>
    <t>PALLET</t>
  </si>
  <si>
    <t xml:space="preserve">RIMANENZA CONFEZIONATA IN N° </t>
  </si>
  <si>
    <t>LAVAGGIO IN N°</t>
  </si>
  <si>
    <t>NOTE</t>
  </si>
  <si>
    <t>PARTE DA COMPILARE A CURA DELL' ADDETTO PRODOTTI FINITI</t>
  </si>
  <si>
    <t>1. PREPARAZIONE BLENDING</t>
  </si>
  <si>
    <t>OPERATORE 1:</t>
  </si>
  <si>
    <t>DALLE ORE:</t>
  </si>
  <si>
    <t>ALLE ORE:</t>
  </si>
  <si>
    <t>OPERATORE 2:</t>
  </si>
  <si>
    <t>2. AGGIUNTA PRODOTTI</t>
  </si>
  <si>
    <t>ORA</t>
  </si>
  <si>
    <t>FORATA:</t>
  </si>
  <si>
    <t>*IN CASO DI FILTRAZIONE CON FILTRO MILLIPORE ALLEGARE SCONTRINO INTEGRITY TEST</t>
  </si>
  <si>
    <t>PRESSIONE D'ESERCIZIO INIZIALE</t>
  </si>
  <si>
    <t>PRESSIONE D'ESERCIZIO FINALE</t>
  </si>
  <si>
    <t>CONFEZIONATI COME PF</t>
  </si>
  <si>
    <t>FUSTI</t>
  </si>
  <si>
    <t>SACCHI</t>
  </si>
  <si>
    <t>M 09.12 04</t>
  </si>
  <si>
    <t>1. TIRAGGIO FUSTI</t>
  </si>
  <si>
    <t>2. PREPARAZIONE BLENDING</t>
  </si>
  <si>
    <t>ADDITIVO</t>
  </si>
  <si>
    <t>FLOCCULANTE</t>
  </si>
  <si>
    <t>CONSERVANTE</t>
  </si>
  <si>
    <t>ENZIMA</t>
  </si>
  <si>
    <t>QUANTITA'</t>
  </si>
  <si>
    <t>3. PANNELLO FILTRAGGIO TAYLO</t>
  </si>
  <si>
    <t>FARINA</t>
  </si>
  <si>
    <t>4. ULTRAFILTRAZIONE</t>
  </si>
  <si>
    <t>PULIZIA FILTRO  SI
INIZIALE            NO</t>
  </si>
  <si>
    <t>PULIZIA FILTRO  SI
FINALE               NO</t>
  </si>
  <si>
    <t>SALVATORE IMBESI</t>
  </si>
  <si>
    <t>REV.</t>
  </si>
  <si>
    <t>MOTIVO DELLA REVISIONE</t>
  </si>
  <si>
    <t>FIRMA RESPONSABILE</t>
  </si>
  <si>
    <t>M 09.12 02</t>
  </si>
  <si>
    <t>PULIZIA</t>
  </si>
  <si>
    <t>INTEGRITA'</t>
  </si>
  <si>
    <t>EMESSO DA:</t>
  </si>
  <si>
    <t>APPROVATO DA:</t>
  </si>
  <si>
    <t>TIPO FILTRO:</t>
  </si>
  <si>
    <t>FIRMA
OPERATORE</t>
  </si>
  <si>
    <t>DATA, ORA E FIRMA AVVENUTO CONTROLLO</t>
  </si>
  <si>
    <t>FIRMA OPERATORE</t>
  </si>
  <si>
    <t>PRESENZA COPRI ESTRANEI          SI
NEL FILTRO POSTFILTRAZIONE  NO</t>
  </si>
  <si>
    <t>In caso di presenza di corpi estranei nel filtro postfiltrazione far pervenire il copro estranei a LAB per identificazione</t>
  </si>
  <si>
    <t>1. PULIZIA IMPIANTO</t>
  </si>
  <si>
    <t>PRODOTTI UTILIZZATI</t>
  </si>
  <si>
    <t>TRITURATORE</t>
  </si>
  <si>
    <t>TUBAZIONI E QUADRI DI DISTRIBUZIONE</t>
  </si>
  <si>
    <t>SERBATOI</t>
  </si>
  <si>
    <t>PRODOTTI FINITI</t>
  </si>
  <si>
    <t xml:space="preserve">SCARICO VALVOLA TUNNEL </t>
  </si>
  <si>
    <t>APERTURA VALVOLA VAPORE</t>
  </si>
  <si>
    <t>Inizio Produzione</t>
  </si>
  <si>
    <t>Fine Produzione</t>
  </si>
  <si>
    <t>DIVOSAN C (Soluzione al 1%)</t>
  </si>
  <si>
    <t>DIVOSAN FORTE (Soluzione al 0,1%)</t>
  </si>
  <si>
    <t>Acqua Potabile</t>
  </si>
  <si>
    <t xml:space="preserve">OPERATORE </t>
  </si>
  <si>
    <t>FIRMA</t>
  </si>
  <si>
    <t>2. PASSAGGIO IN CAMERA CALDA</t>
  </si>
  <si>
    <t>3. VERIFICA INIZIALE FILTRO</t>
  </si>
  <si>
    <r>
      <t xml:space="preserve">SI   </t>
    </r>
    <r>
      <rPr>
        <sz val="8"/>
        <color theme="1"/>
        <rFont val="Calibri"/>
        <family val="2"/>
      </rPr>
      <t xml:space="preserve">□ </t>
    </r>
    <r>
      <rPr>
        <sz val="8"/>
        <color theme="1"/>
        <rFont val="Verdana"/>
        <family val="2"/>
      </rPr>
      <t xml:space="preserve">NO  </t>
    </r>
    <r>
      <rPr>
        <sz val="8"/>
        <color theme="1"/>
        <rFont val="Calibri"/>
        <family val="2"/>
      </rPr>
      <t>□</t>
    </r>
  </si>
  <si>
    <t>SI   □   NO  □</t>
  </si>
  <si>
    <t>4. TRITURAZIONE</t>
  </si>
  <si>
    <t>5. VERIFICA FINALE FILTRO</t>
  </si>
  <si>
    <r>
      <t xml:space="preserve">SI  </t>
    </r>
    <r>
      <rPr>
        <sz val="8"/>
        <color theme="1"/>
        <rFont val="Calibri"/>
        <family val="2"/>
      </rPr>
      <t xml:space="preserve">□     </t>
    </r>
    <r>
      <rPr>
        <sz val="8"/>
        <color theme="1"/>
        <rFont val="Verdana"/>
        <family val="2"/>
      </rPr>
      <t>NO</t>
    </r>
    <r>
      <rPr>
        <sz val="8"/>
        <color theme="1"/>
        <rFont val="Calibri"/>
        <family val="2"/>
      </rPr>
      <t xml:space="preserve">  □</t>
    </r>
  </si>
  <si>
    <t>SI  □   NO □</t>
  </si>
  <si>
    <t>6. SISTEMAZIONE FUSTI</t>
  </si>
  <si>
    <t>LOREDANA DE FRANCESCO</t>
  </si>
  <si>
    <t>N° CELLA</t>
  </si>
  <si>
    <t>N° FILA</t>
  </si>
  <si>
    <t>4. INGRESSO  RIMANENZE IN CELLA</t>
  </si>
  <si>
    <t>mm</t>
  </si>
  <si>
    <t>T° Camere Calde</t>
  </si>
  <si>
    <t>LOTTO PRODOTTO</t>
  </si>
  <si>
    <t xml:space="preserve">TIPO IMBALLO </t>
  </si>
  <si>
    <t>LOTTO IMBALLO</t>
  </si>
  <si>
    <t>LOTTO SACCHI</t>
  </si>
  <si>
    <t>M 09.12 05</t>
  </si>
  <si>
    <t>PERSONALE UTILIZZATO</t>
  </si>
  <si>
    <t>N° PEDANE</t>
  </si>
  <si>
    <t>MODULO RILEVAMENTO COSTI PREPARAZIONE FUSTI PER LO SCARICO</t>
  </si>
  <si>
    <t xml:space="preserve"> PREPARAZIONE FUSTI PER LO SCARICO</t>
  </si>
  <si>
    <t>OPERATORE 1</t>
  </si>
  <si>
    <t>OPERATORE 2</t>
  </si>
  <si>
    <t>OPERATORE 3</t>
  </si>
  <si>
    <t>OPERATORE 4</t>
  </si>
  <si>
    <t>MARIA ISGRO'</t>
  </si>
  <si>
    <t>NOTA: IN MEDIA NEL TEMPO DI 5 ORE N° 2 PERSONE REALIZZANO N° 50 PEDANE CON FUSTI NUOVI O N. 40 PEDANE CON FUSTI USATI</t>
  </si>
  <si>
    <t>LOTTO FUSTO N°……………….</t>
  </si>
  <si>
    <t>TIPO SACCHI</t>
  </si>
  <si>
    <t>LOTTO SACCHI N°………………………..</t>
  </si>
  <si>
    <r>
      <rPr>
        <i/>
        <sz val="10"/>
        <color theme="1"/>
        <rFont val="Verdana"/>
        <family val="2"/>
      </rPr>
      <t xml:space="preserve">FORNITORE SACCHI </t>
    </r>
    <r>
      <rPr>
        <i/>
        <sz val="12"/>
        <color theme="1"/>
        <rFont val="Verdana"/>
        <family val="2"/>
      </rPr>
      <t xml:space="preserve">……………. </t>
    </r>
  </si>
  <si>
    <t>LOTTO PEDANE N°………………………..</t>
  </si>
  <si>
    <t>INSERITE SPECIFICHE PER NUMERO LOTTI IMBALLI</t>
  </si>
  <si>
    <t>TIPO E NUMERO FUSTO</t>
  </si>
  <si>
    <r>
      <t xml:space="preserve">NUOVO  </t>
    </r>
    <r>
      <rPr>
        <sz val="12"/>
        <color theme="1"/>
        <rFont val="Wingdings"/>
        <charset val="2"/>
      </rPr>
      <t>o</t>
    </r>
    <r>
      <rPr>
        <sz val="12"/>
        <color theme="1"/>
        <rFont val="Calibri"/>
        <family val="2"/>
      </rPr>
      <t xml:space="preserve"> NUMERO……………...</t>
    </r>
  </si>
  <si>
    <r>
      <t xml:space="preserve">USATO </t>
    </r>
    <r>
      <rPr>
        <sz val="12"/>
        <color theme="1"/>
        <rFont val="Wingdings"/>
        <charset val="2"/>
      </rPr>
      <t xml:space="preserve">o </t>
    </r>
    <r>
      <rPr>
        <sz val="12"/>
        <color theme="1"/>
        <rFont val="Calibri"/>
        <family val="2"/>
        <scheme val="minor"/>
      </rPr>
      <t>NUMERO …………..</t>
    </r>
    <r>
      <rPr>
        <sz val="12"/>
        <color theme="1"/>
        <rFont val="Wingdings"/>
        <charset val="2"/>
      </rPr>
      <t xml:space="preserve">             </t>
    </r>
    <r>
      <rPr>
        <sz val="12"/>
        <color theme="1"/>
        <rFont val="Calibri"/>
        <family val="2"/>
      </rPr>
      <t xml:space="preserve"> </t>
    </r>
  </si>
  <si>
    <t xml:space="preserve"> LOREDANA                  DE FRANCESCO</t>
  </si>
  <si>
    <r>
      <rPr>
        <b/>
        <sz val="9"/>
        <color rgb="FFFF0000"/>
        <rFont val="Verdana"/>
        <family val="2"/>
      </rPr>
      <t>CCP 2</t>
    </r>
    <r>
      <rPr>
        <sz val="9"/>
        <color theme="1"/>
        <rFont val="Verdana"/>
        <family val="2"/>
      </rPr>
      <t xml:space="preserve"> INTEGRITA'       SI
FILTRO FINALE           NO</t>
    </r>
  </si>
  <si>
    <r>
      <rPr>
        <b/>
        <sz val="9"/>
        <color rgb="FFFF0000"/>
        <rFont val="Verdana"/>
        <family val="2"/>
      </rPr>
      <t>CCP 2</t>
    </r>
    <r>
      <rPr>
        <sz val="9"/>
        <color theme="1"/>
        <rFont val="Verdana"/>
        <family val="2"/>
      </rPr>
      <t xml:space="preserve"> INTEGRITA'        SI
FILTRO INIZIALE         NO</t>
    </r>
  </si>
  <si>
    <t>SI</t>
  </si>
  <si>
    <t>FUSTO TRONCO</t>
  </si>
  <si>
    <t>2 VIE</t>
  </si>
  <si>
    <t>110X120</t>
  </si>
  <si>
    <t>Nuovo Amministratore</t>
  </si>
  <si>
    <t>PH BLENDING:</t>
  </si>
  <si>
    <t>NUOVO AMMINISTRATORE</t>
  </si>
  <si>
    <t>LOREDANA                DE FRANCESCO</t>
  </si>
  <si>
    <t>RIZZO SALVATORE</t>
  </si>
  <si>
    <t>BOIRON</t>
  </si>
  <si>
    <t xml:space="preserve">UNPATEURIZED LEMON JUICE NFC </t>
  </si>
  <si>
    <t>SLN 21/21 PF</t>
  </si>
  <si>
    <t>SLN 68/20</t>
  </si>
  <si>
    <t>2.58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</si>
</sst>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2"/>
      <color theme="1"/>
      <name val="Verdana"/>
      <family val="2"/>
    </font>
    <font>
      <b/>
      <sz val="14"/>
      <color theme="1"/>
      <name val="Verdana"/>
      <family val="2"/>
    </font>
    <font>
      <i/>
      <sz val="11"/>
      <color theme="1"/>
      <name val="Verdana"/>
      <family val="2"/>
    </font>
    <font>
      <b/>
      <i/>
      <sz val="11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6"/>
      <color theme="1"/>
      <name val="Verdana"/>
      <family val="2"/>
    </font>
    <font>
      <sz val="8"/>
      <color theme="1"/>
      <name val="Verdana"/>
      <family val="2"/>
    </font>
    <font>
      <b/>
      <i/>
      <sz val="8"/>
      <color theme="1"/>
      <name val="Verdana"/>
      <family val="2"/>
    </font>
    <font>
      <sz val="9"/>
      <color theme="1"/>
      <name val="Verdana"/>
      <family val="2"/>
    </font>
    <font>
      <i/>
      <sz val="7"/>
      <color theme="1"/>
      <name val="Verdana"/>
      <family val="2"/>
    </font>
    <font>
      <b/>
      <i/>
      <sz val="9"/>
      <color theme="1"/>
      <name val="Verdana"/>
      <family val="2"/>
    </font>
    <font>
      <sz val="10"/>
      <name val="Arial"/>
      <family val="2"/>
    </font>
    <font>
      <i/>
      <sz val="7.5"/>
      <color theme="1"/>
      <name val="Verdana"/>
      <family val="2"/>
    </font>
    <font>
      <b/>
      <sz val="8"/>
      <color theme="1"/>
      <name val="Verdana"/>
      <family val="2"/>
    </font>
    <font>
      <b/>
      <sz val="7"/>
      <color theme="1"/>
      <name val="Verdana"/>
      <family val="2"/>
    </font>
    <font>
      <sz val="7"/>
      <color theme="1"/>
      <name val="Calibri"/>
      <family val="2"/>
      <scheme val="minor"/>
    </font>
    <font>
      <sz val="7"/>
      <color theme="1"/>
      <name val="Verdana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i/>
      <sz val="10"/>
      <color theme="1"/>
      <name val="Verdana"/>
      <family val="2"/>
    </font>
    <font>
      <b/>
      <i/>
      <sz val="12"/>
      <color theme="1"/>
      <name val="Verdana"/>
      <family val="2"/>
    </font>
    <font>
      <i/>
      <sz val="12"/>
      <color theme="1"/>
      <name val="Verdana"/>
      <family val="2"/>
    </font>
    <font>
      <sz val="12"/>
      <color theme="1"/>
      <name val="Calibri"/>
      <family val="2"/>
    </font>
    <font>
      <sz val="12"/>
      <color theme="1"/>
      <name val="Wingdings"/>
      <charset val="2"/>
    </font>
    <font>
      <sz val="12"/>
      <color theme="1"/>
      <name val="Calibri"/>
      <family val="2"/>
      <scheme val="minor"/>
    </font>
    <font>
      <b/>
      <sz val="9"/>
      <color rgb="FFFF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/>
  </cellStyleXfs>
  <cellXfs count="451">
    <xf numFmtId="0" fontId="0" fillId="0" borderId="0" xfId="0"/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49" fontId="1" fillId="0" borderId="0" xfId="0" applyNumberFormat="1" applyFont="1" applyAlignment="1" applyProtection="1">
      <alignment vertical="center" wrapText="1"/>
    </xf>
    <xf numFmtId="14" fontId="1" fillId="2" borderId="14" xfId="0" applyNumberFormat="1" applyFont="1" applyFill="1" applyBorder="1" applyAlignment="1" applyProtection="1">
      <alignment horizontal="center" vertical="center" wrapText="1"/>
    </xf>
    <xf numFmtId="3" fontId="1" fillId="2" borderId="14" xfId="0" applyNumberFormat="1" applyFont="1" applyFill="1" applyBorder="1" applyAlignment="1" applyProtection="1">
      <alignment horizontal="center" vertical="center" wrapText="1"/>
    </xf>
    <xf numFmtId="49" fontId="1" fillId="0" borderId="14" xfId="0" applyNumberFormat="1" applyFont="1" applyBorder="1" applyAlignment="1" applyProtection="1">
      <alignment vertical="center" wrapText="1"/>
    </xf>
    <xf numFmtId="3" fontId="1" fillId="0" borderId="0" xfId="0" applyNumberFormat="1" applyFont="1" applyAlignment="1" applyProtection="1">
      <alignment vertical="center" wrapText="1"/>
    </xf>
    <xf numFmtId="3" fontId="1" fillId="0" borderId="0" xfId="0" applyNumberFormat="1" applyFont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right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vertical="center" wrapText="1"/>
    </xf>
    <xf numFmtId="0" fontId="5" fillId="0" borderId="7" xfId="0" applyFont="1" applyBorder="1" applyAlignment="1" applyProtection="1">
      <alignment horizontal="right" vertical="center" wrapText="1"/>
    </xf>
    <xf numFmtId="0" fontId="1" fillId="0" borderId="8" xfId="0" applyFont="1" applyBorder="1" applyAlignment="1" applyProtection="1">
      <alignment vertical="center" wrapText="1"/>
    </xf>
    <xf numFmtId="0" fontId="5" fillId="0" borderId="8" xfId="0" applyFont="1" applyBorder="1" applyAlignment="1" applyProtection="1">
      <alignment horizontal="right" vertical="center" wrapText="1"/>
    </xf>
    <xf numFmtId="0" fontId="1" fillId="0" borderId="9" xfId="0" applyFont="1" applyBorder="1" applyAlignment="1" applyProtection="1">
      <alignment vertical="center" wrapText="1"/>
    </xf>
    <xf numFmtId="0" fontId="5" fillId="0" borderId="10" xfId="0" applyFont="1" applyBorder="1" applyAlignment="1" applyProtection="1">
      <alignment horizontal="right" vertical="center" wrapText="1"/>
    </xf>
    <xf numFmtId="0" fontId="5" fillId="0" borderId="11" xfId="0" applyFont="1" applyBorder="1" applyAlignment="1" applyProtection="1">
      <alignment horizontal="right" vertical="center" wrapText="1"/>
    </xf>
    <xf numFmtId="0" fontId="5" fillId="0" borderId="16" xfId="0" applyFont="1" applyBorder="1" applyAlignment="1" applyProtection="1">
      <alignment horizontal="right" vertical="center" wrapText="1"/>
    </xf>
    <xf numFmtId="0" fontId="1" fillId="0" borderId="17" xfId="0" applyFont="1" applyBorder="1" applyAlignment="1" applyProtection="1">
      <alignment vertical="center" wrapText="1"/>
    </xf>
    <xf numFmtId="0" fontId="5" fillId="0" borderId="17" xfId="0" applyFont="1" applyBorder="1" applyAlignment="1" applyProtection="1">
      <alignment horizontal="right" vertical="center" wrapText="1"/>
    </xf>
    <xf numFmtId="0" fontId="1" fillId="0" borderId="18" xfId="0" applyFont="1" applyBorder="1" applyAlignment="1" applyProtection="1">
      <alignment vertical="center" wrapText="1"/>
    </xf>
    <xf numFmtId="0" fontId="5" fillId="0" borderId="19" xfId="0" applyFont="1" applyBorder="1" applyAlignment="1" applyProtection="1">
      <alignment horizontal="right" vertical="center" wrapText="1"/>
    </xf>
    <xf numFmtId="0" fontId="1" fillId="0" borderId="2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vertical="center" wrapText="1"/>
    </xf>
    <xf numFmtId="3" fontId="1" fillId="0" borderId="0" xfId="0" applyNumberFormat="1" applyFont="1" applyBorder="1" applyAlignment="1" applyProtection="1">
      <alignment vertical="center" wrapText="1"/>
    </xf>
    <xf numFmtId="0" fontId="2" fillId="0" borderId="1" xfId="0" applyFont="1" applyBorder="1" applyAlignment="1" applyProtection="1">
      <alignment horizontal="center" vertical="center" wrapText="1"/>
    </xf>
    <xf numFmtId="3" fontId="1" fillId="0" borderId="1" xfId="0" applyNumberFormat="1" applyFont="1" applyBorder="1" applyAlignment="1" applyProtection="1">
      <alignment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</xf>
    <xf numFmtId="4" fontId="1" fillId="0" borderId="13" xfId="0" applyNumberFormat="1" applyFont="1" applyBorder="1" applyAlignment="1" applyProtection="1">
      <alignment vertical="center" wrapText="1"/>
      <protection locked="0"/>
    </xf>
    <xf numFmtId="0" fontId="2" fillId="0" borderId="27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left" vertical="center" wrapText="1"/>
    </xf>
    <xf numFmtId="0" fontId="1" fillId="0" borderId="0" xfId="0" applyFont="1" applyAlignment="1" applyProtection="1">
      <alignment horizontal="right" vertical="center" wrapText="1"/>
    </xf>
    <xf numFmtId="0" fontId="1" fillId="0" borderId="0" xfId="0" applyFont="1" applyBorder="1" applyAlignment="1" applyProtection="1">
      <alignment horizontal="center" vertical="center" wrapText="1"/>
    </xf>
    <xf numFmtId="3" fontId="1" fillId="0" borderId="27" xfId="0" applyNumberFormat="1" applyFont="1" applyBorder="1" applyAlignment="1" applyProtection="1">
      <alignment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</xf>
    <xf numFmtId="0" fontId="9" fillId="0" borderId="13" xfId="0" applyFont="1" applyBorder="1" applyAlignment="1" applyProtection="1">
      <alignment horizontal="center" vertical="center" wrapText="1"/>
    </xf>
    <xf numFmtId="0" fontId="9" fillId="0" borderId="14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vertical="center" wrapText="1"/>
    </xf>
    <xf numFmtId="0" fontId="1" fillId="0" borderId="14" xfId="0" applyFont="1" applyBorder="1" applyAlignment="1" applyProtection="1">
      <alignment vertical="center" wrapText="1"/>
    </xf>
    <xf numFmtId="0" fontId="9" fillId="0" borderId="28" xfId="0" applyFont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vertical="center" wrapText="1"/>
    </xf>
    <xf numFmtId="4" fontId="1" fillId="0" borderId="19" xfId="0" applyNumberFormat="1" applyFont="1" applyBorder="1" applyAlignment="1" applyProtection="1">
      <alignment vertical="center" wrapText="1"/>
      <protection locked="0"/>
    </xf>
    <xf numFmtId="3" fontId="1" fillId="0" borderId="15" xfId="0" applyNumberFormat="1" applyFont="1" applyBorder="1" applyAlignment="1" applyProtection="1">
      <alignment vertical="center" wrapText="1"/>
      <protection locked="0"/>
    </xf>
    <xf numFmtId="3" fontId="1" fillId="0" borderId="29" xfId="0" applyNumberFormat="1" applyFont="1" applyBorder="1" applyAlignment="1" applyProtection="1">
      <alignment vertical="center" wrapText="1"/>
    </xf>
    <xf numFmtId="0" fontId="1" fillId="0" borderId="19" xfId="0" applyFont="1" applyBorder="1" applyAlignment="1" applyProtection="1">
      <alignment vertical="center" wrapText="1"/>
    </xf>
    <xf numFmtId="0" fontId="1" fillId="0" borderId="20" xfId="0" applyFont="1" applyBorder="1" applyAlignment="1" applyProtection="1">
      <alignment vertical="center" wrapText="1"/>
    </xf>
    <xf numFmtId="0" fontId="1" fillId="0" borderId="32" xfId="0" applyFont="1" applyBorder="1" applyAlignment="1" applyProtection="1">
      <alignment vertical="center" wrapText="1"/>
    </xf>
    <xf numFmtId="3" fontId="2" fillId="0" borderId="2" xfId="0" applyNumberFormat="1" applyFont="1" applyBorder="1" applyAlignment="1" applyProtection="1">
      <alignment vertical="center" wrapText="1"/>
    </xf>
    <xf numFmtId="3" fontId="2" fillId="0" borderId="3" xfId="0" applyNumberFormat="1" applyFont="1" applyBorder="1" applyAlignment="1" applyProtection="1">
      <alignment vertical="center" wrapText="1"/>
    </xf>
    <xf numFmtId="3" fontId="2" fillId="0" borderId="33" xfId="0" applyNumberFormat="1" applyFont="1" applyBorder="1" applyAlignment="1" applyProtection="1">
      <alignment vertical="center" wrapText="1"/>
    </xf>
    <xf numFmtId="3" fontId="2" fillId="0" borderId="4" xfId="0" applyNumberFormat="1" applyFont="1" applyBorder="1" applyAlignment="1" applyProtection="1">
      <alignment vertical="center" wrapText="1"/>
    </xf>
    <xf numFmtId="3" fontId="2" fillId="0" borderId="34" xfId="0" applyNumberFormat="1" applyFont="1" applyBorder="1" applyAlignment="1" applyProtection="1">
      <alignment vertical="center" wrapText="1"/>
    </xf>
    <xf numFmtId="0" fontId="1" fillId="0" borderId="1" xfId="0" applyFont="1" applyBorder="1" applyAlignment="1" applyProtection="1">
      <alignment horizontal="right" vertical="center" wrapText="1"/>
    </xf>
    <xf numFmtId="0" fontId="1" fillId="0" borderId="1" xfId="0" applyFont="1" applyBorder="1" applyAlignment="1" applyProtection="1">
      <alignment vertical="center" wrapText="1"/>
    </xf>
    <xf numFmtId="3" fontId="6" fillId="0" borderId="1" xfId="0" applyNumberFormat="1" applyFont="1" applyBorder="1" applyAlignment="1" applyProtection="1">
      <alignment vertical="center" wrapText="1"/>
    </xf>
    <xf numFmtId="3" fontId="6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horizontal="right" vertical="center" wrapText="1"/>
    </xf>
    <xf numFmtId="0" fontId="12" fillId="0" borderId="8" xfId="0" applyFont="1" applyBorder="1" applyAlignment="1" applyProtection="1">
      <alignment vertical="center" wrapText="1"/>
    </xf>
    <xf numFmtId="0" fontId="1" fillId="0" borderId="11" xfId="0" applyFont="1" applyBorder="1" applyAlignment="1" applyProtection="1">
      <alignment horizontal="right" vertical="center" wrapText="1"/>
    </xf>
    <xf numFmtId="0" fontId="12" fillId="0" borderId="11" xfId="0" applyFont="1" applyBorder="1" applyAlignment="1" applyProtection="1">
      <alignment vertical="center" wrapText="1"/>
    </xf>
    <xf numFmtId="0" fontId="2" fillId="0" borderId="8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horizontal="right" vertical="center" wrapText="1"/>
      <protection locked="0"/>
    </xf>
    <xf numFmtId="0" fontId="2" fillId="0" borderId="11" xfId="0" applyFont="1" applyBorder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vertical="center" wrapText="1"/>
    </xf>
    <xf numFmtId="0" fontId="1" fillId="0" borderId="13" xfId="0" applyFont="1" applyBorder="1" applyAlignment="1" applyProtection="1">
      <alignment horizontal="center" vertical="center" wrapText="1"/>
    </xf>
    <xf numFmtId="49" fontId="1" fillId="0" borderId="13" xfId="0" applyNumberFormat="1" applyFont="1" applyBorder="1" applyAlignment="1" applyProtection="1">
      <alignment vertical="center" wrapText="1"/>
    </xf>
    <xf numFmtId="49" fontId="1" fillId="0" borderId="1" xfId="0" applyNumberFormat="1" applyFont="1" applyBorder="1" applyAlignment="1" applyProtection="1">
      <alignment vertical="center" wrapText="1"/>
    </xf>
    <xf numFmtId="0" fontId="1" fillId="0" borderId="1" xfId="0" applyNumberFormat="1" applyFont="1" applyBorder="1" applyAlignment="1" applyProtection="1">
      <alignment horizontal="center" vertical="center" wrapText="1"/>
    </xf>
    <xf numFmtId="0" fontId="2" fillId="0" borderId="42" xfId="0" applyFont="1" applyBorder="1" applyAlignment="1" applyProtection="1">
      <alignment horizontal="center" vertical="center" wrapText="1"/>
    </xf>
    <xf numFmtId="0" fontId="2" fillId="0" borderId="41" xfId="0" applyFont="1" applyBorder="1" applyAlignment="1" applyProtection="1">
      <alignment horizontal="center" vertical="center" wrapText="1"/>
    </xf>
    <xf numFmtId="0" fontId="2" fillId="0" borderId="43" xfId="0" applyFont="1" applyBorder="1" applyAlignment="1" applyProtection="1">
      <alignment horizontal="center" vertical="center" wrapText="1"/>
    </xf>
    <xf numFmtId="0" fontId="1" fillId="0" borderId="8" xfId="0" applyNumberFormat="1" applyFont="1" applyBorder="1" applyAlignment="1" applyProtection="1">
      <alignment horizontal="center" vertical="center" wrapText="1"/>
    </xf>
    <xf numFmtId="0" fontId="1" fillId="0" borderId="11" xfId="0" applyNumberFormat="1" applyFont="1" applyBorder="1" applyAlignment="1" applyProtection="1">
      <alignment horizontal="center" vertical="center" wrapText="1"/>
    </xf>
    <xf numFmtId="3" fontId="1" fillId="0" borderId="1" xfId="0" applyNumberFormat="1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NumberFormat="1" applyFont="1" applyBorder="1" applyAlignment="1" applyProtection="1">
      <alignment horizontal="center" vertical="center" wrapText="1"/>
    </xf>
    <xf numFmtId="0" fontId="11" fillId="0" borderId="1" xfId="0" applyNumberFormat="1" applyFont="1" applyBorder="1" applyAlignment="1" applyProtection="1">
      <alignment horizontal="center" vertical="center" wrapText="1"/>
    </xf>
    <xf numFmtId="0" fontId="14" fillId="0" borderId="1" xfId="0" applyNumberFormat="1" applyFont="1" applyBorder="1" applyAlignment="1" applyProtection="1">
      <alignment horizontal="center" vertical="center" wrapText="1"/>
    </xf>
    <xf numFmtId="3" fontId="2" fillId="0" borderId="1" xfId="0" applyNumberFormat="1" applyFont="1" applyBorder="1" applyAlignment="1" applyProtection="1">
      <alignment horizontal="center" vertical="center" wrapText="1"/>
    </xf>
    <xf numFmtId="3" fontId="12" fillId="0" borderId="1" xfId="0" applyNumberFormat="1" applyFont="1" applyBorder="1" applyAlignment="1" applyProtection="1">
      <alignment horizontal="center" vertical="center" wrapText="1"/>
    </xf>
    <xf numFmtId="0" fontId="12" fillId="0" borderId="7" xfId="0" applyNumberFormat="1" applyFont="1" applyBorder="1" applyAlignment="1" applyProtection="1">
      <alignment horizontal="center" vertical="center" wrapText="1"/>
    </xf>
    <xf numFmtId="0" fontId="12" fillId="0" borderId="13" xfId="0" applyNumberFormat="1" applyFont="1" applyBorder="1" applyAlignment="1" applyProtection="1">
      <alignment horizontal="center" vertical="center" wrapText="1"/>
    </xf>
    <xf numFmtId="0" fontId="12" fillId="0" borderId="10" xfId="0" applyNumberFormat="1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</xf>
    <xf numFmtId="14" fontId="8" fillId="0" borderId="8" xfId="0" applyNumberFormat="1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left" vertical="center" wrapText="1"/>
    </xf>
    <xf numFmtId="0" fontId="5" fillId="0" borderId="11" xfId="0" applyFont="1" applyBorder="1" applyAlignment="1" applyProtection="1">
      <alignment horizontal="right" vertical="center" wrapText="1"/>
    </xf>
    <xf numFmtId="0" fontId="5" fillId="0" borderId="8" xfId="0" applyFont="1" applyBorder="1" applyAlignment="1" applyProtection="1">
      <alignment horizontal="right" vertical="center" wrapText="1"/>
    </xf>
    <xf numFmtId="0" fontId="8" fillId="0" borderId="8" xfId="0" applyFont="1" applyBorder="1" applyAlignment="1" applyProtection="1">
      <alignment horizontal="center" vertical="center" wrapText="1"/>
    </xf>
    <xf numFmtId="0" fontId="8" fillId="0" borderId="11" xfId="0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 wrapText="1"/>
    </xf>
    <xf numFmtId="0" fontId="8" fillId="0" borderId="10" xfId="0" applyFont="1" applyBorder="1" applyAlignment="1" applyProtection="1">
      <alignment horizontal="center" vertical="center" wrapText="1"/>
    </xf>
    <xf numFmtId="0" fontId="8" fillId="0" borderId="7" xfId="0" applyFont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left" vertical="center" wrapText="1"/>
    </xf>
    <xf numFmtId="0" fontId="10" fillId="0" borderId="7" xfId="0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center" vertical="center" wrapText="1"/>
    </xf>
    <xf numFmtId="0" fontId="10" fillId="0" borderId="11" xfId="0" applyFont="1" applyBorder="1" applyAlignment="1" applyProtection="1">
      <alignment horizontal="center" vertical="center" wrapText="1"/>
    </xf>
    <xf numFmtId="0" fontId="10" fillId="0" borderId="12" xfId="0" applyFont="1" applyBorder="1" applyAlignment="1" applyProtection="1">
      <alignment horizontal="center" vertical="center" wrapText="1"/>
    </xf>
    <xf numFmtId="0" fontId="10" fillId="0" borderId="9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vertical="center" wrapText="1"/>
    </xf>
    <xf numFmtId="0" fontId="1" fillId="0" borderId="12" xfId="0" applyFont="1" applyBorder="1" applyAlignment="1" applyProtection="1">
      <alignment vertical="center" wrapText="1"/>
    </xf>
    <xf numFmtId="0" fontId="8" fillId="0" borderId="0" xfId="0" applyFont="1" applyAlignment="1" applyProtection="1">
      <alignment horizontal="center" vertical="center" wrapText="1"/>
    </xf>
    <xf numFmtId="0" fontId="16" fillId="0" borderId="8" xfId="0" applyFont="1" applyBorder="1" applyAlignment="1" applyProtection="1">
      <alignment horizontal="center" vertical="center" wrapText="1"/>
    </xf>
    <xf numFmtId="0" fontId="16" fillId="0" borderId="11" xfId="0" applyFont="1" applyBorder="1" applyAlignment="1" applyProtection="1">
      <alignment horizontal="center" vertical="center" wrapText="1"/>
    </xf>
    <xf numFmtId="0" fontId="2" fillId="0" borderId="24" xfId="0" applyFont="1" applyBorder="1" applyAlignment="1" applyProtection="1">
      <alignment vertical="center" wrapText="1"/>
      <protection locked="0"/>
    </xf>
    <xf numFmtId="0" fontId="2" fillId="0" borderId="21" xfId="0" applyFont="1" applyBorder="1" applyAlignment="1" applyProtection="1">
      <alignment vertical="center" wrapText="1"/>
      <protection locked="0"/>
    </xf>
    <xf numFmtId="0" fontId="2" fillId="0" borderId="26" xfId="0" applyFont="1" applyBorder="1" applyAlignment="1" applyProtection="1">
      <alignment horizontal="right" vertical="center" wrapText="1"/>
    </xf>
    <xf numFmtId="0" fontId="10" fillId="0" borderId="11" xfId="0" applyFont="1" applyBorder="1" applyAlignment="1" applyProtection="1">
      <alignment horizontal="center" vertical="center" wrapText="1"/>
    </xf>
    <xf numFmtId="0" fontId="1" fillId="0" borderId="31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5" fillId="0" borderId="11" xfId="0" applyFont="1" applyBorder="1" applyAlignment="1" applyProtection="1">
      <alignment horizontal="right" vertical="center" wrapText="1"/>
    </xf>
    <xf numFmtId="0" fontId="5" fillId="0" borderId="8" xfId="0" applyFont="1" applyBorder="1" applyAlignment="1" applyProtection="1">
      <alignment horizontal="right" vertical="center" wrapText="1"/>
    </xf>
    <xf numFmtId="0" fontId="17" fillId="0" borderId="0" xfId="0" applyFont="1" applyBorder="1" applyAlignment="1" applyProtection="1">
      <alignment horizontal="left" vertical="center" wrapText="1"/>
    </xf>
    <xf numFmtId="0" fontId="10" fillId="0" borderId="0" xfId="0" applyFont="1" applyBorder="1" applyAlignment="1" applyProtection="1">
      <alignment horizontal="left" vertical="center" wrapText="1"/>
    </xf>
    <xf numFmtId="0" fontId="18" fillId="0" borderId="8" xfId="0" applyFont="1" applyBorder="1" applyAlignment="1" applyProtection="1">
      <alignment horizontal="left" vertical="center" wrapText="1"/>
    </xf>
    <xf numFmtId="0" fontId="18" fillId="0" borderId="48" xfId="0" applyFont="1" applyBorder="1" applyAlignment="1" applyProtection="1">
      <alignment horizontal="left" vertical="center" wrapText="1"/>
    </xf>
    <xf numFmtId="0" fontId="19" fillId="0" borderId="0" xfId="0" applyFont="1" applyBorder="1"/>
    <xf numFmtId="0" fontId="18" fillId="0" borderId="14" xfId="0" applyFont="1" applyBorder="1" applyAlignment="1" applyProtection="1">
      <alignment horizontal="left" vertical="center" wrapText="1"/>
    </xf>
    <xf numFmtId="0" fontId="18" fillId="0" borderId="48" xfId="0" applyFont="1" applyBorder="1" applyAlignment="1" applyProtection="1">
      <alignment vertical="center" wrapText="1"/>
    </xf>
    <xf numFmtId="0" fontId="20" fillId="0" borderId="48" xfId="0" applyFont="1" applyBorder="1" applyAlignment="1" applyProtection="1">
      <alignment horizontal="left" vertical="center" wrapText="1"/>
    </xf>
    <xf numFmtId="0" fontId="20" fillId="0" borderId="14" xfId="0" applyFont="1" applyBorder="1" applyAlignment="1" applyProtection="1">
      <alignment horizontal="left" vertical="center" wrapText="1"/>
    </xf>
    <xf numFmtId="0" fontId="18" fillId="0" borderId="11" xfId="0" applyFont="1" applyBorder="1" applyAlignment="1" applyProtection="1">
      <alignment vertical="center" wrapText="1"/>
    </xf>
    <xf numFmtId="0" fontId="18" fillId="0" borderId="11" xfId="0" applyFont="1" applyBorder="1" applyAlignment="1" applyProtection="1">
      <alignment horizontal="left" vertical="center" wrapText="1"/>
    </xf>
    <xf numFmtId="0" fontId="20" fillId="0" borderId="11" xfId="0" applyFont="1" applyBorder="1" applyAlignment="1" applyProtection="1">
      <alignment horizontal="left" vertical="center" wrapText="1"/>
    </xf>
    <xf numFmtId="0" fontId="20" fillId="0" borderId="12" xfId="0" applyFont="1" applyBorder="1" applyAlignment="1" applyProtection="1">
      <alignment horizontal="left" vertical="center" wrapText="1"/>
    </xf>
    <xf numFmtId="0" fontId="10" fillId="0" borderId="0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vertical="center" wrapText="1"/>
    </xf>
    <xf numFmtId="0" fontId="21" fillId="0" borderId="0" xfId="0" applyFont="1" applyAlignment="1">
      <alignment horizontal="left"/>
    </xf>
    <xf numFmtId="0" fontId="17" fillId="0" borderId="0" xfId="0" applyFont="1" applyAlignment="1" applyProtection="1">
      <alignment horizontal="left" wrapText="1"/>
    </xf>
    <xf numFmtId="0" fontId="10" fillId="0" borderId="7" xfId="0" applyFont="1" applyBorder="1" applyAlignment="1" applyProtection="1">
      <alignment horizontal="left" vertical="center" wrapText="1"/>
    </xf>
    <xf numFmtId="0" fontId="10" fillId="0" borderId="8" xfId="0" applyFont="1" applyBorder="1" applyAlignment="1" applyProtection="1">
      <alignment horizontal="left" vertical="center" wrapText="1"/>
    </xf>
    <xf numFmtId="0" fontId="10" fillId="0" borderId="9" xfId="0" applyFont="1" applyBorder="1" applyAlignment="1" applyProtection="1">
      <alignment horizontal="left" vertical="center" wrapText="1"/>
    </xf>
    <xf numFmtId="0" fontId="10" fillId="0" borderId="0" xfId="0" applyFont="1" applyAlignment="1" applyProtection="1">
      <alignment horizontal="left" vertical="center" wrapText="1"/>
    </xf>
    <xf numFmtId="0" fontId="0" fillId="0" borderId="8" xfId="0" applyBorder="1"/>
    <xf numFmtId="0" fontId="10" fillId="0" borderId="10" xfId="0" applyFont="1" applyBorder="1" applyAlignment="1" applyProtection="1">
      <alignment horizontal="left" vertical="center" wrapText="1"/>
    </xf>
    <xf numFmtId="0" fontId="10" fillId="0" borderId="11" xfId="0" applyFont="1" applyBorder="1" applyAlignment="1" applyProtection="1">
      <alignment horizontal="left" vertical="center" wrapText="1"/>
    </xf>
    <xf numFmtId="0" fontId="21" fillId="0" borderId="0" xfId="0" applyFont="1"/>
    <xf numFmtId="0" fontId="0" fillId="0" borderId="11" xfId="0" applyBorder="1"/>
    <xf numFmtId="0" fontId="10" fillId="0" borderId="12" xfId="0" applyFont="1" applyBorder="1" applyAlignment="1" applyProtection="1">
      <alignment vertical="center" wrapText="1"/>
    </xf>
    <xf numFmtId="0" fontId="21" fillId="0" borderId="0" xfId="0" applyFont="1" applyBorder="1"/>
    <xf numFmtId="0" fontId="10" fillId="0" borderId="12" xfId="0" applyFont="1" applyBorder="1" applyAlignment="1" applyProtection="1">
      <alignment horizontal="left" vertical="center" wrapText="1"/>
    </xf>
    <xf numFmtId="14" fontId="10" fillId="0" borderId="8" xfId="0" applyNumberFormat="1" applyFont="1" applyBorder="1" applyAlignment="1" applyProtection="1">
      <alignment horizontal="center" vertical="center" wrapText="1"/>
    </xf>
    <xf numFmtId="0" fontId="10" fillId="0" borderId="9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vertical="center" wrapText="1"/>
    </xf>
    <xf numFmtId="0" fontId="1" fillId="0" borderId="21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vertical="center" wrapText="1"/>
    </xf>
    <xf numFmtId="0" fontId="1" fillId="0" borderId="10" xfId="0" applyFont="1" applyBorder="1" applyAlignment="1" applyProtection="1">
      <alignment vertical="center" wrapText="1"/>
    </xf>
    <xf numFmtId="0" fontId="17" fillId="0" borderId="0" xfId="0" applyFont="1" applyAlignment="1" applyProtection="1">
      <alignment horizontal="left" wrapText="1"/>
    </xf>
    <xf numFmtId="0" fontId="21" fillId="0" borderId="12" xfId="0" applyFont="1" applyBorder="1"/>
    <xf numFmtId="0" fontId="10" fillId="0" borderId="14" xfId="0" applyFont="1" applyBorder="1" applyAlignment="1" applyProtection="1">
      <alignment horizontal="center" vertical="center" wrapText="1"/>
    </xf>
    <xf numFmtId="0" fontId="20" fillId="0" borderId="9" xfId="0" applyFont="1" applyBorder="1" applyAlignment="1" applyProtection="1">
      <alignment horizontal="center" vertical="center" wrapText="1"/>
    </xf>
    <xf numFmtId="0" fontId="1" fillId="0" borderId="48" xfId="0" applyFont="1" applyBorder="1" applyAlignment="1" applyProtection="1">
      <alignment horizontal="right" vertical="center" wrapText="1"/>
    </xf>
    <xf numFmtId="0" fontId="4" fillId="0" borderId="31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</xf>
    <xf numFmtId="0" fontId="5" fillId="0" borderId="11" xfId="0" applyFont="1" applyBorder="1" applyAlignment="1" applyProtection="1">
      <alignment horizontal="center" vertical="center" wrapText="1"/>
    </xf>
    <xf numFmtId="0" fontId="8" fillId="0" borderId="11" xfId="0" applyFont="1" applyBorder="1" applyAlignment="1" applyProtection="1">
      <alignment horizontal="center" vertical="center" wrapText="1"/>
    </xf>
    <xf numFmtId="0" fontId="12" fillId="0" borderId="26" xfId="0" applyNumberFormat="1" applyFont="1" applyBorder="1" applyAlignment="1" applyProtection="1">
      <alignment horizontal="center" vertical="center" wrapText="1"/>
    </xf>
    <xf numFmtId="0" fontId="12" fillId="0" borderId="28" xfId="0" applyNumberFormat="1" applyFont="1" applyBorder="1" applyAlignment="1" applyProtection="1">
      <alignment horizontal="center" vertical="center" wrapText="1"/>
    </xf>
    <xf numFmtId="0" fontId="12" fillId="0" borderId="23" xfId="0" applyNumberFormat="1" applyFont="1" applyBorder="1" applyAlignment="1" applyProtection="1">
      <alignment horizontal="center" vertical="center" wrapText="1"/>
    </xf>
    <xf numFmtId="0" fontId="1" fillId="0" borderId="55" xfId="0" applyFont="1" applyBorder="1" applyAlignment="1" applyProtection="1">
      <alignment horizontal="center" vertical="center" wrapText="1"/>
    </xf>
    <xf numFmtId="0" fontId="1" fillId="0" borderId="56" xfId="0" applyFont="1" applyBorder="1" applyAlignment="1" applyProtection="1">
      <alignment horizontal="center" vertical="center" wrapText="1"/>
    </xf>
    <xf numFmtId="49" fontId="1" fillId="0" borderId="56" xfId="0" applyNumberFormat="1" applyFont="1" applyBorder="1" applyAlignment="1" applyProtection="1">
      <alignment vertical="center" wrapText="1"/>
    </xf>
    <xf numFmtId="0" fontId="1" fillId="0" borderId="56" xfId="0" applyFont="1" applyBorder="1" applyAlignment="1" applyProtection="1">
      <alignment vertical="center" wrapText="1"/>
    </xf>
    <xf numFmtId="0" fontId="1" fillId="0" borderId="57" xfId="0" applyFont="1" applyBorder="1" applyAlignment="1" applyProtection="1">
      <alignment horizontal="center" vertical="center" wrapText="1"/>
    </xf>
    <xf numFmtId="0" fontId="5" fillId="0" borderId="17" xfId="0" applyFont="1" applyBorder="1" applyAlignment="1" applyProtection="1">
      <alignment horizontal="center" vertical="center" wrapText="1"/>
    </xf>
    <xf numFmtId="0" fontId="5" fillId="0" borderId="15" xfId="0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left" vertical="center" wrapText="1"/>
    </xf>
    <xf numFmtId="0" fontId="23" fillId="0" borderId="7" xfId="0" applyFont="1" applyBorder="1" applyAlignment="1" applyProtection="1">
      <alignment horizontal="right" vertical="center" wrapText="1"/>
    </xf>
    <xf numFmtId="0" fontId="8" fillId="0" borderId="8" xfId="0" applyFont="1" applyBorder="1" applyAlignment="1" applyProtection="1">
      <alignment vertical="center" wrapText="1"/>
    </xf>
    <xf numFmtId="0" fontId="23" fillId="0" borderId="8" xfId="0" applyFont="1" applyBorder="1" applyAlignment="1" applyProtection="1">
      <alignment horizontal="right" vertical="center" wrapText="1"/>
    </xf>
    <xf numFmtId="0" fontId="8" fillId="0" borderId="9" xfId="0" applyFont="1" applyBorder="1" applyAlignment="1" applyProtection="1">
      <alignment vertical="center" wrapText="1"/>
    </xf>
    <xf numFmtId="0" fontId="23" fillId="0" borderId="10" xfId="0" applyFont="1" applyBorder="1" applyAlignment="1" applyProtection="1">
      <alignment horizontal="right" vertical="center" wrapText="1"/>
    </xf>
    <xf numFmtId="0" fontId="23" fillId="0" borderId="11" xfId="0" applyFont="1" applyBorder="1" applyAlignment="1" applyProtection="1">
      <alignment horizontal="right" vertical="center" wrapText="1"/>
    </xf>
    <xf numFmtId="0" fontId="8" fillId="0" borderId="12" xfId="0" applyFont="1" applyBorder="1" applyAlignment="1" applyProtection="1">
      <alignment horizontal="center" vertical="center" wrapText="1"/>
    </xf>
    <xf numFmtId="0" fontId="8" fillId="0" borderId="0" xfId="0" applyFont="1" applyAlignment="1" applyProtection="1">
      <alignment vertical="center" wrapText="1"/>
    </xf>
    <xf numFmtId="0" fontId="7" fillId="0" borderId="45" xfId="0" applyFont="1" applyBorder="1" applyAlignment="1" applyProtection="1">
      <alignment horizontal="center" vertical="center" wrapText="1"/>
    </xf>
    <xf numFmtId="0" fontId="8" fillId="0" borderId="8" xfId="0" applyNumberFormat="1" applyFont="1" applyBorder="1" applyAlignment="1" applyProtection="1">
      <alignment horizontal="center" vertical="center" wrapText="1"/>
    </xf>
    <xf numFmtId="0" fontId="23" fillId="0" borderId="16" xfId="0" applyFont="1" applyBorder="1" applyAlignment="1" applyProtection="1">
      <alignment horizontal="right" vertical="center" wrapText="1"/>
    </xf>
    <xf numFmtId="0" fontId="8" fillId="0" borderId="17" xfId="0" applyFont="1" applyBorder="1" applyAlignment="1" applyProtection="1">
      <alignment vertical="center" wrapText="1"/>
    </xf>
    <xf numFmtId="0" fontId="23" fillId="0" borderId="17" xfId="0" applyFont="1" applyBorder="1" applyAlignment="1" applyProtection="1">
      <alignment horizontal="right" vertical="center" wrapText="1"/>
    </xf>
    <xf numFmtId="0" fontId="8" fillId="0" borderId="18" xfId="0" applyFont="1" applyBorder="1" applyAlignment="1" applyProtection="1">
      <alignment vertical="center" wrapText="1"/>
    </xf>
    <xf numFmtId="0" fontId="8" fillId="0" borderId="48" xfId="0" applyNumberFormat="1" applyFont="1" applyBorder="1" applyAlignment="1" applyProtection="1">
      <alignment horizontal="center" vertical="center" wrapText="1"/>
    </xf>
    <xf numFmtId="0" fontId="23" fillId="0" borderId="19" xfId="0" applyFont="1" applyBorder="1" applyAlignment="1" applyProtection="1">
      <alignment horizontal="right" vertical="center" wrapText="1"/>
    </xf>
    <xf numFmtId="0" fontId="8" fillId="0" borderId="15" xfId="0" applyFont="1" applyBorder="1" applyAlignment="1" applyProtection="1">
      <alignment horizontal="center" vertical="center" wrapText="1"/>
    </xf>
    <xf numFmtId="0" fontId="23" fillId="0" borderId="15" xfId="0" applyFont="1" applyBorder="1" applyAlignment="1" applyProtection="1">
      <alignment horizontal="right" vertical="center" wrapText="1"/>
    </xf>
    <xf numFmtId="0" fontId="8" fillId="0" borderId="20" xfId="0" applyFont="1" applyBorder="1" applyAlignment="1" applyProtection="1">
      <alignment horizontal="center" vertical="center" wrapText="1"/>
    </xf>
    <xf numFmtId="49" fontId="8" fillId="0" borderId="0" xfId="0" applyNumberFormat="1" applyFont="1" applyAlignment="1" applyProtection="1">
      <alignment vertical="center" wrapText="1"/>
    </xf>
    <xf numFmtId="0" fontId="8" fillId="0" borderId="11" xfId="0" applyNumberFormat="1" applyFont="1" applyBorder="1" applyAlignment="1" applyProtection="1">
      <alignment horizontal="center" vertical="center" wrapText="1"/>
    </xf>
    <xf numFmtId="0" fontId="8" fillId="0" borderId="45" xfId="0" applyNumberFormat="1" applyFont="1" applyBorder="1" applyAlignment="1" applyProtection="1">
      <alignment vertical="center" wrapText="1"/>
    </xf>
    <xf numFmtId="0" fontId="8" fillId="0" borderId="0" xfId="0" applyNumberFormat="1" applyFont="1" applyBorder="1" applyAlignment="1" applyProtection="1">
      <alignment horizontal="center" vertical="center" wrapText="1"/>
    </xf>
    <xf numFmtId="3" fontId="8" fillId="2" borderId="0" xfId="0" applyNumberFormat="1" applyFont="1" applyFill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horizontal="center" vertical="center" wrapText="1"/>
    </xf>
    <xf numFmtId="49" fontId="8" fillId="0" borderId="0" xfId="0" applyNumberFormat="1" applyFont="1" applyBorder="1" applyAlignment="1" applyProtection="1">
      <alignment vertical="center" wrapText="1"/>
    </xf>
    <xf numFmtId="0" fontId="23" fillId="0" borderId="0" xfId="0" applyFont="1" applyBorder="1" applyAlignment="1" applyProtection="1">
      <alignment horizontal="right" vertical="center" wrapText="1"/>
    </xf>
    <xf numFmtId="0" fontId="8" fillId="0" borderId="0" xfId="0" applyFont="1" applyBorder="1" applyAlignment="1" applyProtection="1">
      <alignment vertical="center" wrapText="1"/>
    </xf>
    <xf numFmtId="0" fontId="6" fillId="0" borderId="48" xfId="0" applyNumberFormat="1" applyFont="1" applyBorder="1" applyAlignment="1" applyProtection="1">
      <alignment horizontal="center" vertical="center" wrapText="1"/>
    </xf>
    <xf numFmtId="3" fontId="6" fillId="0" borderId="48" xfId="0" applyNumberFormat="1" applyFont="1" applyBorder="1" applyAlignment="1" applyProtection="1">
      <alignment vertical="center" wrapText="1"/>
    </xf>
    <xf numFmtId="0" fontId="1" fillId="0" borderId="48" xfId="0" applyFont="1" applyBorder="1" applyAlignment="1" applyProtection="1">
      <alignment horizontal="left" vertical="center" wrapText="1"/>
    </xf>
    <xf numFmtId="3" fontId="6" fillId="0" borderId="48" xfId="0" applyNumberFormat="1" applyFont="1" applyBorder="1" applyAlignment="1" applyProtection="1">
      <alignment horizontal="center" vertical="center" wrapText="1"/>
    </xf>
    <xf numFmtId="0" fontId="1" fillId="0" borderId="48" xfId="0" applyFont="1" applyBorder="1" applyAlignment="1" applyProtection="1">
      <alignment vertical="center" wrapText="1"/>
    </xf>
    <xf numFmtId="0" fontId="11" fillId="0" borderId="48" xfId="0" applyNumberFormat="1" applyFont="1" applyBorder="1" applyAlignment="1" applyProtection="1">
      <alignment horizontal="center" vertical="center" wrapText="1"/>
    </xf>
    <xf numFmtId="0" fontId="14" fillId="0" borderId="48" xfId="0" applyNumberFormat="1" applyFont="1" applyBorder="1" applyAlignment="1" applyProtection="1">
      <alignment horizontal="center" vertical="center" wrapText="1"/>
    </xf>
    <xf numFmtId="0" fontId="10" fillId="0" borderId="11" xfId="0" applyFont="1" applyBorder="1" applyAlignment="1" applyProtection="1">
      <alignment horizontal="center" vertical="center" wrapText="1"/>
    </xf>
    <xf numFmtId="0" fontId="10" fillId="0" borderId="7" xfId="0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center" vertical="center" wrapText="1"/>
    </xf>
    <xf numFmtId="0" fontId="10" fillId="0" borderId="12" xfId="0" applyFont="1" applyBorder="1" applyAlignment="1" applyProtection="1">
      <alignment horizontal="center" vertical="center" wrapText="1"/>
    </xf>
    <xf numFmtId="0" fontId="3" fillId="0" borderId="48" xfId="0" applyFont="1" applyBorder="1" applyAlignment="1" applyProtection="1">
      <alignment horizontal="center" vertical="center" wrapText="1"/>
    </xf>
    <xf numFmtId="14" fontId="10" fillId="0" borderId="8" xfId="0" applyNumberFormat="1" applyFont="1" applyBorder="1" applyAlignment="1" applyProtection="1">
      <alignment horizontal="center" vertical="center" wrapText="1"/>
    </xf>
    <xf numFmtId="0" fontId="10" fillId="0" borderId="9" xfId="0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left" vertical="center" wrapText="1"/>
    </xf>
    <xf numFmtId="0" fontId="10" fillId="0" borderId="12" xfId="0" applyFont="1" applyBorder="1" applyAlignment="1" applyProtection="1">
      <alignment horizontal="center" vertical="center" wrapText="1"/>
    </xf>
    <xf numFmtId="0" fontId="10" fillId="0" borderId="9" xfId="0" applyFont="1" applyBorder="1" applyAlignment="1" applyProtection="1">
      <alignment horizontal="center" vertical="center" wrapText="1"/>
    </xf>
    <xf numFmtId="0" fontId="23" fillId="0" borderId="58" xfId="0" applyFont="1" applyBorder="1" applyAlignment="1" applyProtection="1">
      <alignment horizontal="right" vertical="center" wrapText="1"/>
    </xf>
    <xf numFmtId="0" fontId="8" fillId="0" borderId="59" xfId="0" applyFont="1" applyBorder="1" applyAlignment="1" applyProtection="1">
      <alignment vertical="center" wrapText="1"/>
    </xf>
    <xf numFmtId="0" fontId="23" fillId="0" borderId="59" xfId="0" applyFont="1" applyBorder="1" applyAlignment="1" applyProtection="1">
      <alignment horizontal="right" vertical="center" wrapText="1"/>
    </xf>
    <xf numFmtId="0" fontId="8" fillId="0" borderId="60" xfId="0" applyFont="1" applyBorder="1" applyAlignment="1" applyProtection="1">
      <alignment vertical="center" wrapText="1"/>
    </xf>
    <xf numFmtId="0" fontId="8" fillId="0" borderId="14" xfId="0" applyFont="1" applyBorder="1" applyAlignment="1" applyProtection="1">
      <alignment vertical="center" wrapText="1"/>
    </xf>
    <xf numFmtId="0" fontId="8" fillId="0" borderId="0" xfId="0" applyNumberFormat="1" applyFont="1" applyBorder="1" applyAlignment="1" applyProtection="1">
      <alignment vertical="center" wrapText="1"/>
    </xf>
    <xf numFmtId="0" fontId="7" fillId="0" borderId="0" xfId="0" applyFont="1" applyBorder="1" applyAlignment="1" applyProtection="1">
      <alignment horizontal="center" vertical="center" wrapText="1"/>
    </xf>
    <xf numFmtId="0" fontId="8" fillId="0" borderId="0" xfId="0" applyNumberFormat="1" applyFont="1" applyBorder="1" applyAlignment="1" applyProtection="1">
      <alignment horizontal="center" vertical="center" wrapText="1"/>
    </xf>
    <xf numFmtId="0" fontId="25" fillId="0" borderId="7" xfId="0" applyFont="1" applyBorder="1" applyAlignment="1" applyProtection="1">
      <alignment horizontal="right" vertical="center" wrapText="1"/>
    </xf>
    <xf numFmtId="0" fontId="3" fillId="0" borderId="8" xfId="0" applyFont="1" applyBorder="1" applyAlignment="1" applyProtection="1">
      <alignment vertical="center" wrapText="1"/>
    </xf>
    <xf numFmtId="0" fontId="26" fillId="0" borderId="48" xfId="0" applyFont="1" applyBorder="1" applyAlignment="1" applyProtection="1">
      <alignment horizontal="right" vertical="center" wrapText="1"/>
    </xf>
    <xf numFmtId="0" fontId="10" fillId="0" borderId="24" xfId="0" applyFont="1" applyBorder="1" applyAlignment="1" applyProtection="1">
      <alignment vertical="center" wrapText="1"/>
    </xf>
    <xf numFmtId="0" fontId="10" fillId="0" borderId="21" xfId="0" applyFont="1" applyBorder="1" applyAlignment="1" applyProtection="1">
      <alignment vertical="center" wrapText="1"/>
    </xf>
    <xf numFmtId="0" fontId="25" fillId="0" borderId="13" xfId="0" applyFont="1" applyBorder="1" applyAlignment="1" applyProtection="1">
      <alignment horizontal="left" vertical="center" wrapText="1"/>
    </xf>
    <xf numFmtId="0" fontId="25" fillId="0" borderId="19" xfId="0" applyFont="1" applyBorder="1" applyAlignment="1" applyProtection="1">
      <alignment horizontal="left" vertical="center"/>
    </xf>
    <xf numFmtId="0" fontId="24" fillId="0" borderId="7" xfId="0" applyFont="1" applyBorder="1" applyAlignment="1" applyProtection="1">
      <alignment horizontal="right" vertical="center" wrapText="1"/>
    </xf>
    <xf numFmtId="0" fontId="24" fillId="0" borderId="13" xfId="0" applyFont="1" applyBorder="1" applyAlignment="1" applyProtection="1">
      <alignment horizontal="right" vertical="center" wrapText="1"/>
    </xf>
    <xf numFmtId="0" fontId="24" fillId="0" borderId="19" xfId="0" applyFont="1" applyBorder="1" applyAlignment="1" applyProtection="1">
      <alignment horizontal="right" vertical="center" wrapText="1"/>
    </xf>
    <xf numFmtId="0" fontId="24" fillId="0" borderId="10" xfId="0" applyFont="1" applyBorder="1" applyAlignment="1" applyProtection="1">
      <alignment horizontal="right" vertical="center" wrapText="1"/>
    </xf>
    <xf numFmtId="0" fontId="24" fillId="0" borderId="8" xfId="0" applyFont="1" applyBorder="1" applyAlignment="1" applyProtection="1">
      <alignment horizontal="right" vertical="center" wrapText="1"/>
    </xf>
    <xf numFmtId="0" fontId="24" fillId="0" borderId="48" xfId="0" applyFont="1" applyBorder="1" applyAlignment="1" applyProtection="1">
      <alignment horizontal="right" vertical="center" wrapText="1"/>
    </xf>
    <xf numFmtId="0" fontId="24" fillId="0" borderId="0" xfId="0" applyFont="1" applyBorder="1" applyAlignment="1" applyProtection="1">
      <alignment horizontal="right" vertical="center" wrapText="1"/>
    </xf>
    <xf numFmtId="0" fontId="26" fillId="0" borderId="0" xfId="0" applyFont="1" applyBorder="1" applyAlignment="1" applyProtection="1">
      <alignment horizontal="right" vertical="center" wrapText="1"/>
    </xf>
    <xf numFmtId="0" fontId="25" fillId="0" borderId="0" xfId="0" applyFont="1" applyBorder="1" applyAlignment="1" applyProtection="1">
      <alignment horizontal="left" vertical="center" wrapText="1"/>
    </xf>
    <xf numFmtId="0" fontId="7" fillId="0" borderId="32" xfId="0" applyFont="1" applyBorder="1" applyAlignment="1" applyProtection="1">
      <alignment horizontal="center" vertical="center" wrapText="1"/>
    </xf>
    <xf numFmtId="0" fontId="2" fillId="0" borderId="15" xfId="0" applyFont="1" applyBorder="1" applyAlignment="1" applyProtection="1">
      <alignment horizontal="center" vertical="center" wrapText="1"/>
    </xf>
    <xf numFmtId="0" fontId="2" fillId="0" borderId="29" xfId="0" applyFont="1" applyBorder="1" applyAlignment="1" applyProtection="1">
      <alignment horizontal="center" vertical="center" wrapText="1"/>
    </xf>
    <xf numFmtId="4" fontId="1" fillId="0" borderId="7" xfId="0" applyNumberFormat="1" applyFont="1" applyBorder="1" applyAlignment="1" applyProtection="1">
      <alignment vertical="center" wrapText="1"/>
      <protection locked="0"/>
    </xf>
    <xf numFmtId="3" fontId="1" fillId="0" borderId="8" xfId="0" applyNumberFormat="1" applyFont="1" applyBorder="1" applyAlignment="1" applyProtection="1">
      <alignment vertical="center" wrapText="1"/>
      <protection locked="0"/>
    </xf>
    <xf numFmtId="3" fontId="1" fillId="0" borderId="9" xfId="0" applyNumberFormat="1" applyFont="1" applyBorder="1" applyAlignment="1" applyProtection="1">
      <alignment vertical="center" wrapText="1"/>
    </xf>
    <xf numFmtId="3" fontId="1" fillId="0" borderId="48" xfId="0" applyNumberFormat="1" applyFont="1" applyBorder="1" applyAlignment="1" applyProtection="1">
      <alignment vertical="center" wrapText="1"/>
      <protection locked="0"/>
    </xf>
    <xf numFmtId="3" fontId="1" fillId="0" borderId="14" xfId="0" applyNumberFormat="1" applyFont="1" applyBorder="1" applyAlignment="1" applyProtection="1">
      <alignment vertical="center" wrapText="1"/>
    </xf>
    <xf numFmtId="4" fontId="1" fillId="0" borderId="10" xfId="0" applyNumberFormat="1" applyFont="1" applyBorder="1" applyAlignment="1" applyProtection="1">
      <alignment vertical="center" wrapText="1"/>
      <protection locked="0"/>
    </xf>
    <xf numFmtId="3" fontId="1" fillId="0" borderId="11" xfId="0" applyNumberFormat="1" applyFont="1" applyBorder="1" applyAlignment="1" applyProtection="1">
      <alignment vertical="center" wrapText="1"/>
      <protection locked="0"/>
    </xf>
    <xf numFmtId="3" fontId="1" fillId="0" borderId="12" xfId="0" applyNumberFormat="1" applyFont="1" applyBorder="1" applyAlignment="1" applyProtection="1">
      <alignment vertical="center" wrapText="1"/>
    </xf>
    <xf numFmtId="0" fontId="2" fillId="0" borderId="8" xfId="0" applyFont="1" applyBorder="1" applyAlignment="1" applyProtection="1">
      <alignment vertical="center" wrapText="1"/>
    </xf>
    <xf numFmtId="0" fontId="2" fillId="0" borderId="9" xfId="0" applyFont="1" applyBorder="1" applyAlignment="1" applyProtection="1">
      <alignment vertical="center" wrapText="1"/>
    </xf>
    <xf numFmtId="0" fontId="2" fillId="0" borderId="11" xfId="0" applyFont="1" applyBorder="1" applyAlignment="1" applyProtection="1">
      <alignment vertical="center" wrapText="1"/>
    </xf>
    <xf numFmtId="0" fontId="2" fillId="0" borderId="12" xfId="0" applyFont="1" applyBorder="1" applyAlignment="1" applyProtection="1">
      <alignment vertical="center" wrapText="1"/>
    </xf>
    <xf numFmtId="14" fontId="20" fillId="0" borderId="8" xfId="0" applyNumberFormat="1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left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31" xfId="0" applyFont="1" applyBorder="1" applyAlignment="1" applyProtection="1">
      <alignment horizontal="center" vertical="center" wrapText="1"/>
    </xf>
    <xf numFmtId="14" fontId="5" fillId="0" borderId="31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1" fillId="0" borderId="31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0" fillId="0" borderId="11" xfId="0" applyFont="1" applyBorder="1" applyAlignment="1" applyProtection="1">
      <alignment horizontal="center" vertical="center" wrapText="1"/>
    </xf>
    <xf numFmtId="0" fontId="10" fillId="0" borderId="24" xfId="0" applyFont="1" applyBorder="1" applyAlignment="1" applyProtection="1">
      <alignment horizontal="center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10" fillId="0" borderId="26" xfId="0" applyFont="1" applyBorder="1" applyAlignment="1" applyProtection="1">
      <alignment horizontal="center" vertical="center" wrapText="1"/>
    </xf>
    <xf numFmtId="0" fontId="10" fillId="0" borderId="7" xfId="0" applyFont="1" applyBorder="1" applyAlignment="1" applyProtection="1">
      <alignment horizontal="center" vertical="center" wrapText="1"/>
    </xf>
    <xf numFmtId="0" fontId="10" fillId="0" borderId="8" xfId="0" applyFont="1" applyBorder="1" applyAlignment="1" applyProtection="1">
      <alignment horizontal="center" vertical="center" wrapText="1"/>
    </xf>
    <xf numFmtId="0" fontId="10" fillId="0" borderId="13" xfId="0" applyFont="1" applyBorder="1" applyAlignment="1" applyProtection="1">
      <alignment horizontal="center" vertical="center" wrapText="1"/>
    </xf>
    <xf numFmtId="0" fontId="10" fillId="0" borderId="48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wrapText="1"/>
    </xf>
    <xf numFmtId="0" fontId="17" fillId="0" borderId="48" xfId="0" applyFont="1" applyBorder="1" applyAlignment="1" applyProtection="1">
      <alignment horizontal="center" wrapText="1"/>
    </xf>
    <xf numFmtId="0" fontId="17" fillId="0" borderId="9" xfId="0" applyFont="1" applyBorder="1" applyAlignment="1" applyProtection="1">
      <alignment horizontal="center" wrapText="1"/>
    </xf>
    <xf numFmtId="0" fontId="17" fillId="0" borderId="14" xfId="0" applyFont="1" applyBorder="1" applyAlignment="1" applyProtection="1">
      <alignment horizontal="center" wrapText="1"/>
    </xf>
    <xf numFmtId="0" fontId="10" fillId="0" borderId="10" xfId="0" applyFont="1" applyBorder="1" applyAlignment="1" applyProtection="1">
      <alignment horizontal="center" vertical="center" wrapText="1"/>
    </xf>
    <xf numFmtId="0" fontId="0" fillId="0" borderId="48" xfId="0" applyBorder="1" applyAlignment="1">
      <alignment horizontal="center"/>
    </xf>
    <xf numFmtId="0" fontId="0" fillId="0" borderId="11" xfId="0" applyBorder="1" applyAlignment="1">
      <alignment horizontal="center"/>
    </xf>
    <xf numFmtId="0" fontId="10" fillId="0" borderId="14" xfId="0" applyFont="1" applyBorder="1" applyAlignment="1" applyProtection="1">
      <alignment horizontal="center" vertical="center" wrapText="1"/>
    </xf>
    <xf numFmtId="0" fontId="10" fillId="0" borderId="12" xfId="0" applyFont="1" applyBorder="1" applyAlignment="1" applyProtection="1">
      <alignment horizontal="center" vertical="center" wrapText="1"/>
    </xf>
    <xf numFmtId="0" fontId="17" fillId="0" borderId="41" xfId="0" applyFont="1" applyBorder="1" applyAlignment="1" applyProtection="1">
      <alignment horizontal="center" wrapText="1"/>
    </xf>
    <xf numFmtId="0" fontId="17" fillId="0" borderId="17" xfId="0" applyFont="1" applyBorder="1" applyAlignment="1" applyProtection="1">
      <alignment horizontal="center" wrapText="1"/>
    </xf>
    <xf numFmtId="0" fontId="17" fillId="0" borderId="5" xfId="0" applyFont="1" applyBorder="1" applyAlignment="1" applyProtection="1">
      <alignment horizontal="left" vertical="center" wrapText="1"/>
    </xf>
    <xf numFmtId="0" fontId="17" fillId="0" borderId="31" xfId="0" applyFont="1" applyBorder="1" applyAlignment="1" applyProtection="1">
      <alignment horizontal="left" vertical="center" wrapText="1"/>
    </xf>
    <xf numFmtId="0" fontId="17" fillId="0" borderId="6" xfId="0" applyFont="1" applyBorder="1" applyAlignment="1" applyProtection="1">
      <alignment horizontal="left" vertical="center" wrapText="1"/>
    </xf>
    <xf numFmtId="0" fontId="3" fillId="0" borderId="48" xfId="0" applyFont="1" applyBorder="1" applyAlignment="1" applyProtection="1">
      <alignment horizontal="center" vertical="center" wrapText="1"/>
    </xf>
    <xf numFmtId="0" fontId="4" fillId="0" borderId="27" xfId="0" applyFont="1" applyBorder="1" applyAlignment="1" applyProtection="1">
      <alignment horizontal="center" vertical="center" wrapText="1"/>
    </xf>
    <xf numFmtId="0" fontId="4" fillId="0" borderId="54" xfId="0" applyFont="1" applyBorder="1" applyAlignment="1" applyProtection="1">
      <alignment horizontal="center" vertical="center" wrapText="1"/>
    </xf>
    <xf numFmtId="0" fontId="4" fillId="0" borderId="28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 wrapText="1"/>
    </xf>
    <xf numFmtId="0" fontId="17" fillId="0" borderId="44" xfId="0" applyFont="1" applyBorder="1" applyAlignment="1" applyProtection="1">
      <alignment horizontal="center" vertical="center" wrapText="1"/>
    </xf>
    <xf numFmtId="0" fontId="17" fillId="0" borderId="49" xfId="0" applyFont="1" applyBorder="1" applyAlignment="1" applyProtection="1">
      <alignment horizontal="center" vertical="center" wrapText="1"/>
    </xf>
    <xf numFmtId="0" fontId="17" fillId="0" borderId="53" xfId="0" applyFont="1" applyBorder="1" applyAlignment="1" applyProtection="1">
      <alignment horizontal="center" vertical="center" wrapText="1"/>
    </xf>
    <xf numFmtId="0" fontId="17" fillId="0" borderId="40" xfId="0" applyFont="1" applyBorder="1" applyAlignment="1" applyProtection="1">
      <alignment horizontal="center" vertical="center" wrapText="1"/>
    </xf>
    <xf numFmtId="0" fontId="18" fillId="0" borderId="8" xfId="0" applyFont="1" applyBorder="1" applyAlignment="1" applyProtection="1">
      <alignment horizontal="center" vertical="center" wrapText="1"/>
    </xf>
    <xf numFmtId="0" fontId="18" fillId="0" borderId="24" xfId="0" applyFont="1" applyBorder="1" applyAlignment="1" applyProtection="1">
      <alignment horizontal="center" vertical="center" wrapText="1"/>
    </xf>
    <xf numFmtId="0" fontId="18" fillId="0" borderId="26" xfId="0" applyFont="1" applyBorder="1" applyAlignment="1" applyProtection="1">
      <alignment horizontal="center" vertical="center" wrapText="1"/>
    </xf>
    <xf numFmtId="0" fontId="18" fillId="0" borderId="9" xfId="0" applyFont="1" applyBorder="1" applyAlignment="1" applyProtection="1">
      <alignment horizontal="center" vertical="center" wrapText="1"/>
    </xf>
    <xf numFmtId="0" fontId="10" fillId="0" borderId="8" xfId="0" applyFont="1" applyBorder="1" applyAlignment="1" applyProtection="1">
      <alignment horizontal="left" vertical="center" wrapText="1"/>
    </xf>
    <xf numFmtId="0" fontId="10" fillId="0" borderId="7" xfId="0" applyFont="1" applyBorder="1" applyAlignment="1" applyProtection="1">
      <alignment horizontal="left" vertical="center" wrapText="1"/>
    </xf>
    <xf numFmtId="0" fontId="17" fillId="0" borderId="0" xfId="0" applyFont="1" applyAlignment="1" applyProtection="1">
      <alignment horizontal="left" wrapText="1"/>
    </xf>
    <xf numFmtId="0" fontId="10" fillId="0" borderId="10" xfId="0" applyFont="1" applyBorder="1" applyAlignment="1" applyProtection="1">
      <alignment horizontal="left" vertical="center" wrapText="1"/>
    </xf>
    <xf numFmtId="0" fontId="10" fillId="0" borderId="11" xfId="0" applyFont="1" applyBorder="1" applyAlignment="1" applyProtection="1">
      <alignment horizontal="left" vertical="center" wrapText="1"/>
    </xf>
    <xf numFmtId="0" fontId="10" fillId="0" borderId="15" xfId="0" applyFont="1" applyBorder="1" applyAlignment="1" applyProtection="1">
      <alignment horizontal="center" vertical="center" wrapText="1"/>
    </xf>
    <xf numFmtId="0" fontId="10" fillId="0" borderId="47" xfId="0" applyFont="1" applyBorder="1" applyAlignment="1" applyProtection="1">
      <alignment horizontal="center" vertical="center" wrapText="1"/>
    </xf>
    <xf numFmtId="14" fontId="10" fillId="0" borderId="8" xfId="0" applyNumberFormat="1" applyFont="1" applyBorder="1" applyAlignment="1" applyProtection="1">
      <alignment horizontal="center" vertical="center" wrapText="1"/>
    </xf>
    <xf numFmtId="0" fontId="10" fillId="0" borderId="61" xfId="0" applyFont="1" applyBorder="1" applyAlignment="1" applyProtection="1">
      <alignment horizontal="center" vertical="center" wrapText="1"/>
    </xf>
    <xf numFmtId="0" fontId="12" fillId="0" borderId="7" xfId="0" applyFont="1" applyBorder="1" applyAlignment="1" applyProtection="1">
      <alignment horizontal="left" vertical="top" wrapText="1"/>
    </xf>
    <xf numFmtId="0" fontId="12" fillId="0" borderId="8" xfId="0" applyFont="1" applyBorder="1" applyAlignment="1" applyProtection="1">
      <alignment horizontal="left" vertical="top" wrapText="1"/>
    </xf>
    <xf numFmtId="0" fontId="13" fillId="0" borderId="8" xfId="0" applyFont="1" applyBorder="1" applyAlignment="1" applyProtection="1">
      <alignment horizontal="center" vertical="center" wrapText="1"/>
    </xf>
    <xf numFmtId="0" fontId="13" fillId="0" borderId="9" xfId="0" applyFont="1" applyBorder="1" applyAlignment="1" applyProtection="1">
      <alignment horizontal="center" vertical="center" wrapText="1"/>
    </xf>
    <xf numFmtId="0" fontId="12" fillId="0" borderId="10" xfId="0" applyFont="1" applyBorder="1" applyAlignment="1" applyProtection="1">
      <alignment horizontal="left" vertical="top" wrapText="1"/>
    </xf>
    <xf numFmtId="0" fontId="12" fillId="0" borderId="11" xfId="0" applyFont="1" applyBorder="1" applyAlignment="1" applyProtection="1">
      <alignment horizontal="left" vertical="top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52" xfId="0" applyFont="1" applyBorder="1" applyAlignment="1" applyProtection="1">
      <alignment horizontal="center" vertical="center" wrapText="1"/>
    </xf>
    <xf numFmtId="0" fontId="5" fillId="0" borderId="47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5" fillId="0" borderId="11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8" fillId="0" borderId="51" xfId="0" applyFont="1" applyBorder="1" applyAlignment="1" applyProtection="1">
      <alignment horizontal="center" vertical="center" wrapText="1"/>
    </xf>
    <xf numFmtId="0" fontId="8" fillId="0" borderId="38" xfId="0" applyFont="1" applyBorder="1" applyAlignment="1" applyProtection="1">
      <alignment horizontal="center" vertical="center" wrapText="1"/>
    </xf>
    <xf numFmtId="0" fontId="8" fillId="0" borderId="39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left" vertical="top" wrapText="1"/>
    </xf>
    <xf numFmtId="0" fontId="1" fillId="0" borderId="8" xfId="0" applyFont="1" applyBorder="1" applyAlignment="1" applyProtection="1">
      <alignment horizontal="left" vertical="top" wrapText="1"/>
    </xf>
    <xf numFmtId="0" fontId="1" fillId="0" borderId="10" xfId="0" applyFont="1" applyBorder="1" applyAlignment="1" applyProtection="1">
      <alignment horizontal="left" vertical="top" wrapText="1"/>
    </xf>
    <xf numFmtId="0" fontId="1" fillId="0" borderId="11" xfId="0" applyFont="1" applyBorder="1" applyAlignment="1" applyProtection="1">
      <alignment horizontal="left" vertical="top" wrapText="1"/>
    </xf>
    <xf numFmtId="0" fontId="8" fillId="0" borderId="23" xfId="0" applyFont="1" applyBorder="1" applyAlignment="1" applyProtection="1">
      <alignment horizontal="center" vertical="center" wrapText="1"/>
    </xf>
    <xf numFmtId="0" fontId="8" fillId="0" borderId="11" xfId="0" applyFont="1" applyBorder="1" applyAlignment="1" applyProtection="1">
      <alignment horizontal="center" vertical="center" wrapText="1"/>
    </xf>
    <xf numFmtId="0" fontId="12" fillId="0" borderId="7" xfId="0" applyFont="1" applyBorder="1" applyAlignment="1" applyProtection="1">
      <alignment horizontal="left" vertical="center" wrapText="1"/>
    </xf>
    <xf numFmtId="0" fontId="12" fillId="0" borderId="8" xfId="0" applyFont="1" applyBorder="1" applyAlignment="1" applyProtection="1">
      <alignment horizontal="left" vertical="center" wrapText="1"/>
    </xf>
    <xf numFmtId="0" fontId="5" fillId="0" borderId="10" xfId="0" applyFont="1" applyBorder="1" applyAlignment="1" applyProtection="1">
      <alignment horizontal="center" vertical="center" wrapText="1"/>
    </xf>
    <xf numFmtId="0" fontId="5" fillId="0" borderId="12" xfId="0" applyFont="1" applyBorder="1" applyAlignment="1" applyProtection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31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14" fontId="8" fillId="0" borderId="0" xfId="0" applyNumberFormat="1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right" vertical="center" wrapText="1"/>
    </xf>
    <xf numFmtId="0" fontId="1" fillId="0" borderId="0" xfId="0" applyNumberFormat="1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</xf>
    <xf numFmtId="0" fontId="2" fillId="0" borderId="26" xfId="0" applyFont="1" applyBorder="1" applyAlignment="1" applyProtection="1">
      <alignment horizontal="center" vertical="center" wrapText="1"/>
    </xf>
    <xf numFmtId="0" fontId="6" fillId="0" borderId="0" xfId="0" applyFont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horizontal="right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30" xfId="0" applyFont="1" applyBorder="1" applyAlignment="1" applyProtection="1">
      <alignment horizontal="center" vertical="center" wrapText="1"/>
    </xf>
    <xf numFmtId="0" fontId="2" fillId="0" borderId="25" xfId="0" applyFont="1" applyBorder="1" applyAlignment="1" applyProtection="1">
      <alignment horizontal="center" vertical="center" wrapText="1"/>
    </xf>
    <xf numFmtId="0" fontId="8" fillId="0" borderId="21" xfId="0" applyFont="1" applyBorder="1" applyAlignment="1" applyProtection="1">
      <alignment horizontal="center" vertical="center" wrapText="1"/>
    </xf>
    <xf numFmtId="0" fontId="8" fillId="0" borderId="24" xfId="0" applyFont="1" applyBorder="1" applyAlignment="1" applyProtection="1">
      <alignment horizontal="center" vertical="center" wrapText="1"/>
    </xf>
    <xf numFmtId="0" fontId="8" fillId="0" borderId="26" xfId="0" applyFont="1" applyBorder="1" applyAlignment="1" applyProtection="1">
      <alignment horizontal="center" vertical="center" wrapText="1"/>
    </xf>
    <xf numFmtId="0" fontId="8" fillId="0" borderId="22" xfId="0" applyFont="1" applyBorder="1" applyAlignment="1" applyProtection="1">
      <alignment horizontal="center" vertical="center" wrapText="1"/>
    </xf>
    <xf numFmtId="0" fontId="8" fillId="0" borderId="25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right" vertical="center" wrapText="1"/>
    </xf>
    <xf numFmtId="0" fontId="2" fillId="0" borderId="31" xfId="0" applyFont="1" applyBorder="1" applyAlignment="1" applyProtection="1">
      <alignment horizontal="right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6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left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 wrapText="1"/>
    </xf>
    <xf numFmtId="0" fontId="2" fillId="0" borderId="11" xfId="0" applyFont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36" xfId="0" applyFont="1" applyBorder="1" applyAlignment="1" applyProtection="1">
      <alignment horizontal="center" vertical="center" wrapText="1"/>
      <protection locked="0"/>
    </xf>
    <xf numFmtId="0" fontId="2" fillId="0" borderId="37" xfId="0" applyFont="1" applyBorder="1" applyAlignment="1" applyProtection="1">
      <alignment horizontal="center" vertical="center" wrapText="1"/>
      <protection locked="0"/>
    </xf>
    <xf numFmtId="0" fontId="2" fillId="0" borderId="38" xfId="0" applyFont="1" applyBorder="1" applyAlignment="1" applyProtection="1">
      <alignment horizontal="center" vertical="center" wrapText="1"/>
      <protection locked="0"/>
    </xf>
    <xf numFmtId="0" fontId="2" fillId="0" borderId="39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</xf>
    <xf numFmtId="0" fontId="2" fillId="0" borderId="27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3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NumberFormat="1" applyFont="1" applyBorder="1" applyAlignment="1" applyProtection="1">
      <alignment horizontal="center" vertical="center" wrapText="1"/>
    </xf>
    <xf numFmtId="49" fontId="1" fillId="0" borderId="13" xfId="0" applyNumberFormat="1" applyFont="1" applyBorder="1" applyAlignment="1" applyProtection="1">
      <alignment horizontal="center" vertical="center" wrapText="1"/>
      <protection locked="0"/>
    </xf>
    <xf numFmtId="49" fontId="1" fillId="0" borderId="14" xfId="0" applyNumberFormat="1" applyFont="1" applyBorder="1" applyAlignment="1" applyProtection="1">
      <alignment horizontal="center" vertical="center" wrapText="1"/>
      <protection locked="0"/>
    </xf>
    <xf numFmtId="49" fontId="1" fillId="0" borderId="19" xfId="0" applyNumberFormat="1" applyFont="1" applyBorder="1" applyAlignment="1" applyProtection="1">
      <alignment horizontal="center" vertical="center" wrapText="1"/>
      <protection locked="0"/>
    </xf>
    <xf numFmtId="49" fontId="1" fillId="0" borderId="20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</xf>
    <xf numFmtId="49" fontId="1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18" xfId="0" applyNumberFormat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62" xfId="0" applyFont="1" applyBorder="1" applyAlignment="1" applyProtection="1">
      <alignment horizontal="center" vertical="center" wrapText="1"/>
    </xf>
    <xf numFmtId="0" fontId="5" fillId="0" borderId="23" xfId="0" applyFont="1" applyBorder="1" applyAlignment="1" applyProtection="1">
      <alignment horizontal="center" vertical="center" wrapText="1"/>
    </xf>
    <xf numFmtId="0" fontId="2" fillId="0" borderId="21" xfId="0" applyFont="1" applyBorder="1" applyAlignment="1" applyProtection="1">
      <alignment horizontal="center" vertical="center" wrapText="1"/>
    </xf>
    <xf numFmtId="0" fontId="2" fillId="0" borderId="23" xfId="0" applyFont="1" applyBorder="1" applyAlignment="1" applyProtection="1">
      <alignment horizontal="center" vertical="center" wrapText="1"/>
    </xf>
    <xf numFmtId="0" fontId="5" fillId="0" borderId="30" xfId="0" applyFont="1" applyBorder="1" applyAlignment="1" applyProtection="1">
      <alignment horizontal="center" vertical="center" wrapText="1"/>
    </xf>
    <xf numFmtId="0" fontId="5" fillId="0" borderId="26" xfId="0" applyFont="1" applyBorder="1" applyAlignment="1" applyProtection="1">
      <alignment horizontal="center" vertical="center" wrapText="1"/>
    </xf>
    <xf numFmtId="0" fontId="2" fillId="0" borderId="24" xfId="0" applyFont="1" applyBorder="1" applyAlignment="1" applyProtection="1">
      <alignment horizontal="center" vertical="center" wrapText="1"/>
    </xf>
    <xf numFmtId="0" fontId="1" fillId="0" borderId="27" xfId="0" applyFont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 wrapText="1"/>
    </xf>
    <xf numFmtId="0" fontId="12" fillId="0" borderId="24" xfId="0" applyFont="1" applyBorder="1" applyAlignment="1" applyProtection="1">
      <alignment horizontal="center" vertical="center" wrapText="1"/>
    </xf>
    <xf numFmtId="0" fontId="12" fillId="0" borderId="26" xfId="0" applyFont="1" applyBorder="1" applyAlignment="1" applyProtection="1">
      <alignment horizontal="center" vertical="center" wrapText="1"/>
    </xf>
    <xf numFmtId="0" fontId="5" fillId="0" borderId="23" xfId="0" applyFont="1" applyBorder="1" applyAlignment="1" applyProtection="1">
      <alignment horizontal="right" vertical="center" wrapText="1"/>
    </xf>
    <xf numFmtId="0" fontId="5" fillId="0" borderId="11" xfId="0" applyFont="1" applyBorder="1" applyAlignment="1" applyProtection="1">
      <alignment horizontal="right" vertical="center" wrapText="1"/>
    </xf>
    <xf numFmtId="0" fontId="5" fillId="0" borderId="26" xfId="0" applyFont="1" applyBorder="1" applyAlignment="1" applyProtection="1">
      <alignment horizontal="right" vertical="center" wrapText="1"/>
    </xf>
    <xf numFmtId="0" fontId="5" fillId="0" borderId="8" xfId="0" applyFont="1" applyBorder="1" applyAlignment="1" applyProtection="1">
      <alignment horizontal="right" vertical="center" wrapText="1"/>
    </xf>
    <xf numFmtId="0" fontId="7" fillId="0" borderId="0" xfId="0" applyFont="1" applyAlignment="1" applyProtection="1">
      <alignment horizontal="left" vertical="center" wrapText="1"/>
    </xf>
    <xf numFmtId="0" fontId="7" fillId="0" borderId="44" xfId="0" applyFont="1" applyBorder="1" applyAlignment="1" applyProtection="1">
      <alignment horizontal="center" vertical="center" wrapText="1"/>
    </xf>
    <xf numFmtId="0" fontId="7" fillId="0" borderId="49" xfId="0" applyFont="1" applyBorder="1" applyAlignment="1" applyProtection="1">
      <alignment horizontal="center" vertical="center" wrapText="1"/>
    </xf>
    <xf numFmtId="0" fontId="7" fillId="0" borderId="50" xfId="0" applyFont="1" applyBorder="1" applyAlignment="1" applyProtection="1">
      <alignment horizontal="center" vertical="center" wrapText="1"/>
    </xf>
    <xf numFmtId="0" fontId="7" fillId="0" borderId="46" xfId="0" applyFont="1" applyBorder="1" applyAlignment="1" applyProtection="1">
      <alignment horizontal="center" vertical="center" wrapText="1"/>
    </xf>
    <xf numFmtId="0" fontId="8" fillId="0" borderId="7" xfId="0" applyNumberFormat="1" applyFont="1" applyBorder="1" applyAlignment="1" applyProtection="1">
      <alignment horizontal="center" vertical="center" wrapText="1"/>
    </xf>
    <xf numFmtId="0" fontId="8" fillId="0" borderId="8" xfId="0" applyNumberFormat="1" applyFont="1" applyBorder="1" applyAlignment="1" applyProtection="1">
      <alignment horizontal="center" vertical="center" wrapText="1"/>
    </xf>
    <xf numFmtId="0" fontId="8" fillId="0" borderId="9" xfId="0" applyNumberFormat="1" applyFont="1" applyBorder="1" applyAlignment="1" applyProtection="1">
      <alignment horizontal="center" vertical="center" wrapText="1"/>
    </xf>
    <xf numFmtId="0" fontId="8" fillId="0" borderId="13" xfId="0" applyNumberFormat="1" applyFont="1" applyBorder="1" applyAlignment="1" applyProtection="1">
      <alignment horizontal="center" vertical="center" wrapText="1"/>
    </xf>
    <xf numFmtId="0" fontId="8" fillId="0" borderId="48" xfId="0" applyNumberFormat="1" applyFont="1" applyBorder="1" applyAlignment="1" applyProtection="1">
      <alignment horizontal="center" vertical="center" wrapText="1"/>
    </xf>
    <xf numFmtId="0" fontId="8" fillId="0" borderId="10" xfId="0" applyNumberFormat="1" applyFont="1" applyBorder="1" applyAlignment="1" applyProtection="1">
      <alignment horizontal="center" vertical="center" wrapText="1"/>
    </xf>
    <xf numFmtId="0" fontId="8" fillId="0" borderId="11" xfId="0" applyNumberFormat="1" applyFont="1" applyBorder="1" applyAlignment="1" applyProtection="1">
      <alignment horizontal="center" vertical="center" wrapText="1"/>
    </xf>
    <xf numFmtId="0" fontId="8" fillId="0" borderId="14" xfId="0" applyNumberFormat="1" applyFont="1" applyBorder="1" applyAlignment="1" applyProtection="1">
      <alignment horizontal="center" vertical="center" wrapText="1"/>
    </xf>
    <xf numFmtId="0" fontId="8" fillId="0" borderId="12" xfId="0" applyNumberFormat="1" applyFont="1" applyBorder="1" applyAlignment="1" applyProtection="1">
      <alignment horizontal="center" vertical="center" wrapText="1"/>
    </xf>
    <xf numFmtId="0" fontId="3" fillId="0" borderId="33" xfId="0" applyFont="1" applyBorder="1" applyAlignment="1" applyProtection="1">
      <alignment horizontal="center" vertical="center" wrapText="1"/>
    </xf>
    <xf numFmtId="0" fontId="4" fillId="0" borderId="34" xfId="0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horizontal="left" vertical="center" wrapText="1"/>
    </xf>
    <xf numFmtId="0" fontId="7" fillId="0" borderId="31" xfId="0" applyFont="1" applyBorder="1" applyAlignment="1" applyProtection="1">
      <alignment horizontal="left" vertical="center" wrapText="1"/>
    </xf>
    <xf numFmtId="0" fontId="8" fillId="0" borderId="31" xfId="0" applyFont="1" applyBorder="1" applyAlignment="1" applyProtection="1">
      <alignment horizontal="center" vertical="center" wrapText="1"/>
    </xf>
    <xf numFmtId="0" fontId="8" fillId="0" borderId="6" xfId="0" applyFont="1" applyBorder="1" applyAlignment="1" applyProtection="1">
      <alignment horizontal="center" vertical="center" wrapText="1"/>
    </xf>
    <xf numFmtId="14" fontId="23" fillId="0" borderId="31" xfId="0" applyNumberFormat="1" applyFont="1" applyBorder="1" applyAlignment="1" applyProtection="1">
      <alignment horizontal="center" vertical="center" wrapText="1"/>
    </xf>
    <xf numFmtId="0" fontId="23" fillId="0" borderId="6" xfId="0" applyFont="1" applyBorder="1" applyAlignment="1" applyProtection="1">
      <alignment horizontal="center" vertical="center" wrapText="1"/>
    </xf>
    <xf numFmtId="0" fontId="10" fillId="0" borderId="21" xfId="0" applyFont="1" applyBorder="1" applyAlignment="1" applyProtection="1">
      <alignment horizontal="center" vertical="center" wrapText="1"/>
    </xf>
    <xf numFmtId="0" fontId="10" fillId="0" borderId="22" xfId="0" applyFont="1" applyBorder="1" applyAlignment="1" applyProtection="1">
      <alignment horizontal="center" vertical="center" wrapText="1"/>
    </xf>
    <xf numFmtId="0" fontId="10" fillId="0" borderId="23" xfId="0" applyFont="1" applyBorder="1" applyAlignment="1" applyProtection="1">
      <alignment horizontal="center" vertical="center" wrapText="1"/>
    </xf>
    <xf numFmtId="0" fontId="24" fillId="0" borderId="0" xfId="0" applyFont="1" applyBorder="1" applyAlignment="1" applyProtection="1">
      <alignment horizontal="center" vertical="center" wrapText="1"/>
    </xf>
    <xf numFmtId="0" fontId="8" fillId="0" borderId="0" xfId="0" applyNumberFormat="1" applyFont="1" applyBorder="1" applyAlignment="1" applyProtection="1">
      <alignment horizontal="center" vertical="center" wrapText="1"/>
    </xf>
    <xf numFmtId="0" fontId="7" fillId="0" borderId="0" xfId="0" applyFont="1" applyBorder="1" applyAlignment="1" applyProtection="1">
      <alignment horizontal="center" vertical="center" wrapText="1"/>
    </xf>
  </cellXfs>
  <cellStyles count="2">
    <cellStyle name="Normale" xfId="0" builtinId="0"/>
    <cellStyle name="Normale 2" xfId="1" xr:uid="{00000000-0005-0000-0000-000001000000}"/>
  </cellStyles>
  <dxfs count="4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744809</xdr:colOff>
      <xdr:row>39</xdr:row>
      <xdr:rowOff>47856</xdr:rowOff>
    </xdr:from>
    <xdr:to>
      <xdr:col>2</xdr:col>
      <xdr:colOff>884200</xdr:colOff>
      <xdr:row>39</xdr:row>
      <xdr:rowOff>164015</xdr:rowOff>
    </xdr:to>
    <xdr:sp macro="" textlink="">
      <xdr:nvSpPr>
        <xdr:cNvPr id="6" name="Rettango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581150" y="9154685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746203</xdr:colOff>
      <xdr:row>39</xdr:row>
      <xdr:rowOff>235104</xdr:rowOff>
    </xdr:from>
    <xdr:to>
      <xdr:col>2</xdr:col>
      <xdr:colOff>885594</xdr:colOff>
      <xdr:row>39</xdr:row>
      <xdr:rowOff>351263</xdr:rowOff>
    </xdr:to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82544" y="934193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744809</xdr:colOff>
      <xdr:row>38</xdr:row>
      <xdr:rowOff>47856</xdr:rowOff>
    </xdr:from>
    <xdr:to>
      <xdr:col>2</xdr:col>
      <xdr:colOff>884200</xdr:colOff>
      <xdr:row>38</xdr:row>
      <xdr:rowOff>164015</xdr:rowOff>
    </xdr:to>
    <xdr:sp macro="" textlink="">
      <xdr:nvSpPr>
        <xdr:cNvPr id="8" name="Rettango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581150" y="9154685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746203</xdr:colOff>
      <xdr:row>38</xdr:row>
      <xdr:rowOff>235104</xdr:rowOff>
    </xdr:from>
    <xdr:to>
      <xdr:col>2</xdr:col>
      <xdr:colOff>885594</xdr:colOff>
      <xdr:row>38</xdr:row>
      <xdr:rowOff>351263</xdr:rowOff>
    </xdr:to>
    <xdr:sp macro="" textlink="">
      <xdr:nvSpPr>
        <xdr:cNvPr id="9" name="Rettango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582544" y="934193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744809</xdr:colOff>
      <xdr:row>42</xdr:row>
      <xdr:rowOff>47856</xdr:rowOff>
    </xdr:from>
    <xdr:to>
      <xdr:col>2</xdr:col>
      <xdr:colOff>884200</xdr:colOff>
      <xdr:row>42</xdr:row>
      <xdr:rowOff>164015</xdr:rowOff>
    </xdr:to>
    <xdr:sp macro="" textlink="">
      <xdr:nvSpPr>
        <xdr:cNvPr id="14" name="Rettangolo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581150" y="9154685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746203</xdr:colOff>
      <xdr:row>42</xdr:row>
      <xdr:rowOff>235104</xdr:rowOff>
    </xdr:from>
    <xdr:to>
      <xdr:col>2</xdr:col>
      <xdr:colOff>885594</xdr:colOff>
      <xdr:row>42</xdr:row>
      <xdr:rowOff>351263</xdr:rowOff>
    </xdr:to>
    <xdr:sp macro="" textlink="">
      <xdr:nvSpPr>
        <xdr:cNvPr id="15" name="Rettango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582544" y="934193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744809</xdr:colOff>
      <xdr:row>41</xdr:row>
      <xdr:rowOff>47856</xdr:rowOff>
    </xdr:from>
    <xdr:to>
      <xdr:col>2</xdr:col>
      <xdr:colOff>884200</xdr:colOff>
      <xdr:row>41</xdr:row>
      <xdr:rowOff>164015</xdr:rowOff>
    </xdr:to>
    <xdr:sp macro="" textlink="">
      <xdr:nvSpPr>
        <xdr:cNvPr id="16" name="Rettango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581150" y="8701667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746203</xdr:colOff>
      <xdr:row>41</xdr:row>
      <xdr:rowOff>235104</xdr:rowOff>
    </xdr:from>
    <xdr:to>
      <xdr:col>2</xdr:col>
      <xdr:colOff>885594</xdr:colOff>
      <xdr:row>41</xdr:row>
      <xdr:rowOff>351263</xdr:rowOff>
    </xdr:to>
    <xdr:sp macro="" textlink="">
      <xdr:nvSpPr>
        <xdr:cNvPr id="17" name="Rettango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582544" y="8888915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744809</xdr:colOff>
      <xdr:row>42</xdr:row>
      <xdr:rowOff>47856</xdr:rowOff>
    </xdr:from>
    <xdr:to>
      <xdr:col>2</xdr:col>
      <xdr:colOff>884200</xdr:colOff>
      <xdr:row>42</xdr:row>
      <xdr:rowOff>164015</xdr:rowOff>
    </xdr:to>
    <xdr:sp macro="" textlink="">
      <xdr:nvSpPr>
        <xdr:cNvPr id="18" name="Rettango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581150" y="966578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746203</xdr:colOff>
      <xdr:row>42</xdr:row>
      <xdr:rowOff>235104</xdr:rowOff>
    </xdr:from>
    <xdr:to>
      <xdr:col>2</xdr:col>
      <xdr:colOff>885594</xdr:colOff>
      <xdr:row>42</xdr:row>
      <xdr:rowOff>351263</xdr:rowOff>
    </xdr:to>
    <xdr:sp macro="" textlink="">
      <xdr:nvSpPr>
        <xdr:cNvPr id="19" name="Rettango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582544" y="9853031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7</xdr:col>
      <xdr:colOff>524156</xdr:colOff>
      <xdr:row>38</xdr:row>
      <xdr:rowOff>59464</xdr:rowOff>
    </xdr:from>
    <xdr:to>
      <xdr:col>7</xdr:col>
      <xdr:colOff>663547</xdr:colOff>
      <xdr:row>38</xdr:row>
      <xdr:rowOff>175623</xdr:rowOff>
    </xdr:to>
    <xdr:sp macro="" textlink="">
      <xdr:nvSpPr>
        <xdr:cNvPr id="20" name="Rettango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5449278" y="8527421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7</xdr:col>
      <xdr:colOff>525550</xdr:colOff>
      <xdr:row>38</xdr:row>
      <xdr:rowOff>235096</xdr:rowOff>
    </xdr:from>
    <xdr:to>
      <xdr:col>7</xdr:col>
      <xdr:colOff>664941</xdr:colOff>
      <xdr:row>38</xdr:row>
      <xdr:rowOff>351255</xdr:rowOff>
    </xdr:to>
    <xdr:sp macro="" textlink="">
      <xdr:nvSpPr>
        <xdr:cNvPr id="21" name="Rettango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450672" y="8703053"/>
          <a:ext cx="139391" cy="1161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M64"/>
  <sheetViews>
    <sheetView topLeftCell="A46" workbookViewId="0">
      <selection activeCell="B62" sqref="B62"/>
    </sheetView>
  </sheetViews>
  <sheetFormatPr defaultColWidth="0" defaultRowHeight="14.25" zeroHeight="1" x14ac:dyDescent="0.25"/>
  <cols>
    <col min="1" max="1" width="0.85546875" style="1" customWidth="1"/>
    <col min="2" max="2" width="15.28515625" style="1" bestFit="1" customWidth="1"/>
    <col min="3" max="3" width="11.28515625" style="1" customWidth="1"/>
    <col min="4" max="4" width="15.85546875" style="1" customWidth="1"/>
    <col min="5" max="5" width="9.5703125" style="1" customWidth="1"/>
    <col min="6" max="6" width="12.140625" style="102" customWidth="1"/>
    <col min="7" max="7" width="10.7109375" style="102" customWidth="1"/>
    <col min="8" max="8" width="14.140625" style="1" customWidth="1"/>
    <col min="9" max="9" width="17.5703125" style="1" customWidth="1"/>
    <col min="10" max="10" width="12.28515625" style="1" customWidth="1"/>
    <col min="11" max="11" width="7.85546875" style="1" bestFit="1" customWidth="1"/>
    <col min="12" max="12" width="13.85546875" style="1" customWidth="1"/>
    <col min="13" max="13" width="0.85546875" style="1" customWidth="1"/>
    <col min="14" max="16384" width="9.140625" style="1" hidden="1"/>
  </cols>
  <sheetData>
    <row r="1" spans="2:12" ht="4.5" customHeight="1" thickBot="1" x14ac:dyDescent="0.3"/>
    <row r="2" spans="2:12" ht="33.75" customHeight="1" thickBot="1" x14ac:dyDescent="0.3">
      <c r="B2" s="270" t="s">
        <v>0</v>
      </c>
      <c r="C2" s="271"/>
      <c r="D2" s="272" t="s">
        <v>13</v>
      </c>
      <c r="E2" s="272"/>
      <c r="F2" s="272"/>
      <c r="G2" s="272"/>
      <c r="H2" s="272"/>
      <c r="I2" s="273"/>
      <c r="J2" s="273"/>
      <c r="K2" s="274" t="s">
        <v>14</v>
      </c>
      <c r="L2" s="275"/>
    </row>
    <row r="3" spans="2:12" ht="14.25" customHeight="1" thickBot="1" x14ac:dyDescent="0.3"/>
    <row r="4" spans="2:12" ht="14.25" customHeight="1" thickBot="1" x14ac:dyDescent="0.3">
      <c r="B4" s="277" t="s">
        <v>11</v>
      </c>
      <c r="C4" s="278"/>
      <c r="D4" s="281"/>
      <c r="E4" s="282"/>
      <c r="F4" s="120"/>
      <c r="G4" s="120"/>
      <c r="H4" s="277" t="s">
        <v>10</v>
      </c>
      <c r="I4" s="278"/>
      <c r="J4" s="278"/>
      <c r="K4" s="279"/>
      <c r="L4" s="280"/>
    </row>
    <row r="5" spans="2:12" ht="4.5" customHeight="1" x14ac:dyDescent="0.25"/>
    <row r="6" spans="2:12" ht="14.25" customHeight="1" x14ac:dyDescent="0.25">
      <c r="B6" s="276" t="s">
        <v>16</v>
      </c>
      <c r="C6" s="276"/>
      <c r="D6" s="276"/>
      <c r="E6" s="276"/>
      <c r="F6" s="276"/>
      <c r="G6" s="276"/>
      <c r="H6" s="276"/>
      <c r="I6" s="276"/>
      <c r="J6" s="276"/>
      <c r="K6" s="276"/>
      <c r="L6" s="276"/>
    </row>
    <row r="7" spans="2:12" ht="4.5" customHeight="1" thickBot="1" x14ac:dyDescent="0.3"/>
    <row r="8" spans="2:12" ht="21" customHeight="1" thickBot="1" x14ac:dyDescent="0.3">
      <c r="B8" s="16" t="s">
        <v>17</v>
      </c>
      <c r="C8" s="17"/>
      <c r="D8" s="171" t="s">
        <v>19</v>
      </c>
      <c r="E8" s="19"/>
      <c r="F8" s="15"/>
      <c r="G8" s="15"/>
      <c r="H8" s="2"/>
      <c r="I8" s="80" t="s">
        <v>21</v>
      </c>
      <c r="J8" s="81" t="s">
        <v>22</v>
      </c>
      <c r="K8" s="81" t="s">
        <v>3</v>
      </c>
      <c r="L8" s="82" t="s">
        <v>23</v>
      </c>
    </row>
    <row r="9" spans="2:12" ht="21" customHeight="1" thickBot="1" x14ac:dyDescent="0.3">
      <c r="B9" s="20" t="s">
        <v>18</v>
      </c>
      <c r="C9" s="35"/>
      <c r="D9" s="172" t="s">
        <v>20</v>
      </c>
      <c r="E9" s="36"/>
      <c r="F9" s="125"/>
      <c r="G9" s="125"/>
      <c r="I9" s="92"/>
      <c r="J9" s="83"/>
      <c r="K9" s="83"/>
      <c r="L9" s="37"/>
    </row>
    <row r="10" spans="2:12" ht="21" customHeight="1" x14ac:dyDescent="0.25">
      <c r="B10" s="22" t="s">
        <v>17</v>
      </c>
      <c r="C10" s="23"/>
      <c r="D10" s="182" t="s">
        <v>19</v>
      </c>
      <c r="E10" s="25"/>
      <c r="F10" s="15"/>
      <c r="G10" s="15"/>
      <c r="I10" s="93" t="str">
        <f>IF('M 09.12 03'!B10=0,"",('M 09.12 03'!B10))</f>
        <v/>
      </c>
      <c r="J10" s="79" t="str">
        <f>IF('M 09.12 03'!D10=0,"",('M 09.12 03'!D10))</f>
        <v/>
      </c>
      <c r="K10" s="79" t="str">
        <f>IF('M 09.12 03'!E10=0,"",('M 09.12 03'!E10))</f>
        <v/>
      </c>
      <c r="L10" s="5"/>
    </row>
    <row r="11" spans="2:12" ht="21" customHeight="1" thickBot="1" x14ac:dyDescent="0.3">
      <c r="B11" s="26" t="s">
        <v>18</v>
      </c>
      <c r="C11" s="14"/>
      <c r="D11" s="183" t="s">
        <v>20</v>
      </c>
      <c r="E11" s="27"/>
      <c r="F11" s="125"/>
      <c r="G11" s="125"/>
      <c r="H11" s="6"/>
      <c r="I11" s="93" t="str">
        <f>IF('M 09.12 03'!B11=0,"",('M 09.12 03'!B11))</f>
        <v/>
      </c>
      <c r="J11" s="79" t="str">
        <f>IF('M 09.12 03'!D11=0,"",('M 09.12 03'!D11))</f>
        <v/>
      </c>
      <c r="K11" s="79" t="str">
        <f>IF('M 09.12 03'!E11=0,"",('M 09.12 03'!E11))</f>
        <v/>
      </c>
      <c r="L11" s="7"/>
    </row>
    <row r="12" spans="2:12" ht="21" customHeight="1" x14ac:dyDescent="0.25">
      <c r="B12" s="16" t="s">
        <v>17</v>
      </c>
      <c r="C12" s="17"/>
      <c r="D12" s="171" t="s">
        <v>19</v>
      </c>
      <c r="E12" s="19"/>
      <c r="F12" s="15"/>
      <c r="G12" s="15"/>
      <c r="I12" s="93" t="str">
        <f>IF('M 09.12 03'!B12=0,"",('M 09.12 03'!B12))</f>
        <v/>
      </c>
      <c r="J12" s="79" t="str">
        <f>IF('M 09.12 03'!D12=0,"",('M 09.12 03'!D12))</f>
        <v/>
      </c>
      <c r="K12" s="79" t="str">
        <f>IF('M 09.12 03'!E12=0,"",('M 09.12 03'!E12))</f>
        <v/>
      </c>
      <c r="L12" s="5"/>
    </row>
    <row r="13" spans="2:12" ht="21" customHeight="1" thickBot="1" x14ac:dyDescent="0.3">
      <c r="B13" s="20" t="s">
        <v>18</v>
      </c>
      <c r="C13" s="35"/>
      <c r="D13" s="172" t="s">
        <v>20</v>
      </c>
      <c r="E13" s="36"/>
      <c r="F13" s="125"/>
      <c r="G13" s="125"/>
      <c r="H13" s="6"/>
      <c r="I13" s="93" t="str">
        <f>IF('M 09.12 03'!B13=0,"",('M 09.12 03'!B13))</f>
        <v/>
      </c>
      <c r="J13" s="79" t="str">
        <f>IF('M 09.12 03'!D13=0,"",('M 09.12 03'!D13))</f>
        <v/>
      </c>
      <c r="K13" s="79" t="str">
        <f>IF('M 09.12 03'!E13=0,"",('M 09.12 03'!E13))</f>
        <v/>
      </c>
      <c r="L13" s="8"/>
    </row>
    <row r="14" spans="2:12" ht="21" customHeight="1" x14ac:dyDescent="0.25">
      <c r="B14" s="22" t="s">
        <v>17</v>
      </c>
      <c r="C14" s="23"/>
      <c r="D14" s="182" t="s">
        <v>19</v>
      </c>
      <c r="E14" s="25"/>
      <c r="F14" s="15"/>
      <c r="G14" s="15"/>
      <c r="I14" s="93" t="str">
        <f>IF('M 09.12 03'!B14=0,"",('M 09.12 03'!B14))</f>
        <v/>
      </c>
      <c r="J14" s="79" t="str">
        <f>IF('M 09.12 03'!D14=0,"",('M 09.12 03'!D14))</f>
        <v/>
      </c>
      <c r="K14" s="79" t="str">
        <f>IF('M 09.12 03'!E14=0,"",('M 09.12 03'!E14))</f>
        <v/>
      </c>
      <c r="L14" s="5"/>
    </row>
    <row r="15" spans="2:12" ht="21" customHeight="1" thickBot="1" x14ac:dyDescent="0.3">
      <c r="B15" s="20" t="s">
        <v>18</v>
      </c>
      <c r="C15" s="35"/>
      <c r="D15" s="172" t="s">
        <v>20</v>
      </c>
      <c r="E15" s="36"/>
      <c r="F15" s="125"/>
      <c r="G15" s="125"/>
      <c r="H15" s="6"/>
      <c r="I15" s="93" t="str">
        <f>IF('M 09.12 03'!B15=0,"",('M 09.12 03'!B15))</f>
        <v/>
      </c>
      <c r="J15" s="79" t="str">
        <f>IF('M 09.12 03'!D15=0,"",('M 09.12 03'!D15))</f>
        <v/>
      </c>
      <c r="K15" s="79" t="str">
        <f>IF('M 09.12 03'!E15=0,"",('M 09.12 03'!E15))</f>
        <v/>
      </c>
      <c r="L15" s="9"/>
    </row>
    <row r="16" spans="2:12" ht="21" customHeight="1" x14ac:dyDescent="0.25">
      <c r="I16" s="93" t="str">
        <f>IF('M 09.12 03'!B16=0,"",('M 09.12 03'!B16))</f>
        <v/>
      </c>
      <c r="J16" s="79" t="str">
        <f>IF('M 09.12 03'!D16=0,"",('M 09.12 03'!D16))</f>
        <v/>
      </c>
      <c r="K16" s="79" t="str">
        <f>IF('M 09.12 03'!E16=0,"",('M 09.12 03'!E16))</f>
        <v/>
      </c>
      <c r="L16" s="5"/>
    </row>
    <row r="17" spans="2:12" ht="21" customHeight="1" x14ac:dyDescent="0.25">
      <c r="C17" s="39"/>
      <c r="D17" s="10"/>
      <c r="E17" s="10"/>
      <c r="F17" s="10"/>
      <c r="G17" s="10"/>
      <c r="H17" s="2"/>
      <c r="I17" s="93" t="str">
        <f>IF('M 09.12 03'!B17=0,"",('M 09.12 03'!B17))</f>
        <v/>
      </c>
      <c r="J17" s="79" t="str">
        <f>IF('M 09.12 03'!D17=0,"",('M 09.12 03'!D17))</f>
        <v/>
      </c>
      <c r="K17" s="79" t="str">
        <f>IF('M 09.12 03'!E17=0,"",('M 09.12 03'!E17))</f>
        <v/>
      </c>
      <c r="L17" s="9"/>
    </row>
    <row r="18" spans="2:12" ht="21" customHeight="1" thickBot="1" x14ac:dyDescent="0.3">
      <c r="I18" s="94" t="str">
        <f>IF('M 09.12 03'!B18=0,"",('M 09.12 03'!B18))</f>
        <v/>
      </c>
      <c r="J18" s="84" t="str">
        <f>IF('M 09.12 03'!D18=0,"",('M 09.12 03'!D18))</f>
        <v/>
      </c>
      <c r="K18" s="84" t="str">
        <f>IF('M 09.12 03'!E18=0,"",('M 09.12 03'!E18))</f>
        <v/>
      </c>
      <c r="L18" s="36"/>
    </row>
    <row r="19" spans="2:12" ht="4.5" customHeight="1" x14ac:dyDescent="0.25">
      <c r="B19" s="2"/>
      <c r="C19" s="2"/>
      <c r="D19" s="6"/>
      <c r="E19" s="6"/>
      <c r="F19" s="6"/>
      <c r="G19" s="6"/>
      <c r="H19" s="39"/>
      <c r="I19" s="39"/>
      <c r="J19" s="11"/>
      <c r="K19" s="39"/>
      <c r="L19" s="11"/>
    </row>
    <row r="20" spans="2:12" ht="14.25" customHeight="1" x14ac:dyDescent="0.25">
      <c r="B20" s="276" t="s">
        <v>24</v>
      </c>
      <c r="C20" s="276"/>
      <c r="D20" s="276"/>
      <c r="E20" s="276"/>
      <c r="F20" s="276"/>
      <c r="G20" s="276"/>
      <c r="H20" s="276"/>
      <c r="I20" s="276"/>
      <c r="J20" s="276"/>
      <c r="K20" s="276"/>
      <c r="L20" s="276"/>
    </row>
    <row r="21" spans="2:12" ht="4.5" customHeight="1" thickBot="1" x14ac:dyDescent="0.3"/>
    <row r="22" spans="2:12" ht="21" customHeight="1" thickBot="1" x14ac:dyDescent="0.3">
      <c r="B22" s="16" t="s">
        <v>17</v>
      </c>
      <c r="C22" s="17"/>
      <c r="D22" s="18" t="s">
        <v>19</v>
      </c>
      <c r="E22" s="19"/>
      <c r="F22" s="15"/>
      <c r="G22" s="15"/>
      <c r="H22" s="80" t="s">
        <v>25</v>
      </c>
      <c r="I22" s="80" t="s">
        <v>21</v>
      </c>
      <c r="J22" s="81" t="s">
        <v>26</v>
      </c>
      <c r="K22" s="81" t="s">
        <v>3</v>
      </c>
      <c r="L22" s="82" t="s">
        <v>23</v>
      </c>
    </row>
    <row r="23" spans="2:12" ht="21" customHeight="1" thickBot="1" x14ac:dyDescent="0.3">
      <c r="B23" s="20" t="s">
        <v>18</v>
      </c>
      <c r="C23" s="35"/>
      <c r="D23" s="21" t="s">
        <v>20</v>
      </c>
      <c r="E23" s="36"/>
      <c r="F23" s="125"/>
      <c r="G23" s="125"/>
      <c r="H23" s="177"/>
      <c r="I23" s="174"/>
      <c r="J23" s="83"/>
      <c r="K23" s="83"/>
      <c r="L23" s="37"/>
    </row>
    <row r="24" spans="2:12" ht="21" customHeight="1" x14ac:dyDescent="0.25">
      <c r="B24" s="22" t="s">
        <v>17</v>
      </c>
      <c r="C24" s="23"/>
      <c r="D24" s="24" t="s">
        <v>19</v>
      </c>
      <c r="E24" s="25"/>
      <c r="F24" s="15"/>
      <c r="G24" s="15"/>
      <c r="H24" s="178"/>
      <c r="I24" s="175" t="e">
        <f>IF('M 09.12 03'!#REF!=0,"",('M 09.12 03'!#REF!))</f>
        <v>#REF!</v>
      </c>
      <c r="J24" s="79" t="e">
        <f>IF('M 09.12 03'!#REF!=0,"",('M 09.12 03'!#REF!))</f>
        <v>#REF!</v>
      </c>
      <c r="K24" s="79" t="e">
        <f>IF('M 09.12 03'!#REF!=0,"",('M 09.12 03'!#REF!))</f>
        <v>#REF!</v>
      </c>
      <c r="L24" s="5"/>
    </row>
    <row r="25" spans="2:12" ht="21" customHeight="1" thickBot="1" x14ac:dyDescent="0.3">
      <c r="B25" s="20" t="s">
        <v>18</v>
      </c>
      <c r="C25" s="35"/>
      <c r="D25" s="21" t="s">
        <v>20</v>
      </c>
      <c r="E25" s="36"/>
      <c r="F25" s="125"/>
      <c r="G25" s="125"/>
      <c r="H25" s="179"/>
      <c r="I25" s="175" t="e">
        <f>IF('M 09.12 03'!#REF!=0,"",('M 09.12 03'!#REF!))</f>
        <v>#REF!</v>
      </c>
      <c r="J25" s="79" t="e">
        <f>IF('M 09.12 03'!#REF!=0,"",('M 09.12 03'!#REF!))</f>
        <v>#REF!</v>
      </c>
      <c r="K25" s="79" t="e">
        <f>IF('M 09.12 03'!#REF!=0,"",('M 09.12 03'!#REF!))</f>
        <v>#REF!</v>
      </c>
      <c r="L25" s="7"/>
    </row>
    <row r="26" spans="2:12" ht="21" customHeight="1" x14ac:dyDescent="0.25">
      <c r="B26" s="13"/>
      <c r="C26" s="15"/>
      <c r="D26" s="13"/>
      <c r="E26" s="15"/>
      <c r="F26" s="15"/>
      <c r="G26" s="15"/>
      <c r="H26" s="178"/>
      <c r="I26" s="175" t="e">
        <f>IF('M 09.12 03'!#REF!=0,"",('M 09.12 03'!#REF!))</f>
        <v>#REF!</v>
      </c>
      <c r="J26" s="79" t="e">
        <f>IF('M 09.12 03'!#REF!=0,"",('M 09.12 03'!#REF!))</f>
        <v>#REF!</v>
      </c>
      <c r="K26" s="79" t="e">
        <f>IF('M 09.12 03'!#REF!=0,"",('M 09.12 03'!#REF!))</f>
        <v>#REF!</v>
      </c>
      <c r="L26" s="5"/>
    </row>
    <row r="27" spans="2:12" ht="21" customHeight="1" x14ac:dyDescent="0.25">
      <c r="B27" s="13"/>
      <c r="C27" s="40"/>
      <c r="D27" s="13"/>
      <c r="E27" s="40"/>
      <c r="F27" s="125"/>
      <c r="G27" s="125"/>
      <c r="H27" s="179"/>
      <c r="I27" s="175" t="e">
        <f>IF('M 09.12 03'!#REF!=0,"",('M 09.12 03'!#REF!))</f>
        <v>#REF!</v>
      </c>
      <c r="J27" s="79" t="e">
        <f>IF('M 09.12 03'!#REF!=0,"",('M 09.12 03'!#REF!))</f>
        <v>#REF!</v>
      </c>
      <c r="K27" s="79" t="e">
        <f>IF('M 09.12 03'!#REF!=0,"",('M 09.12 03'!#REF!))</f>
        <v>#REF!</v>
      </c>
      <c r="L27" s="8"/>
    </row>
    <row r="28" spans="2:12" ht="21" customHeight="1" x14ac:dyDescent="0.25">
      <c r="B28" s="13"/>
      <c r="C28" s="15"/>
      <c r="D28" s="13"/>
      <c r="E28" s="15"/>
      <c r="F28" s="15"/>
      <c r="G28" s="15"/>
      <c r="H28" s="178"/>
      <c r="I28" s="175" t="e">
        <f>IF('M 09.12 03'!#REF!=0,"",('M 09.12 03'!#REF!))</f>
        <v>#REF!</v>
      </c>
      <c r="J28" s="79" t="e">
        <f>IF('M 09.12 03'!#REF!=0,"",('M 09.12 03'!#REF!))</f>
        <v>#REF!</v>
      </c>
      <c r="K28" s="79" t="e">
        <f>IF('M 09.12 03'!#REF!=0,"",('M 09.12 03'!#REF!))</f>
        <v>#REF!</v>
      </c>
      <c r="L28" s="5"/>
    </row>
    <row r="29" spans="2:12" ht="21" customHeight="1" x14ac:dyDescent="0.25">
      <c r="B29" s="13"/>
      <c r="C29" s="40"/>
      <c r="D29" s="13"/>
      <c r="E29" s="40"/>
      <c r="F29" s="125"/>
      <c r="G29" s="125"/>
      <c r="H29" s="179"/>
      <c r="I29" s="175" t="e">
        <f>IF('M 09.12 03'!#REF!=0,"",('M 09.12 03'!#REF!))</f>
        <v>#REF!</v>
      </c>
      <c r="J29" s="79" t="e">
        <f>IF('M 09.12 03'!#REF!=0,"",('M 09.12 03'!#REF!))</f>
        <v>#REF!</v>
      </c>
      <c r="K29" s="79" t="e">
        <f>IF('M 09.12 03'!#REF!=0,"",('M 09.12 03'!#REF!))</f>
        <v>#REF!</v>
      </c>
      <c r="L29" s="9"/>
    </row>
    <row r="30" spans="2:12" ht="21" customHeight="1" x14ac:dyDescent="0.25">
      <c r="H30" s="178"/>
      <c r="I30" s="175" t="e">
        <f>IF('M 09.12 03'!#REF!=0,"",('M 09.12 03'!#REF!))</f>
        <v>#REF!</v>
      </c>
      <c r="J30" s="79" t="e">
        <f>IF('M 09.12 03'!#REF!=0,"",('M 09.12 03'!#REF!))</f>
        <v>#REF!</v>
      </c>
      <c r="K30" s="79" t="e">
        <f>IF('M 09.12 03'!#REF!=0,"",('M 09.12 03'!#REF!))</f>
        <v>#REF!</v>
      </c>
      <c r="L30" s="5"/>
    </row>
    <row r="31" spans="2:12" ht="21" customHeight="1" x14ac:dyDescent="0.25">
      <c r="C31" s="39"/>
      <c r="D31" s="10"/>
      <c r="E31" s="10"/>
      <c r="F31" s="10"/>
      <c r="G31" s="10"/>
      <c r="H31" s="180"/>
      <c r="I31" s="175" t="e">
        <f>IF('M 09.12 03'!#REF!=0,"",('M 09.12 03'!#REF!))</f>
        <v>#REF!</v>
      </c>
      <c r="J31" s="79" t="e">
        <f>IF('M 09.12 03'!#REF!=0,"",('M 09.12 03'!#REF!))</f>
        <v>#REF!</v>
      </c>
      <c r="K31" s="79" t="e">
        <f>IF('M 09.12 03'!#REF!=0,"",('M 09.12 03'!#REF!))</f>
        <v>#REF!</v>
      </c>
      <c r="L31" s="9"/>
    </row>
    <row r="32" spans="2:12" ht="21" customHeight="1" thickBot="1" x14ac:dyDescent="0.3">
      <c r="H32" s="181"/>
      <c r="I32" s="176" t="e">
        <f>IF('M 09.12 03'!#REF!=0,"",('M 09.12 03'!#REF!))</f>
        <v>#REF!</v>
      </c>
      <c r="J32" s="84" t="e">
        <f>IF('M 09.12 03'!#REF!=0,"",('M 09.12 03'!#REF!))</f>
        <v>#REF!</v>
      </c>
      <c r="K32" s="84" t="e">
        <f>IF('M 09.12 03'!#REF!=0,"",('M 09.12 03'!#REF!))</f>
        <v>#REF!</v>
      </c>
      <c r="L32" s="36"/>
    </row>
    <row r="33" spans="2:12" ht="4.5" customHeight="1" x14ac:dyDescent="0.25"/>
    <row r="34" spans="2:12" ht="14.25" customHeight="1" x14ac:dyDescent="0.25">
      <c r="B34" s="276" t="s">
        <v>28</v>
      </c>
      <c r="C34" s="276"/>
      <c r="D34" s="276"/>
      <c r="E34" s="276"/>
      <c r="F34" s="276"/>
      <c r="G34" s="276"/>
      <c r="H34" s="276"/>
      <c r="I34" s="276"/>
      <c r="J34" s="276"/>
      <c r="K34" s="276"/>
      <c r="L34" s="276"/>
    </row>
    <row r="35" spans="2:12" ht="4.5" customHeight="1" thickBot="1" x14ac:dyDescent="0.3"/>
    <row r="36" spans="2:12" ht="21" customHeight="1" x14ac:dyDescent="0.25">
      <c r="B36" s="16" t="s">
        <v>17</v>
      </c>
      <c r="C36" s="17"/>
      <c r="D36" s="18" t="s">
        <v>19</v>
      </c>
      <c r="E36" s="19"/>
      <c r="F36" s="15"/>
      <c r="G36" s="15"/>
      <c r="H36" s="2"/>
      <c r="I36" s="42" t="s">
        <v>2</v>
      </c>
      <c r="J36" s="4" t="s">
        <v>5</v>
      </c>
      <c r="K36" s="4" t="s">
        <v>27</v>
      </c>
      <c r="L36" s="43" t="s">
        <v>23</v>
      </c>
    </row>
    <row r="37" spans="2:12" ht="21" customHeight="1" thickBot="1" x14ac:dyDescent="0.3">
      <c r="B37" s="20" t="s">
        <v>18</v>
      </c>
      <c r="C37" s="35"/>
      <c r="D37" s="21" t="s">
        <v>20</v>
      </c>
      <c r="E37" s="36"/>
      <c r="F37" s="125"/>
      <c r="G37" s="125"/>
      <c r="I37" s="76"/>
      <c r="J37" s="85"/>
      <c r="K37" s="65"/>
      <c r="L37" s="5"/>
    </row>
    <row r="38" spans="2:12" ht="21" customHeight="1" x14ac:dyDescent="0.25">
      <c r="B38" s="22" t="s">
        <v>17</v>
      </c>
      <c r="C38" s="23"/>
      <c r="D38" s="24" t="s">
        <v>19</v>
      </c>
      <c r="E38" s="25"/>
      <c r="F38" s="15"/>
      <c r="G38" s="15"/>
      <c r="I38" s="76"/>
      <c r="J38" s="91"/>
      <c r="K38" s="65"/>
      <c r="L38" s="5"/>
    </row>
    <row r="39" spans="2:12" ht="21" customHeight="1" thickBot="1" x14ac:dyDescent="0.3">
      <c r="B39" s="20" t="s">
        <v>18</v>
      </c>
      <c r="C39" s="35"/>
      <c r="D39" s="21" t="s">
        <v>20</v>
      </c>
      <c r="E39" s="36"/>
      <c r="F39" s="125"/>
      <c r="G39" s="125"/>
      <c r="H39" s="6"/>
      <c r="I39" s="76"/>
      <c r="J39" s="85"/>
      <c r="K39" s="65"/>
      <c r="L39" s="7"/>
    </row>
    <row r="40" spans="2:12" ht="21" customHeight="1" x14ac:dyDescent="0.25">
      <c r="B40" s="13"/>
      <c r="C40" s="40"/>
      <c r="D40" s="13"/>
      <c r="E40" s="40"/>
      <c r="F40" s="125"/>
      <c r="G40" s="125"/>
      <c r="H40" s="6"/>
      <c r="I40" s="76"/>
      <c r="J40" s="85"/>
      <c r="K40" s="65"/>
      <c r="L40" s="7"/>
    </row>
    <row r="41" spans="2:12" ht="21" customHeight="1" x14ac:dyDescent="0.25">
      <c r="B41" s="13"/>
      <c r="C41" s="15"/>
      <c r="D41" s="13"/>
      <c r="E41" s="15"/>
      <c r="F41" s="15"/>
      <c r="G41" s="15"/>
      <c r="I41" s="76"/>
      <c r="J41" s="85"/>
      <c r="K41" s="65"/>
      <c r="L41" s="5"/>
    </row>
    <row r="42" spans="2:12" ht="21" customHeight="1" thickBot="1" x14ac:dyDescent="0.3">
      <c r="I42" s="3"/>
      <c r="J42" s="35"/>
      <c r="K42" s="35"/>
      <c r="L42" s="36"/>
    </row>
    <row r="43" spans="2:12" ht="4.5" customHeight="1" x14ac:dyDescent="0.25"/>
    <row r="44" spans="2:12" ht="14.25" customHeight="1" x14ac:dyDescent="0.25">
      <c r="B44" s="276" t="s">
        <v>29</v>
      </c>
      <c r="C44" s="276"/>
      <c r="D44" s="276"/>
      <c r="E44" s="276"/>
      <c r="F44" s="276"/>
      <c r="G44" s="276"/>
      <c r="H44" s="276"/>
      <c r="I44" s="276"/>
      <c r="J44" s="276"/>
      <c r="K44" s="276"/>
      <c r="L44" s="276"/>
    </row>
    <row r="45" spans="2:12" ht="4.5" customHeight="1" thickBot="1" x14ac:dyDescent="0.3"/>
    <row r="46" spans="2:12" ht="21" customHeight="1" x14ac:dyDescent="0.25">
      <c r="B46" s="16" t="s">
        <v>17</v>
      </c>
      <c r="C46" s="17"/>
      <c r="D46" s="18" t="s">
        <v>19</v>
      </c>
      <c r="E46" s="161"/>
      <c r="F46" s="163" t="s">
        <v>122</v>
      </c>
      <c r="G46" s="19"/>
      <c r="H46" s="2"/>
      <c r="I46" s="42" t="s">
        <v>2</v>
      </c>
      <c r="J46" s="4" t="s">
        <v>5</v>
      </c>
      <c r="K46" s="4" t="s">
        <v>27</v>
      </c>
      <c r="L46" s="43" t="s">
        <v>23</v>
      </c>
    </row>
    <row r="47" spans="2:12" ht="21" customHeight="1" thickBot="1" x14ac:dyDescent="0.3">
      <c r="B47" s="20" t="s">
        <v>18</v>
      </c>
      <c r="C47" s="35"/>
      <c r="D47" s="21" t="s">
        <v>20</v>
      </c>
      <c r="E47" s="162"/>
      <c r="F47" s="164" t="s">
        <v>123</v>
      </c>
      <c r="G47" s="122"/>
      <c r="I47" s="76"/>
      <c r="J47" s="65"/>
      <c r="K47" s="65"/>
      <c r="L47" s="5"/>
    </row>
    <row r="48" spans="2:12" ht="21" customHeight="1" x14ac:dyDescent="0.25">
      <c r="B48" s="22" t="s">
        <v>17</v>
      </c>
      <c r="C48" s="23"/>
      <c r="D48" s="24" t="s">
        <v>19</v>
      </c>
      <c r="E48" s="25"/>
      <c r="F48" s="163" t="s">
        <v>122</v>
      </c>
      <c r="G48" s="19"/>
      <c r="I48" s="76"/>
      <c r="J48" s="65"/>
      <c r="K48" s="65"/>
      <c r="L48" s="5"/>
    </row>
    <row r="49" spans="2:12" ht="21" customHeight="1" thickBot="1" x14ac:dyDescent="0.3">
      <c r="B49" s="20" t="s">
        <v>18</v>
      </c>
      <c r="C49" s="35"/>
      <c r="D49" s="21" t="s">
        <v>20</v>
      </c>
      <c r="E49" s="36"/>
      <c r="F49" s="164" t="s">
        <v>123</v>
      </c>
      <c r="G49" s="122"/>
      <c r="H49" s="6"/>
      <c r="I49" s="77"/>
      <c r="J49" s="62"/>
      <c r="K49" s="62"/>
      <c r="L49" s="7"/>
    </row>
    <row r="50" spans="2:12" ht="21" customHeight="1" x14ac:dyDescent="0.25">
      <c r="C50" s="39"/>
      <c r="D50" s="10"/>
      <c r="E50" s="10"/>
      <c r="F50" s="10"/>
      <c r="G50" s="10"/>
      <c r="H50" s="2"/>
      <c r="I50" s="46"/>
      <c r="J50" s="62"/>
      <c r="K50" s="78"/>
      <c r="L50" s="9"/>
    </row>
    <row r="51" spans="2:12" ht="21" customHeight="1" thickBot="1" x14ac:dyDescent="0.3">
      <c r="I51" s="3"/>
      <c r="J51" s="35"/>
      <c r="K51" s="35"/>
      <c r="L51" s="36"/>
    </row>
    <row r="52" spans="2:12" s="102" customFormat="1" ht="21" customHeight="1" x14ac:dyDescent="0.25">
      <c r="I52" s="125"/>
      <c r="J52" s="125"/>
      <c r="K52" s="125"/>
      <c r="L52" s="125"/>
    </row>
    <row r="53" spans="2:12" s="102" customFormat="1" ht="21" customHeight="1" x14ac:dyDescent="0.25">
      <c r="B53" s="276" t="s">
        <v>124</v>
      </c>
      <c r="C53" s="276"/>
      <c r="D53" s="276"/>
      <c r="E53" s="276"/>
      <c r="F53" s="276"/>
      <c r="G53" s="276"/>
      <c r="H53" s="276"/>
      <c r="I53" s="276"/>
      <c r="J53" s="276"/>
      <c r="K53" s="276"/>
      <c r="L53" s="276"/>
    </row>
    <row r="54" spans="2:12" s="102" customFormat="1" ht="21" customHeight="1" thickBot="1" x14ac:dyDescent="0.3"/>
    <row r="55" spans="2:12" s="102" customFormat="1" ht="21" customHeight="1" x14ac:dyDescent="0.25">
      <c r="B55" s="16" t="s">
        <v>17</v>
      </c>
      <c r="C55" s="17"/>
      <c r="D55" s="129" t="s">
        <v>19</v>
      </c>
      <c r="E55" s="161"/>
      <c r="F55" s="163" t="s">
        <v>122</v>
      </c>
      <c r="G55" s="19"/>
      <c r="H55" s="2"/>
      <c r="I55" s="123" t="s">
        <v>2</v>
      </c>
      <c r="J55" s="127" t="s">
        <v>5</v>
      </c>
      <c r="K55" s="127" t="s">
        <v>27</v>
      </c>
      <c r="L55" s="124" t="s">
        <v>23</v>
      </c>
    </row>
    <row r="56" spans="2:12" s="102" customFormat="1" ht="21" customHeight="1" thickBot="1" x14ac:dyDescent="0.3">
      <c r="B56" s="20" t="s">
        <v>18</v>
      </c>
      <c r="C56" s="121"/>
      <c r="D56" s="128" t="s">
        <v>20</v>
      </c>
      <c r="E56" s="162"/>
      <c r="F56" s="164" t="s">
        <v>123</v>
      </c>
      <c r="G56" s="122"/>
      <c r="I56" s="76"/>
      <c r="J56" s="126"/>
      <c r="K56" s="126"/>
      <c r="L56" s="5"/>
    </row>
    <row r="57" spans="2:12" s="102" customFormat="1" ht="21" customHeight="1" x14ac:dyDescent="0.25">
      <c r="B57" s="22" t="s">
        <v>17</v>
      </c>
      <c r="C57" s="23"/>
      <c r="D57" s="24" t="s">
        <v>19</v>
      </c>
      <c r="E57" s="25"/>
      <c r="F57" s="163" t="s">
        <v>122</v>
      </c>
      <c r="G57" s="19"/>
      <c r="I57" s="76"/>
      <c r="J57" s="126"/>
      <c r="K57" s="126"/>
      <c r="L57" s="5"/>
    </row>
    <row r="58" spans="2:12" s="102" customFormat="1" ht="21" customHeight="1" thickBot="1" x14ac:dyDescent="0.3">
      <c r="B58" s="20" t="s">
        <v>18</v>
      </c>
      <c r="C58" s="121"/>
      <c r="D58" s="128" t="s">
        <v>20</v>
      </c>
      <c r="E58" s="122"/>
      <c r="F58" s="164" t="s">
        <v>123</v>
      </c>
      <c r="G58" s="122"/>
      <c r="H58" s="6"/>
      <c r="I58" s="77"/>
      <c r="J58" s="62"/>
      <c r="K58" s="62"/>
      <c r="L58" s="7"/>
    </row>
    <row r="59" spans="2:12" s="102" customFormat="1" ht="21" customHeight="1" x14ac:dyDescent="0.25">
      <c r="C59" s="39"/>
      <c r="D59" s="10"/>
      <c r="E59" s="10"/>
      <c r="F59" s="10"/>
      <c r="G59" s="10"/>
      <c r="H59" s="2"/>
      <c r="I59" s="46"/>
      <c r="J59" s="62"/>
      <c r="K59" s="78"/>
      <c r="L59" s="9"/>
    </row>
    <row r="60" spans="2:12" s="102" customFormat="1" ht="21" customHeight="1" thickBot="1" x14ac:dyDescent="0.3">
      <c r="I60" s="3"/>
      <c r="J60" s="121"/>
      <c r="K60" s="121"/>
      <c r="L60" s="122"/>
    </row>
    <row r="61" spans="2:12" ht="21.75" customHeight="1" thickBot="1" x14ac:dyDescent="0.3">
      <c r="B61" s="2"/>
      <c r="C61" s="2"/>
      <c r="D61" s="2"/>
      <c r="E61" s="102"/>
      <c r="H61" s="102"/>
      <c r="I61" s="102"/>
      <c r="J61" s="2"/>
      <c r="K61" s="2"/>
      <c r="L61" s="2"/>
    </row>
    <row r="62" spans="2:12" s="38" customFormat="1" ht="23.25" customHeight="1" x14ac:dyDescent="0.25">
      <c r="B62" s="106">
        <v>12</v>
      </c>
      <c r="C62" s="159">
        <v>44432</v>
      </c>
      <c r="D62" s="284" t="s">
        <v>160</v>
      </c>
      <c r="E62" s="285"/>
      <c r="F62" s="285"/>
      <c r="G62" s="285"/>
      <c r="H62" s="285"/>
      <c r="I62" s="286"/>
      <c r="J62" s="284" t="s">
        <v>161</v>
      </c>
      <c r="K62" s="286"/>
      <c r="L62" s="160" t="s">
        <v>162</v>
      </c>
    </row>
    <row r="63" spans="2:12" ht="23.25" customHeight="1" thickBot="1" x14ac:dyDescent="0.3">
      <c r="B63" s="107" t="s">
        <v>83</v>
      </c>
      <c r="C63" s="108" t="s">
        <v>18</v>
      </c>
      <c r="D63" s="283" t="s">
        <v>84</v>
      </c>
      <c r="E63" s="283"/>
      <c r="F63" s="283"/>
      <c r="G63" s="283"/>
      <c r="H63" s="283"/>
      <c r="I63" s="283"/>
      <c r="J63" s="283" t="s">
        <v>89</v>
      </c>
      <c r="K63" s="283"/>
      <c r="L63" s="109" t="s">
        <v>90</v>
      </c>
    </row>
    <row r="64" spans="2:12" ht="4.5" customHeight="1" x14ac:dyDescent="0.25"/>
  </sheetData>
  <mergeCells count="16">
    <mergeCell ref="B34:L34"/>
    <mergeCell ref="B20:L20"/>
    <mergeCell ref="B44:L44"/>
    <mergeCell ref="D63:I63"/>
    <mergeCell ref="D62:I62"/>
    <mergeCell ref="J62:K62"/>
    <mergeCell ref="J63:K63"/>
    <mergeCell ref="B53:L53"/>
    <mergeCell ref="B2:C2"/>
    <mergeCell ref="D2:J2"/>
    <mergeCell ref="K2:L2"/>
    <mergeCell ref="B6:L6"/>
    <mergeCell ref="B4:C4"/>
    <mergeCell ref="H4:J4"/>
    <mergeCell ref="K4:L4"/>
    <mergeCell ref="D4:E4"/>
  </mergeCells>
  <pageMargins left="0.70866141732283472" right="0.70866141732283472" top="0.74803149606299213" bottom="0.74803149606299213" header="0.31496062992125984" footer="0.31496062992125984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L34"/>
  <sheetViews>
    <sheetView topLeftCell="A10" workbookViewId="0">
      <selection activeCell="K33" sqref="K33:L33"/>
    </sheetView>
  </sheetViews>
  <sheetFormatPr defaultRowHeight="15" x14ac:dyDescent="0.25"/>
  <cols>
    <col min="1" max="1" width="11.140625" customWidth="1"/>
    <col min="2" max="2" width="5.85546875" customWidth="1"/>
    <col min="3" max="3" width="7.140625" customWidth="1"/>
    <col min="4" max="4" width="7" customWidth="1"/>
    <col min="5" max="5" width="8.85546875" customWidth="1"/>
    <col min="6" max="6" width="7" customWidth="1"/>
    <col min="7" max="8" width="7.28515625" customWidth="1"/>
    <col min="9" max="9" width="6.42578125" customWidth="1"/>
    <col min="10" max="10" width="7" customWidth="1"/>
    <col min="11" max="11" width="6.5703125" customWidth="1"/>
    <col min="12" max="12" width="5.85546875" customWidth="1"/>
  </cols>
  <sheetData>
    <row r="1" spans="1:12" ht="58.5" customHeight="1" x14ac:dyDescent="0.25">
      <c r="A1" s="305" t="s">
        <v>0</v>
      </c>
      <c r="B1" s="305"/>
      <c r="C1" s="306" t="s">
        <v>13</v>
      </c>
      <c r="D1" s="307"/>
      <c r="E1" s="307"/>
      <c r="F1" s="307"/>
      <c r="G1" s="307"/>
      <c r="H1" s="307"/>
      <c r="I1" s="308"/>
      <c r="J1" s="305" t="s">
        <v>86</v>
      </c>
      <c r="K1" s="305"/>
      <c r="L1" s="305"/>
    </row>
    <row r="2" spans="1:12" ht="15.75" thickBot="1" x14ac:dyDescent="0.3">
      <c r="A2" s="309" t="s">
        <v>97</v>
      </c>
      <c r="B2" s="309"/>
      <c r="C2" s="309"/>
      <c r="D2" s="130"/>
      <c r="E2" s="130"/>
      <c r="F2" s="130"/>
      <c r="G2" s="130"/>
      <c r="H2" s="130"/>
      <c r="I2" s="131"/>
      <c r="J2" s="131"/>
      <c r="K2" s="131"/>
      <c r="L2" s="131"/>
    </row>
    <row r="3" spans="1:12" ht="52.5" customHeight="1" x14ac:dyDescent="0.25">
      <c r="A3" s="310" t="s">
        <v>98</v>
      </c>
      <c r="B3" s="311"/>
      <c r="C3" s="314" t="s">
        <v>99</v>
      </c>
      <c r="D3" s="314"/>
      <c r="E3" s="315" t="s">
        <v>100</v>
      </c>
      <c r="F3" s="316"/>
      <c r="G3" s="132" t="s">
        <v>101</v>
      </c>
      <c r="H3" s="132" t="s">
        <v>102</v>
      </c>
      <c r="I3" s="314" t="s">
        <v>103</v>
      </c>
      <c r="J3" s="314"/>
      <c r="K3" s="314" t="s">
        <v>104</v>
      </c>
      <c r="L3" s="317"/>
    </row>
    <row r="4" spans="1:12" ht="34.5" customHeight="1" x14ac:dyDescent="0.25">
      <c r="A4" s="312"/>
      <c r="B4" s="313"/>
      <c r="C4" s="133" t="s">
        <v>105</v>
      </c>
      <c r="D4" s="133" t="s">
        <v>106</v>
      </c>
      <c r="E4" s="133" t="s">
        <v>105</v>
      </c>
      <c r="F4" s="133" t="s">
        <v>106</v>
      </c>
      <c r="G4" s="134"/>
      <c r="H4" s="133"/>
      <c r="I4" s="133" t="s">
        <v>105</v>
      </c>
      <c r="J4" s="133" t="s">
        <v>106</v>
      </c>
      <c r="K4" s="133" t="s">
        <v>105</v>
      </c>
      <c r="L4" s="135" t="s">
        <v>106</v>
      </c>
    </row>
    <row r="5" spans="1:12" ht="34.5" customHeight="1" x14ac:dyDescent="0.25">
      <c r="A5" s="289" t="s">
        <v>107</v>
      </c>
      <c r="B5" s="290"/>
      <c r="C5" s="136"/>
      <c r="D5" s="136"/>
      <c r="E5" s="133"/>
      <c r="F5" s="133"/>
      <c r="G5" s="133"/>
      <c r="H5" s="133"/>
      <c r="I5" s="137"/>
      <c r="J5" s="137"/>
      <c r="K5" s="137"/>
      <c r="L5" s="138"/>
    </row>
    <row r="6" spans="1:12" ht="35.25" customHeight="1" x14ac:dyDescent="0.25">
      <c r="A6" s="289" t="s">
        <v>108</v>
      </c>
      <c r="B6" s="290"/>
      <c r="C6" s="136"/>
      <c r="D6" s="136"/>
      <c r="E6" s="133"/>
      <c r="F6" s="133"/>
      <c r="G6" s="133"/>
      <c r="H6" s="133"/>
      <c r="I6" s="137"/>
      <c r="J6" s="137"/>
      <c r="K6" s="137"/>
      <c r="L6" s="138"/>
    </row>
    <row r="7" spans="1:12" ht="15.75" thickBot="1" x14ac:dyDescent="0.3">
      <c r="A7" s="295" t="s">
        <v>109</v>
      </c>
      <c r="B7" s="283"/>
      <c r="C7" s="139"/>
      <c r="D7" s="139"/>
      <c r="E7" s="140"/>
      <c r="F7" s="140"/>
      <c r="G7" s="140"/>
      <c r="H7" s="140"/>
      <c r="I7" s="141"/>
      <c r="J7" s="141"/>
      <c r="K7" s="141"/>
      <c r="L7" s="142"/>
    </row>
    <row r="8" spans="1:12" ht="6" customHeight="1" x14ac:dyDescent="0.25">
      <c r="A8" s="143"/>
      <c r="B8" s="143"/>
      <c r="C8" s="144"/>
      <c r="D8" s="144"/>
      <c r="E8" s="130"/>
      <c r="F8" s="130"/>
      <c r="G8" s="130"/>
      <c r="H8" s="130"/>
      <c r="I8" s="131"/>
      <c r="J8" s="131"/>
      <c r="K8" s="131"/>
      <c r="L8" s="131"/>
    </row>
    <row r="9" spans="1:12" ht="19.5" customHeight="1" x14ac:dyDescent="0.25">
      <c r="A9" s="309" t="s">
        <v>110</v>
      </c>
      <c r="B9" s="309"/>
      <c r="C9" s="144"/>
      <c r="D9" s="144"/>
      <c r="F9" s="130" t="s">
        <v>111</v>
      </c>
      <c r="G9" s="130"/>
      <c r="H9" s="130"/>
      <c r="I9" s="131"/>
      <c r="J9" s="131"/>
      <c r="K9" s="131"/>
      <c r="L9" s="131"/>
    </row>
    <row r="10" spans="1:12" ht="6.75" customHeight="1" thickBot="1" x14ac:dyDescent="0.3">
      <c r="A10" s="145"/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</row>
    <row r="11" spans="1:12" ht="15.75" thickBot="1" x14ac:dyDescent="0.3">
      <c r="A11" s="302" t="s">
        <v>11</v>
      </c>
      <c r="B11" s="303"/>
      <c r="C11" s="303"/>
      <c r="D11" s="304"/>
      <c r="E11" s="143"/>
      <c r="F11" s="143"/>
      <c r="G11" s="302" t="s">
        <v>10</v>
      </c>
      <c r="H11" s="303"/>
      <c r="I11" s="303"/>
      <c r="J11" s="303"/>
      <c r="K11" s="303"/>
      <c r="L11" s="304"/>
    </row>
    <row r="12" spans="1:12" ht="15.75" thickBot="1" x14ac:dyDescent="0.3">
      <c r="A12" s="320" t="s">
        <v>112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146"/>
    </row>
    <row r="13" spans="1:12" ht="23.25" customHeight="1" x14ac:dyDescent="0.25">
      <c r="A13" s="287" t="s">
        <v>17</v>
      </c>
      <c r="B13" s="291"/>
      <c r="C13" s="288" t="s">
        <v>19</v>
      </c>
      <c r="D13" s="300"/>
      <c r="E13" s="168" t="s">
        <v>126</v>
      </c>
      <c r="F13" s="165"/>
      <c r="G13" s="287" t="s">
        <v>17</v>
      </c>
      <c r="H13" s="288"/>
      <c r="I13" s="291"/>
      <c r="J13" s="288" t="s">
        <v>19</v>
      </c>
      <c r="K13" s="288"/>
      <c r="L13" s="293"/>
    </row>
    <row r="14" spans="1:12" ht="15" customHeight="1" thickBot="1" x14ac:dyDescent="0.3">
      <c r="A14" s="289"/>
      <c r="B14" s="292"/>
      <c r="C14" s="290"/>
      <c r="D14" s="301"/>
      <c r="E14" s="167"/>
      <c r="F14" s="150"/>
      <c r="G14" s="289"/>
      <c r="H14" s="290"/>
      <c r="I14" s="292"/>
      <c r="J14" s="290"/>
      <c r="K14" s="290"/>
      <c r="L14" s="294"/>
    </row>
    <row r="15" spans="1:12" ht="21" customHeight="1" x14ac:dyDescent="0.25">
      <c r="A15" s="289" t="s">
        <v>18</v>
      </c>
      <c r="B15" s="290"/>
      <c r="C15" s="290" t="s">
        <v>20</v>
      </c>
      <c r="D15" s="323"/>
      <c r="E15" s="168" t="s">
        <v>126</v>
      </c>
      <c r="F15" s="150"/>
      <c r="G15" s="289" t="s">
        <v>18</v>
      </c>
      <c r="H15" s="290"/>
      <c r="I15" s="296"/>
      <c r="J15" s="290" t="s">
        <v>20</v>
      </c>
      <c r="K15" s="290"/>
      <c r="L15" s="298"/>
    </row>
    <row r="16" spans="1:12" ht="19.5" customHeight="1" thickBot="1" x14ac:dyDescent="0.3">
      <c r="A16" s="295"/>
      <c r="B16" s="283"/>
      <c r="C16" s="283"/>
      <c r="D16" s="324"/>
      <c r="E16" s="166"/>
      <c r="F16" s="154"/>
      <c r="G16" s="295"/>
      <c r="H16" s="283"/>
      <c r="I16" s="297"/>
      <c r="J16" s="283"/>
      <c r="K16" s="283"/>
      <c r="L16" s="299"/>
    </row>
    <row r="17" spans="1:12" ht="15.75" thickBot="1" x14ac:dyDescent="0.3">
      <c r="A17" s="320" t="s">
        <v>113</v>
      </c>
      <c r="B17" s="320"/>
      <c r="C17" s="320"/>
      <c r="D17" s="320"/>
      <c r="E17" s="320"/>
      <c r="F17" s="320"/>
      <c r="G17" s="320"/>
      <c r="H17" s="320"/>
      <c r="I17" s="320"/>
      <c r="J17" s="320"/>
      <c r="K17" s="320"/>
      <c r="L17" s="146"/>
    </row>
    <row r="18" spans="1:12" ht="24.75" customHeight="1" x14ac:dyDescent="0.25">
      <c r="A18" s="147" t="s">
        <v>17</v>
      </c>
      <c r="B18" s="148"/>
      <c r="C18" s="148" t="s">
        <v>87</v>
      </c>
      <c r="D18" s="149" t="s">
        <v>114</v>
      </c>
      <c r="E18" s="150"/>
      <c r="F18" s="150"/>
      <c r="G18" s="150"/>
      <c r="H18" s="150"/>
      <c r="I18" s="150"/>
      <c r="J18" s="150"/>
      <c r="K18" s="150"/>
      <c r="L18" s="150"/>
    </row>
    <row r="19" spans="1:12" ht="27" customHeight="1" thickBot="1" x14ac:dyDescent="0.3">
      <c r="A19" s="152" t="s">
        <v>18</v>
      </c>
      <c r="B19" s="119"/>
      <c r="C19" s="153" t="s">
        <v>88</v>
      </c>
      <c r="D19" s="156" t="s">
        <v>115</v>
      </c>
      <c r="E19" s="154"/>
      <c r="F19" s="154"/>
      <c r="G19" s="154"/>
      <c r="H19" s="154"/>
      <c r="I19" s="154"/>
      <c r="J19" s="154"/>
      <c r="K19" s="154"/>
      <c r="L19" s="154"/>
    </row>
    <row r="20" spans="1:12" ht="15.75" thickBot="1" x14ac:dyDescent="0.3">
      <c r="A20" s="320" t="s">
        <v>116</v>
      </c>
      <c r="B20" s="320"/>
      <c r="C20" s="320"/>
      <c r="D20" s="320"/>
      <c r="E20" s="320"/>
      <c r="F20" s="320"/>
      <c r="G20" s="320"/>
      <c r="H20" s="320"/>
      <c r="I20" s="320"/>
      <c r="J20" s="320"/>
      <c r="K20" s="320"/>
      <c r="L20" s="146"/>
    </row>
    <row r="21" spans="1:12" ht="22.5" customHeight="1" x14ac:dyDescent="0.25">
      <c r="A21" s="147" t="s">
        <v>17</v>
      </c>
      <c r="B21" s="148"/>
      <c r="C21" s="148" t="s">
        <v>19</v>
      </c>
      <c r="D21" s="149"/>
      <c r="E21" s="150"/>
      <c r="F21" s="150"/>
      <c r="G21" s="319" t="s">
        <v>17</v>
      </c>
      <c r="H21" s="318"/>
      <c r="I21" s="151"/>
      <c r="J21" s="318" t="s">
        <v>19</v>
      </c>
      <c r="K21" s="318"/>
      <c r="L21" s="149"/>
    </row>
    <row r="22" spans="1:12" ht="24" customHeight="1" thickBot="1" x14ac:dyDescent="0.3">
      <c r="A22" s="152" t="s">
        <v>18</v>
      </c>
      <c r="B22" s="119"/>
      <c r="C22" s="153" t="s">
        <v>20</v>
      </c>
      <c r="D22" s="109"/>
      <c r="E22" s="154"/>
      <c r="F22" s="154"/>
      <c r="G22" s="321" t="s">
        <v>18</v>
      </c>
      <c r="H22" s="322"/>
      <c r="I22" s="155"/>
      <c r="J22" s="322" t="s">
        <v>20</v>
      </c>
      <c r="K22" s="322"/>
      <c r="L22" s="109"/>
    </row>
    <row r="23" spans="1:12" ht="7.5" customHeight="1" thickBot="1" x14ac:dyDescent="0.3">
      <c r="A23" s="154"/>
      <c r="B23" s="154"/>
      <c r="C23" s="154"/>
      <c r="D23" s="154"/>
      <c r="E23" s="154"/>
      <c r="F23" s="154"/>
      <c r="G23" s="157"/>
      <c r="H23" s="157"/>
      <c r="I23" s="157"/>
      <c r="J23" s="157"/>
      <c r="K23" s="157"/>
      <c r="L23" s="154"/>
    </row>
    <row r="24" spans="1:12" ht="23.25" customHeight="1" x14ac:dyDescent="0.25">
      <c r="A24" s="147" t="s">
        <v>17</v>
      </c>
      <c r="B24" s="148"/>
      <c r="C24" s="148" t="s">
        <v>19</v>
      </c>
      <c r="D24" s="149"/>
      <c r="E24" s="150"/>
      <c r="F24" s="150"/>
      <c r="G24" s="319" t="s">
        <v>17</v>
      </c>
      <c r="H24" s="318"/>
      <c r="I24" s="151"/>
      <c r="J24" s="318" t="s">
        <v>19</v>
      </c>
      <c r="K24" s="318"/>
      <c r="L24" s="149"/>
    </row>
    <row r="25" spans="1:12" ht="23.25" customHeight="1" thickBot="1" x14ac:dyDescent="0.3">
      <c r="A25" s="152" t="s">
        <v>18</v>
      </c>
      <c r="B25" s="119"/>
      <c r="C25" s="153" t="s">
        <v>20</v>
      </c>
      <c r="D25" s="109"/>
      <c r="E25" s="154"/>
      <c r="F25" s="154"/>
      <c r="G25" s="321" t="s">
        <v>18</v>
      </c>
      <c r="H25" s="322"/>
      <c r="I25" s="155"/>
      <c r="J25" s="322" t="s">
        <v>20</v>
      </c>
      <c r="K25" s="322"/>
      <c r="L25" s="109"/>
    </row>
    <row r="26" spans="1:12" ht="15.75" thickBot="1" x14ac:dyDescent="0.3">
      <c r="A26" s="320" t="s">
        <v>117</v>
      </c>
      <c r="B26" s="320"/>
      <c r="C26" s="320"/>
      <c r="D26" s="320"/>
      <c r="E26" s="320"/>
      <c r="F26" s="320"/>
      <c r="G26" s="320"/>
      <c r="H26" s="320"/>
      <c r="I26" s="320"/>
      <c r="J26" s="320"/>
      <c r="K26" s="320"/>
      <c r="L26" s="146"/>
    </row>
    <row r="27" spans="1:12" ht="25.5" customHeight="1" x14ac:dyDescent="0.25">
      <c r="A27" s="147" t="s">
        <v>17</v>
      </c>
      <c r="B27" s="148"/>
      <c r="C27" s="148" t="s">
        <v>87</v>
      </c>
      <c r="D27" s="149" t="s">
        <v>118</v>
      </c>
      <c r="E27" s="150"/>
      <c r="F27" s="150"/>
      <c r="G27" s="150"/>
      <c r="H27" s="150"/>
      <c r="I27" s="150"/>
      <c r="J27" s="150"/>
      <c r="K27" s="150"/>
      <c r="L27" s="150"/>
    </row>
    <row r="28" spans="1:12" ht="25.5" customHeight="1" thickBot="1" x14ac:dyDescent="0.3">
      <c r="A28" s="152" t="s">
        <v>18</v>
      </c>
      <c r="B28" s="119"/>
      <c r="C28" s="153" t="s">
        <v>88</v>
      </c>
      <c r="D28" s="158" t="s">
        <v>119</v>
      </c>
      <c r="E28" s="154"/>
      <c r="F28" s="154"/>
      <c r="G28" s="154"/>
      <c r="H28" s="154"/>
      <c r="I28" s="154"/>
      <c r="J28" s="154"/>
      <c r="K28" s="154"/>
      <c r="L28" s="154"/>
    </row>
    <row r="29" spans="1:12" ht="15.75" thickBot="1" x14ac:dyDescent="0.3">
      <c r="A29" s="320" t="s">
        <v>120</v>
      </c>
      <c r="B29" s="320"/>
      <c r="C29" s="320"/>
      <c r="D29" s="320"/>
      <c r="E29" s="320"/>
      <c r="F29" s="320"/>
      <c r="G29" s="320"/>
      <c r="H29" s="320"/>
      <c r="I29" s="320"/>
      <c r="J29" s="320"/>
      <c r="K29" s="320"/>
      <c r="L29" s="146"/>
    </row>
    <row r="30" spans="1:12" ht="25.5" customHeight="1" x14ac:dyDescent="0.25">
      <c r="A30" s="147" t="s">
        <v>17</v>
      </c>
      <c r="B30" s="148"/>
      <c r="C30" s="148" t="s">
        <v>19</v>
      </c>
      <c r="D30" s="149"/>
      <c r="E30" s="150"/>
      <c r="F30" s="150"/>
      <c r="G30" s="319" t="s">
        <v>17</v>
      </c>
      <c r="H30" s="318"/>
      <c r="I30" s="151"/>
      <c r="J30" s="318" t="s">
        <v>19</v>
      </c>
      <c r="K30" s="318"/>
      <c r="L30" s="149"/>
    </row>
    <row r="31" spans="1:12" ht="24.75" customHeight="1" thickBot="1" x14ac:dyDescent="0.3">
      <c r="A31" s="152" t="s">
        <v>18</v>
      </c>
      <c r="B31" s="119"/>
      <c r="C31" s="153" t="s">
        <v>20</v>
      </c>
      <c r="D31" s="109"/>
      <c r="E31" s="154"/>
      <c r="F31" s="154"/>
      <c r="G31" s="321" t="s">
        <v>18</v>
      </c>
      <c r="H31" s="322"/>
      <c r="I31" s="155"/>
      <c r="J31" s="322" t="s">
        <v>20</v>
      </c>
      <c r="K31" s="322"/>
      <c r="L31" s="109"/>
    </row>
    <row r="32" spans="1:12" ht="6.75" customHeight="1" thickBot="1" x14ac:dyDescent="0.3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</row>
    <row r="33" spans="1:12" ht="21" customHeight="1" x14ac:dyDescent="0.25">
      <c r="A33" s="106">
        <v>12</v>
      </c>
      <c r="B33" s="325">
        <v>44432</v>
      </c>
      <c r="C33" s="325"/>
      <c r="D33" s="284" t="s">
        <v>158</v>
      </c>
      <c r="E33" s="285"/>
      <c r="F33" s="285"/>
      <c r="G33" s="285"/>
      <c r="H33" s="286"/>
      <c r="I33" s="284" t="s">
        <v>121</v>
      </c>
      <c r="J33" s="286"/>
      <c r="K33" s="284" t="s">
        <v>162</v>
      </c>
      <c r="L33" s="326"/>
    </row>
    <row r="34" spans="1:12" ht="20.25" customHeight="1" thickBot="1" x14ac:dyDescent="0.3">
      <c r="A34" s="107" t="s">
        <v>83</v>
      </c>
      <c r="B34" s="283" t="s">
        <v>18</v>
      </c>
      <c r="C34" s="283"/>
      <c r="D34" s="283" t="s">
        <v>84</v>
      </c>
      <c r="E34" s="283"/>
      <c r="F34" s="283"/>
      <c r="G34" s="283"/>
      <c r="H34" s="283"/>
      <c r="I34" s="283" t="s">
        <v>89</v>
      </c>
      <c r="J34" s="283"/>
      <c r="K34" s="283" t="s">
        <v>90</v>
      </c>
      <c r="L34" s="299"/>
    </row>
  </sheetData>
  <mergeCells count="56">
    <mergeCell ref="D15:D16"/>
    <mergeCell ref="B34:C34"/>
    <mergeCell ref="D34:H34"/>
    <mergeCell ref="I34:J34"/>
    <mergeCell ref="K34:L34"/>
    <mergeCell ref="G31:H31"/>
    <mergeCell ref="J31:K31"/>
    <mergeCell ref="B33:C33"/>
    <mergeCell ref="D33:H33"/>
    <mergeCell ref="I33:J33"/>
    <mergeCell ref="K33:L33"/>
    <mergeCell ref="G25:H25"/>
    <mergeCell ref="J25:K25"/>
    <mergeCell ref="A26:K26"/>
    <mergeCell ref="A29:K29"/>
    <mergeCell ref="G30:H30"/>
    <mergeCell ref="J30:K30"/>
    <mergeCell ref="G24:H24"/>
    <mergeCell ref="J24:K24"/>
    <mergeCell ref="A12:K12"/>
    <mergeCell ref="A17:K17"/>
    <mergeCell ref="A20:K20"/>
    <mergeCell ref="G21:H21"/>
    <mergeCell ref="J21:K21"/>
    <mergeCell ref="G22:H22"/>
    <mergeCell ref="J22:K22"/>
    <mergeCell ref="A13:A14"/>
    <mergeCell ref="B13:B14"/>
    <mergeCell ref="C13:C14"/>
    <mergeCell ref="A15:A16"/>
    <mergeCell ref="B15:B16"/>
    <mergeCell ref="C15:C16"/>
    <mergeCell ref="D13:D14"/>
    <mergeCell ref="G11:L11"/>
    <mergeCell ref="A1:B1"/>
    <mergeCell ref="C1:I1"/>
    <mergeCell ref="J1:L1"/>
    <mergeCell ref="A2:C2"/>
    <mergeCell ref="A3:B4"/>
    <mergeCell ref="C3:D3"/>
    <mergeCell ref="E3:F3"/>
    <mergeCell ref="I3:J3"/>
    <mergeCell ref="K3:L3"/>
    <mergeCell ref="A5:B5"/>
    <mergeCell ref="A6:B6"/>
    <mergeCell ref="A7:B7"/>
    <mergeCell ref="A9:B9"/>
    <mergeCell ref="A11:D11"/>
    <mergeCell ref="G13:H14"/>
    <mergeCell ref="I13:I14"/>
    <mergeCell ref="J13:K14"/>
    <mergeCell ref="L13:L14"/>
    <mergeCell ref="G15:H16"/>
    <mergeCell ref="I15:I16"/>
    <mergeCell ref="J15:K16"/>
    <mergeCell ref="L15:L16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>
    <pageSetUpPr fitToPage="1"/>
  </sheetPr>
  <dimension ref="A1:U94"/>
  <sheetViews>
    <sheetView tabSelected="1" topLeftCell="A3" zoomScale="82" zoomScaleNormal="82" workbookViewId="0">
      <selection activeCell="B2" sqref="B2:Q46"/>
    </sheetView>
  </sheetViews>
  <sheetFormatPr defaultColWidth="0" defaultRowHeight="0" customHeight="1" zeroHeight="1" x14ac:dyDescent="0.25"/>
  <cols>
    <col min="1" max="1" width="0.85546875" style="1" customWidth="1"/>
    <col min="2" max="2" width="11.7109375" style="1" customWidth="1"/>
    <col min="3" max="3" width="14.7109375" style="1" customWidth="1"/>
    <col min="4" max="11" width="11.7109375" style="1" customWidth="1"/>
    <col min="12" max="12" width="12.5703125" style="1" customWidth="1"/>
    <col min="13" max="16" width="11.7109375" style="1" customWidth="1"/>
    <col min="17" max="17" width="12.5703125" style="1" customWidth="1"/>
    <col min="18" max="18" width="0.85546875" style="1" customWidth="1"/>
    <col min="19" max="21" width="0" style="1" hidden="1" customWidth="1"/>
    <col min="22" max="16384" width="9.140625" style="1" hidden="1"/>
  </cols>
  <sheetData>
    <row r="1" spans="2:17" ht="4.5" customHeight="1" thickBot="1" x14ac:dyDescent="0.3"/>
    <row r="2" spans="2:17" ht="33.75" customHeight="1" thickBot="1" x14ac:dyDescent="0.3">
      <c r="B2" s="270" t="s">
        <v>0</v>
      </c>
      <c r="C2" s="367"/>
      <c r="D2" s="357" t="s">
        <v>13</v>
      </c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9"/>
      <c r="P2" s="274" t="s">
        <v>15</v>
      </c>
      <c r="Q2" s="275"/>
    </row>
    <row r="3" spans="2:17" ht="4.5" customHeight="1" x14ac:dyDescent="0.25"/>
    <row r="4" spans="2:17" ht="14.25" customHeight="1" x14ac:dyDescent="0.25">
      <c r="B4" s="361" t="s">
        <v>30</v>
      </c>
      <c r="C4" s="361"/>
      <c r="D4" s="362" t="s">
        <v>164</v>
      </c>
      <c r="E4" s="362"/>
      <c r="F4" s="362"/>
      <c r="G4" s="362"/>
      <c r="H4" s="362"/>
      <c r="I4" s="362"/>
      <c r="J4" s="361" t="s">
        <v>12</v>
      </c>
      <c r="K4" s="361"/>
      <c r="L4" s="369" t="s">
        <v>163</v>
      </c>
      <c r="M4" s="369"/>
      <c r="N4" s="368" t="s">
        <v>10</v>
      </c>
      <c r="O4" s="368"/>
      <c r="P4" s="360">
        <v>44441</v>
      </c>
      <c r="Q4" s="360"/>
    </row>
    <row r="5" spans="2:17" ht="14.25" customHeight="1" x14ac:dyDescent="0.25">
      <c r="B5" s="403" t="s">
        <v>1</v>
      </c>
      <c r="C5" s="403"/>
      <c r="D5" s="29">
        <v>20800</v>
      </c>
      <c r="E5" s="28" t="s">
        <v>21</v>
      </c>
      <c r="F5" s="362" t="s">
        <v>165</v>
      </c>
      <c r="G5" s="362"/>
      <c r="H5" s="361" t="s">
        <v>9</v>
      </c>
      <c r="I5" s="361"/>
      <c r="J5" s="362"/>
      <c r="K5" s="362"/>
      <c r="O5" s="366" t="s">
        <v>40</v>
      </c>
      <c r="P5" s="366"/>
      <c r="Q5" s="66">
        <v>1</v>
      </c>
    </row>
    <row r="6" spans="2:17" ht="4.5" customHeight="1" thickBot="1" x14ac:dyDescent="0.3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</row>
    <row r="7" spans="2:17" ht="14.25" customHeight="1" thickBot="1" x14ac:dyDescent="0.3">
      <c r="B7" s="277"/>
      <c r="C7" s="406"/>
      <c r="D7" s="370" t="s">
        <v>31</v>
      </c>
      <c r="E7" s="371"/>
      <c r="F7" s="371"/>
      <c r="G7" s="370" t="s">
        <v>33</v>
      </c>
      <c r="H7" s="371"/>
      <c r="I7" s="371"/>
      <c r="J7" s="363" t="s">
        <v>34</v>
      </c>
      <c r="K7" s="364"/>
      <c r="L7" s="363" t="s">
        <v>35</v>
      </c>
      <c r="M7" s="364"/>
      <c r="N7" s="363" t="s">
        <v>36</v>
      </c>
      <c r="O7" s="364"/>
      <c r="P7" s="365" t="s">
        <v>37</v>
      </c>
      <c r="Q7" s="364"/>
    </row>
    <row r="8" spans="2:17" ht="14.25" customHeight="1" thickBot="1" x14ac:dyDescent="0.3">
      <c r="B8" s="277" t="s">
        <v>127</v>
      </c>
      <c r="C8" s="406"/>
      <c r="D8" s="32" t="s">
        <v>22</v>
      </c>
      <c r="E8" s="30" t="s">
        <v>3</v>
      </c>
      <c r="F8" s="34" t="s">
        <v>32</v>
      </c>
      <c r="G8" s="254" t="s">
        <v>22</v>
      </c>
      <c r="H8" s="255" t="s">
        <v>3</v>
      </c>
      <c r="I8" s="256" t="s">
        <v>32</v>
      </c>
      <c r="J8" s="44" t="s">
        <v>38</v>
      </c>
      <c r="K8" s="45" t="s">
        <v>39</v>
      </c>
      <c r="L8" s="44" t="s">
        <v>38</v>
      </c>
      <c r="M8" s="45" t="s">
        <v>39</v>
      </c>
      <c r="N8" s="44" t="s">
        <v>38</v>
      </c>
      <c r="O8" s="45" t="s">
        <v>39</v>
      </c>
      <c r="P8" s="48" t="s">
        <v>38</v>
      </c>
      <c r="Q8" s="45" t="s">
        <v>39</v>
      </c>
    </row>
    <row r="9" spans="2:17" ht="14.25" customHeight="1" x14ac:dyDescent="0.25">
      <c r="B9" s="404" t="s">
        <v>166</v>
      </c>
      <c r="C9" s="405"/>
      <c r="D9" s="33">
        <v>104</v>
      </c>
      <c r="E9" s="31">
        <v>200</v>
      </c>
      <c r="F9" s="41">
        <f t="shared" ref="F9:F18" si="0">(D9*E9)</f>
        <v>20800</v>
      </c>
      <c r="G9" s="257">
        <v>104</v>
      </c>
      <c r="H9" s="258">
        <v>200</v>
      </c>
      <c r="I9" s="259">
        <f>(G9*H9)</f>
        <v>20800</v>
      </c>
      <c r="J9" s="46">
        <v>20800</v>
      </c>
      <c r="K9" s="47">
        <v>20800</v>
      </c>
      <c r="L9" s="46" t="str">
        <f t="shared" ref="L9:L18" si="1">IF($Q$5&gt;1,F9/$Q$5,"")</f>
        <v/>
      </c>
      <c r="M9" s="47" t="str">
        <f>IF($Q$5&gt;1,I9/$Q$5,"")</f>
        <v/>
      </c>
      <c r="N9" s="46" t="str">
        <f t="shared" ref="N9:N18" si="2">IF($Q$5&gt;2,F9/$Q$5,"")</f>
        <v/>
      </c>
      <c r="O9" s="47" t="str">
        <f>IF($Q$5&gt;2,I9/$Q$5,"")</f>
        <v/>
      </c>
      <c r="P9" s="49" t="str">
        <f t="shared" ref="P9:P18" si="3">IF($Q$5&gt;3,F9/$Q$5,"")</f>
        <v/>
      </c>
      <c r="Q9" s="47" t="str">
        <f>IF($Q$5&gt;3,I9/$Q$5,"")</f>
        <v/>
      </c>
    </row>
    <row r="10" spans="2:17" ht="14.25" customHeight="1" x14ac:dyDescent="0.25">
      <c r="B10" s="399"/>
      <c r="C10" s="400"/>
      <c r="D10" s="33"/>
      <c r="E10" s="31"/>
      <c r="F10" s="41">
        <f t="shared" si="0"/>
        <v>0</v>
      </c>
      <c r="G10" s="33"/>
      <c r="H10" s="260"/>
      <c r="I10" s="261">
        <f t="shared" ref="I10:I18" si="4">(G10*H10)</f>
        <v>0</v>
      </c>
      <c r="J10" s="46"/>
      <c r="K10" s="47"/>
      <c r="L10" s="46" t="str">
        <f t="shared" si="1"/>
        <v/>
      </c>
      <c r="M10" s="47" t="str">
        <f t="shared" ref="M10:M18" si="5">IF($Q$5&gt;1,I10/$Q$5,"")</f>
        <v/>
      </c>
      <c r="N10" s="46" t="str">
        <f t="shared" si="2"/>
        <v/>
      </c>
      <c r="O10" s="47" t="str">
        <f t="shared" ref="O10:O18" si="6">IF($Q$5&gt;2,I10/$Q$5,"")</f>
        <v/>
      </c>
      <c r="P10" s="49" t="str">
        <f t="shared" si="3"/>
        <v/>
      </c>
      <c r="Q10" s="47" t="str">
        <f t="shared" ref="Q10:Q18" si="7">IF($Q$5&gt;3,I10/$Q$5,"")</f>
        <v/>
      </c>
    </row>
    <row r="11" spans="2:17" ht="14.25" customHeight="1" x14ac:dyDescent="0.25">
      <c r="B11" s="399"/>
      <c r="C11" s="400"/>
      <c r="D11" s="33"/>
      <c r="E11" s="31"/>
      <c r="F11" s="41">
        <f t="shared" si="0"/>
        <v>0</v>
      </c>
      <c r="G11" s="33"/>
      <c r="H11" s="260"/>
      <c r="I11" s="261">
        <f t="shared" si="4"/>
        <v>0</v>
      </c>
      <c r="J11" s="46"/>
      <c r="K11" s="47"/>
      <c r="L11" s="46" t="str">
        <f t="shared" si="1"/>
        <v/>
      </c>
      <c r="M11" s="47" t="str">
        <f t="shared" si="5"/>
        <v/>
      </c>
      <c r="N11" s="46" t="str">
        <f t="shared" si="2"/>
        <v/>
      </c>
      <c r="O11" s="47" t="str">
        <f t="shared" si="6"/>
        <v/>
      </c>
      <c r="P11" s="49" t="str">
        <f t="shared" si="3"/>
        <v/>
      </c>
      <c r="Q11" s="47" t="str">
        <f t="shared" si="7"/>
        <v/>
      </c>
    </row>
    <row r="12" spans="2:17" ht="14.25" customHeight="1" x14ac:dyDescent="0.25">
      <c r="B12" s="399"/>
      <c r="C12" s="400"/>
      <c r="D12" s="33"/>
      <c r="E12" s="31"/>
      <c r="F12" s="41">
        <f t="shared" si="0"/>
        <v>0</v>
      </c>
      <c r="G12" s="33"/>
      <c r="H12" s="260"/>
      <c r="I12" s="261">
        <f t="shared" si="4"/>
        <v>0</v>
      </c>
      <c r="J12" s="46"/>
      <c r="K12" s="47"/>
      <c r="L12" s="46" t="str">
        <f t="shared" si="1"/>
        <v/>
      </c>
      <c r="M12" s="47" t="str">
        <f t="shared" si="5"/>
        <v/>
      </c>
      <c r="N12" s="46" t="str">
        <f t="shared" si="2"/>
        <v/>
      </c>
      <c r="O12" s="47" t="str">
        <f t="shared" si="6"/>
        <v/>
      </c>
      <c r="P12" s="49" t="str">
        <f t="shared" si="3"/>
        <v/>
      </c>
      <c r="Q12" s="47" t="str">
        <f t="shared" si="7"/>
        <v/>
      </c>
    </row>
    <row r="13" spans="2:17" ht="14.25" customHeight="1" x14ac:dyDescent="0.25">
      <c r="B13" s="399"/>
      <c r="C13" s="400"/>
      <c r="D13" s="33"/>
      <c r="E13" s="31"/>
      <c r="F13" s="41">
        <f t="shared" si="0"/>
        <v>0</v>
      </c>
      <c r="G13" s="33"/>
      <c r="H13" s="260"/>
      <c r="I13" s="261">
        <f t="shared" si="4"/>
        <v>0</v>
      </c>
      <c r="J13" s="46"/>
      <c r="K13" s="47"/>
      <c r="L13" s="46" t="str">
        <f t="shared" si="1"/>
        <v/>
      </c>
      <c r="M13" s="47" t="str">
        <f t="shared" si="5"/>
        <v/>
      </c>
      <c r="N13" s="46" t="str">
        <f t="shared" si="2"/>
        <v/>
      </c>
      <c r="O13" s="47" t="str">
        <f t="shared" si="6"/>
        <v/>
      </c>
      <c r="P13" s="49" t="str">
        <f t="shared" si="3"/>
        <v/>
      </c>
      <c r="Q13" s="47" t="str">
        <f t="shared" si="7"/>
        <v/>
      </c>
    </row>
    <row r="14" spans="2:17" ht="14.25" customHeight="1" x14ac:dyDescent="0.25">
      <c r="B14" s="399"/>
      <c r="C14" s="400"/>
      <c r="D14" s="33"/>
      <c r="E14" s="31"/>
      <c r="F14" s="41">
        <f t="shared" si="0"/>
        <v>0</v>
      </c>
      <c r="G14" s="33"/>
      <c r="H14" s="260"/>
      <c r="I14" s="261">
        <f t="shared" si="4"/>
        <v>0</v>
      </c>
      <c r="J14" s="46">
        <f t="shared" ref="J14:J18" si="8">IF($Q$5=0,"",(F14/$Q$5))</f>
        <v>0</v>
      </c>
      <c r="K14" s="47">
        <f t="shared" ref="K14:K18" si="9">IF($Q$5=0,"",(I14/$Q$5))</f>
        <v>0</v>
      </c>
      <c r="L14" s="46" t="str">
        <f t="shared" si="1"/>
        <v/>
      </c>
      <c r="M14" s="47" t="str">
        <f t="shared" si="5"/>
        <v/>
      </c>
      <c r="N14" s="46" t="str">
        <f t="shared" si="2"/>
        <v/>
      </c>
      <c r="O14" s="47" t="str">
        <f t="shared" si="6"/>
        <v/>
      </c>
      <c r="P14" s="49" t="str">
        <f t="shared" si="3"/>
        <v/>
      </c>
      <c r="Q14" s="47" t="str">
        <f t="shared" si="7"/>
        <v/>
      </c>
    </row>
    <row r="15" spans="2:17" ht="14.25" customHeight="1" x14ac:dyDescent="0.25">
      <c r="B15" s="399"/>
      <c r="C15" s="400"/>
      <c r="D15" s="33"/>
      <c r="E15" s="31"/>
      <c r="F15" s="41">
        <f t="shared" si="0"/>
        <v>0</v>
      </c>
      <c r="G15" s="33"/>
      <c r="H15" s="260"/>
      <c r="I15" s="261">
        <f t="shared" si="4"/>
        <v>0</v>
      </c>
      <c r="J15" s="46">
        <f t="shared" si="8"/>
        <v>0</v>
      </c>
      <c r="K15" s="47">
        <f t="shared" si="9"/>
        <v>0</v>
      </c>
      <c r="L15" s="46" t="str">
        <f t="shared" si="1"/>
        <v/>
      </c>
      <c r="M15" s="47" t="str">
        <f t="shared" si="5"/>
        <v/>
      </c>
      <c r="N15" s="46" t="str">
        <f t="shared" si="2"/>
        <v/>
      </c>
      <c r="O15" s="47" t="str">
        <f t="shared" si="6"/>
        <v/>
      </c>
      <c r="P15" s="49" t="str">
        <f t="shared" si="3"/>
        <v/>
      </c>
      <c r="Q15" s="47" t="str">
        <f t="shared" si="7"/>
        <v/>
      </c>
    </row>
    <row r="16" spans="2:17" ht="14.25" customHeight="1" x14ac:dyDescent="0.25">
      <c r="B16" s="399"/>
      <c r="C16" s="400"/>
      <c r="D16" s="33"/>
      <c r="E16" s="31"/>
      <c r="F16" s="41">
        <f t="shared" si="0"/>
        <v>0</v>
      </c>
      <c r="G16" s="33"/>
      <c r="H16" s="260"/>
      <c r="I16" s="261">
        <f t="shared" si="4"/>
        <v>0</v>
      </c>
      <c r="J16" s="46">
        <f t="shared" si="8"/>
        <v>0</v>
      </c>
      <c r="K16" s="47">
        <f t="shared" si="9"/>
        <v>0</v>
      </c>
      <c r="L16" s="46" t="str">
        <f t="shared" si="1"/>
        <v/>
      </c>
      <c r="M16" s="47" t="str">
        <f t="shared" si="5"/>
        <v/>
      </c>
      <c r="N16" s="46" t="str">
        <f t="shared" si="2"/>
        <v/>
      </c>
      <c r="O16" s="47" t="str">
        <f t="shared" si="6"/>
        <v/>
      </c>
      <c r="P16" s="49" t="str">
        <f t="shared" si="3"/>
        <v/>
      </c>
      <c r="Q16" s="47" t="str">
        <f t="shared" si="7"/>
        <v/>
      </c>
    </row>
    <row r="17" spans="2:17" ht="14.25" customHeight="1" x14ac:dyDescent="0.25">
      <c r="B17" s="399"/>
      <c r="C17" s="400"/>
      <c r="D17" s="33"/>
      <c r="E17" s="31"/>
      <c r="F17" s="41">
        <f t="shared" si="0"/>
        <v>0</v>
      </c>
      <c r="G17" s="33"/>
      <c r="H17" s="260"/>
      <c r="I17" s="261">
        <f t="shared" si="4"/>
        <v>0</v>
      </c>
      <c r="J17" s="46">
        <f t="shared" si="8"/>
        <v>0</v>
      </c>
      <c r="K17" s="47">
        <f t="shared" si="9"/>
        <v>0</v>
      </c>
      <c r="L17" s="46" t="str">
        <f t="shared" si="1"/>
        <v/>
      </c>
      <c r="M17" s="47" t="str">
        <f t="shared" si="5"/>
        <v/>
      </c>
      <c r="N17" s="46" t="str">
        <f t="shared" si="2"/>
        <v/>
      </c>
      <c r="O17" s="47" t="str">
        <f t="shared" si="6"/>
        <v/>
      </c>
      <c r="P17" s="49" t="str">
        <f t="shared" si="3"/>
        <v/>
      </c>
      <c r="Q17" s="47" t="str">
        <f t="shared" si="7"/>
        <v/>
      </c>
    </row>
    <row r="18" spans="2:17" ht="14.25" customHeight="1" thickBot="1" x14ac:dyDescent="0.3">
      <c r="B18" s="401"/>
      <c r="C18" s="402"/>
      <c r="D18" s="50"/>
      <c r="E18" s="51"/>
      <c r="F18" s="52">
        <f t="shared" si="0"/>
        <v>0</v>
      </c>
      <c r="G18" s="262"/>
      <c r="H18" s="263"/>
      <c r="I18" s="264">
        <f t="shared" si="4"/>
        <v>0</v>
      </c>
      <c r="J18" s="46">
        <f t="shared" si="8"/>
        <v>0</v>
      </c>
      <c r="K18" s="47">
        <f t="shared" si="9"/>
        <v>0</v>
      </c>
      <c r="L18" s="53" t="str">
        <f t="shared" si="1"/>
        <v/>
      </c>
      <c r="M18" s="54" t="str">
        <f t="shared" si="5"/>
        <v/>
      </c>
      <c r="N18" s="53" t="str">
        <f t="shared" si="2"/>
        <v/>
      </c>
      <c r="O18" s="54" t="str">
        <f t="shared" si="6"/>
        <v/>
      </c>
      <c r="P18" s="55" t="str">
        <f t="shared" si="3"/>
        <v/>
      </c>
      <c r="Q18" s="54" t="str">
        <f t="shared" si="7"/>
        <v/>
      </c>
    </row>
    <row r="19" spans="2:17" ht="14.25" customHeight="1" thickBot="1" x14ac:dyDescent="0.3">
      <c r="B19" s="377" t="s">
        <v>41</v>
      </c>
      <c r="C19" s="378"/>
      <c r="D19" s="56">
        <f>SUM(D9:D18)</f>
        <v>104</v>
      </c>
      <c r="E19" s="57">
        <f>SUM(E9:E18)</f>
        <v>200</v>
      </c>
      <c r="F19" s="59">
        <f>SUM(F9:F18)</f>
        <v>20800</v>
      </c>
      <c r="G19" s="56">
        <f>SUM(G9:G18)</f>
        <v>104</v>
      </c>
      <c r="H19" s="57">
        <f>SUM(H9:H18)</f>
        <v>200</v>
      </c>
      <c r="I19" s="58">
        <f>SUM(I9:I18)</f>
        <v>20800</v>
      </c>
      <c r="J19" s="60">
        <f>SUM(J9:J18)</f>
        <v>20800</v>
      </c>
      <c r="K19" s="59">
        <f>SUM(K9:K18)</f>
        <v>20800</v>
      </c>
      <c r="L19" s="56">
        <f>SUM(L9:L18)</f>
        <v>0</v>
      </c>
      <c r="M19" s="58">
        <f>SUM(M9:M18)</f>
        <v>0</v>
      </c>
      <c r="N19" s="60">
        <f>SUM(N9:N18)</f>
        <v>0</v>
      </c>
      <c r="O19" s="59">
        <f>SUM(O9:O18)</f>
        <v>0</v>
      </c>
      <c r="P19" s="56">
        <f>SUM(P9:P18)</f>
        <v>0</v>
      </c>
      <c r="Q19" s="58">
        <f>SUM(Q9:Q18)</f>
        <v>0</v>
      </c>
    </row>
    <row r="20" spans="2:17" ht="4.5" customHeight="1" x14ac:dyDescent="0.25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</row>
    <row r="21" spans="2:17" ht="17.25" customHeight="1" x14ac:dyDescent="0.25">
      <c r="B21" s="61" t="s">
        <v>4</v>
      </c>
      <c r="C21" s="12"/>
      <c r="D21" s="75"/>
      <c r="E21" s="379" t="s">
        <v>66</v>
      </c>
      <c r="F21" s="379"/>
      <c r="G21" s="379"/>
      <c r="H21" s="379" t="s">
        <v>51</v>
      </c>
      <c r="I21" s="379"/>
      <c r="J21" s="379"/>
      <c r="K21" s="379"/>
      <c r="L21" s="393"/>
      <c r="M21" s="394"/>
      <c r="N21" s="379" t="s">
        <v>52</v>
      </c>
      <c r="O21" s="379"/>
      <c r="P21" s="67"/>
      <c r="Q21" s="62" t="s">
        <v>67</v>
      </c>
    </row>
    <row r="22" spans="2:17" ht="3" customHeight="1" x14ac:dyDescent="0.25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</row>
    <row r="23" spans="2:17" ht="14.25" customHeight="1" x14ac:dyDescent="0.25">
      <c r="B23" s="407" t="s">
        <v>45</v>
      </c>
      <c r="C23" s="407"/>
      <c r="D23" s="407"/>
      <c r="E23" s="407"/>
      <c r="F23" s="407"/>
      <c r="G23" s="407"/>
      <c r="H23" s="407"/>
      <c r="I23" s="407"/>
      <c r="J23" s="407"/>
      <c r="K23" s="407"/>
      <c r="L23" s="407"/>
      <c r="M23" s="407"/>
      <c r="N23" s="407"/>
      <c r="O23" s="407"/>
      <c r="P23" s="407"/>
      <c r="Q23" s="407"/>
    </row>
    <row r="24" spans="2:17" ht="14.25" customHeight="1" x14ac:dyDescent="0.25">
      <c r="B24" s="379" t="s">
        <v>128</v>
      </c>
      <c r="C24" s="379"/>
      <c r="D24" s="380" t="s">
        <v>155</v>
      </c>
      <c r="E24" s="380"/>
      <c r="F24" s="61" t="s">
        <v>42</v>
      </c>
      <c r="G24" s="63">
        <v>200</v>
      </c>
      <c r="H24" s="381" t="s">
        <v>43</v>
      </c>
      <c r="I24" s="381"/>
      <c r="J24" s="381"/>
      <c r="K24" s="61" t="s">
        <v>44</v>
      </c>
      <c r="L24" s="64"/>
      <c r="M24" s="62" t="s">
        <v>68</v>
      </c>
      <c r="N24" s="61" t="s">
        <v>46</v>
      </c>
      <c r="O24" s="88"/>
      <c r="P24" s="61" t="s">
        <v>46</v>
      </c>
      <c r="Q24" s="89"/>
    </row>
    <row r="25" spans="2:17" s="102" customFormat="1" ht="29.25" customHeight="1" x14ac:dyDescent="0.25">
      <c r="B25" s="415" t="s">
        <v>129</v>
      </c>
      <c r="C25" s="416"/>
      <c r="D25" s="213"/>
      <c r="E25" s="213"/>
      <c r="F25" s="169"/>
      <c r="G25" s="214"/>
      <c r="H25" s="215"/>
      <c r="I25" s="215"/>
      <c r="J25" s="215"/>
      <c r="K25" s="169"/>
      <c r="L25" s="216"/>
      <c r="M25" s="217" t="s">
        <v>130</v>
      </c>
      <c r="N25" s="169"/>
      <c r="O25" s="218"/>
      <c r="P25" s="169"/>
      <c r="Q25" s="219"/>
    </row>
    <row r="26" spans="2:17" ht="14.25" customHeight="1" x14ac:dyDescent="0.25">
      <c r="B26" s="379" t="s">
        <v>47</v>
      </c>
      <c r="C26" s="379"/>
      <c r="D26" s="87">
        <v>1</v>
      </c>
      <c r="E26" s="379" t="s">
        <v>48</v>
      </c>
      <c r="F26" s="379"/>
      <c r="G26" s="379"/>
      <c r="H26" s="397" t="str">
        <f>IF(D24=0,"",(D24))</f>
        <v>FUSTO TRONCO</v>
      </c>
      <c r="I26" s="397"/>
      <c r="J26" s="379" t="s">
        <v>49</v>
      </c>
      <c r="K26" s="379"/>
      <c r="L26" s="379"/>
      <c r="M26" s="90"/>
      <c r="N26" s="62" t="s">
        <v>50</v>
      </c>
      <c r="O26" s="86" t="s">
        <v>156</v>
      </c>
      <c r="P26" s="65" t="s">
        <v>5</v>
      </c>
      <c r="Q26" s="86" t="s">
        <v>157</v>
      </c>
    </row>
    <row r="27" spans="2:17" ht="14.25" customHeight="1" x14ac:dyDescent="0.25">
      <c r="B27" s="379" t="s">
        <v>6</v>
      </c>
      <c r="C27" s="379"/>
      <c r="D27" s="398" t="s">
        <v>154</v>
      </c>
      <c r="E27" s="398"/>
      <c r="F27" s="379" t="s">
        <v>7</v>
      </c>
      <c r="G27" s="379"/>
      <c r="H27" s="397" t="s">
        <v>154</v>
      </c>
      <c r="I27" s="397"/>
      <c r="J27" s="379" t="s">
        <v>8</v>
      </c>
      <c r="K27" s="379"/>
      <c r="L27" s="397"/>
      <c r="M27" s="397"/>
      <c r="N27" s="28"/>
      <c r="O27" s="28"/>
      <c r="P27" s="28"/>
      <c r="Q27" s="28"/>
    </row>
    <row r="28" spans="2:17" ht="4.5" customHeight="1" thickBot="1" x14ac:dyDescent="0.3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 spans="2:17" ht="14.25" customHeight="1" thickBot="1" x14ac:dyDescent="0.3">
      <c r="B29" s="395" t="s">
        <v>53</v>
      </c>
      <c r="C29" s="396"/>
      <c r="D29" s="396"/>
      <c r="E29" s="396"/>
      <c r="F29" s="396"/>
      <c r="G29" s="396"/>
      <c r="H29" s="396"/>
      <c r="I29" s="396"/>
      <c r="J29" s="396"/>
      <c r="K29" s="396"/>
      <c r="L29" s="396"/>
      <c r="M29" s="396"/>
      <c r="N29" s="396"/>
      <c r="O29" s="396"/>
      <c r="P29" s="396"/>
      <c r="Q29" s="280"/>
    </row>
    <row r="30" spans="2:17" ht="14.25" customHeight="1" x14ac:dyDescent="0.25">
      <c r="B30" s="386"/>
      <c r="C30" s="387"/>
      <c r="D30" s="387"/>
      <c r="E30" s="387"/>
      <c r="F30" s="387"/>
      <c r="G30" s="387"/>
      <c r="H30" s="387"/>
      <c r="I30" s="387"/>
      <c r="J30" s="387"/>
      <c r="K30" s="387"/>
      <c r="L30" s="387"/>
      <c r="M30" s="387"/>
      <c r="N30" s="387"/>
      <c r="O30" s="387"/>
      <c r="P30" s="387"/>
      <c r="Q30" s="388"/>
    </row>
    <row r="31" spans="2:17" ht="0.75" customHeight="1" thickBot="1" x14ac:dyDescent="0.3">
      <c r="B31" s="389"/>
      <c r="C31" s="390"/>
      <c r="D31" s="390"/>
      <c r="E31" s="390"/>
      <c r="F31" s="390"/>
      <c r="G31" s="390"/>
      <c r="H31" s="390"/>
      <c r="I31" s="390"/>
      <c r="J31" s="390"/>
      <c r="K31" s="390"/>
      <c r="L31" s="390"/>
      <c r="M31" s="390"/>
      <c r="N31" s="390"/>
      <c r="O31" s="390"/>
      <c r="P31" s="390"/>
      <c r="Q31" s="391"/>
    </row>
    <row r="32" spans="2:17" ht="14.25" customHeight="1" thickBot="1" x14ac:dyDescent="0.3">
      <c r="B32" s="392" t="s">
        <v>54</v>
      </c>
      <c r="C32" s="392"/>
      <c r="D32" s="392"/>
      <c r="E32" s="392"/>
      <c r="F32" s="392"/>
      <c r="G32" s="392"/>
      <c r="H32" s="392"/>
      <c r="I32" s="392"/>
      <c r="J32" s="392"/>
      <c r="K32" s="392"/>
      <c r="L32" s="392"/>
      <c r="M32" s="392"/>
      <c r="N32" s="392"/>
      <c r="O32" s="392"/>
      <c r="P32" s="392"/>
      <c r="Q32" s="392"/>
    </row>
    <row r="33" spans="2:17" ht="18" customHeight="1" x14ac:dyDescent="0.25">
      <c r="B33" s="363" t="s">
        <v>55</v>
      </c>
      <c r="C33" s="382"/>
      <c r="D33" s="364"/>
      <c r="E33" s="412" t="s">
        <v>56</v>
      </c>
      <c r="F33" s="413"/>
      <c r="G33" s="414"/>
      <c r="H33" s="365"/>
      <c r="I33" s="68" t="s">
        <v>18</v>
      </c>
      <c r="J33" s="265"/>
      <c r="K33" s="69" t="s">
        <v>57</v>
      </c>
      <c r="L33" s="69"/>
      <c r="M33" s="69" t="s">
        <v>58</v>
      </c>
      <c r="N33" s="265"/>
      <c r="O33" s="417" t="s">
        <v>159</v>
      </c>
      <c r="P33" s="418"/>
      <c r="Q33" s="266" t="s">
        <v>167</v>
      </c>
    </row>
    <row r="34" spans="2:17" ht="18" customHeight="1" thickBot="1" x14ac:dyDescent="0.3">
      <c r="B34" s="383"/>
      <c r="C34" s="384"/>
      <c r="D34" s="385"/>
      <c r="E34" s="408" t="s">
        <v>59</v>
      </c>
      <c r="F34" s="409"/>
      <c r="G34" s="410"/>
      <c r="H34" s="411"/>
      <c r="I34" s="70" t="s">
        <v>18</v>
      </c>
      <c r="J34" s="267"/>
      <c r="K34" s="71" t="s">
        <v>57</v>
      </c>
      <c r="L34" s="71"/>
      <c r="M34" s="71" t="s">
        <v>58</v>
      </c>
      <c r="N34" s="267"/>
      <c r="O34" s="71"/>
      <c r="P34" s="267"/>
      <c r="Q34" s="268"/>
    </row>
    <row r="35" spans="2:17" ht="4.5" customHeight="1" thickBot="1" x14ac:dyDescent="0.3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</row>
    <row r="36" spans="2:17" ht="18" customHeight="1" x14ac:dyDescent="0.25">
      <c r="B36" s="363" t="s">
        <v>60</v>
      </c>
      <c r="C36" s="382"/>
      <c r="D36" s="364"/>
      <c r="E36" s="421" t="s">
        <v>56</v>
      </c>
      <c r="F36" s="422"/>
      <c r="G36" s="382"/>
      <c r="H36" s="382"/>
      <c r="I36" s="68" t="s">
        <v>18</v>
      </c>
      <c r="J36" s="382"/>
      <c r="K36" s="382"/>
      <c r="L36" s="69" t="s">
        <v>57</v>
      </c>
      <c r="M36" s="382"/>
      <c r="N36" s="382"/>
      <c r="O36" s="69" t="s">
        <v>58</v>
      </c>
      <c r="P36" s="382"/>
      <c r="Q36" s="364"/>
    </row>
    <row r="37" spans="2:17" ht="18" customHeight="1" thickBot="1" x14ac:dyDescent="0.3">
      <c r="B37" s="383"/>
      <c r="C37" s="384"/>
      <c r="D37" s="385"/>
      <c r="E37" s="419" t="s">
        <v>59</v>
      </c>
      <c r="F37" s="420"/>
      <c r="G37" s="384"/>
      <c r="H37" s="384"/>
      <c r="I37" s="70" t="s">
        <v>18</v>
      </c>
      <c r="J37" s="384"/>
      <c r="K37" s="384"/>
      <c r="L37" s="71" t="s">
        <v>57</v>
      </c>
      <c r="M37" s="384"/>
      <c r="N37" s="384"/>
      <c r="O37" s="71" t="s">
        <v>58</v>
      </c>
      <c r="P37" s="384"/>
      <c r="Q37" s="385"/>
    </row>
    <row r="38" spans="2:17" ht="4.5" customHeight="1" thickBot="1" x14ac:dyDescent="0.3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</row>
    <row r="39" spans="2:17" ht="32.25" customHeight="1" x14ac:dyDescent="0.25">
      <c r="B39" s="347" t="s">
        <v>80</v>
      </c>
      <c r="C39" s="348"/>
      <c r="D39" s="114" t="s">
        <v>94</v>
      </c>
      <c r="E39" s="116"/>
      <c r="F39" s="353" t="s">
        <v>95</v>
      </c>
      <c r="G39" s="354"/>
      <c r="H39" s="354"/>
      <c r="I39" s="114" t="s">
        <v>94</v>
      </c>
      <c r="J39" s="338"/>
      <c r="K39" s="339"/>
      <c r="L39" s="118" t="s">
        <v>91</v>
      </c>
      <c r="M39" s="100"/>
      <c r="N39" s="99" t="s">
        <v>62</v>
      </c>
      <c r="O39" s="73" t="s">
        <v>125</v>
      </c>
      <c r="P39" s="329" t="s">
        <v>63</v>
      </c>
      <c r="Q39" s="330"/>
    </row>
    <row r="40" spans="2:17" ht="32.25" customHeight="1" thickBot="1" x14ac:dyDescent="0.3">
      <c r="B40" s="349" t="s">
        <v>81</v>
      </c>
      <c r="C40" s="350"/>
      <c r="D40" s="115" t="s">
        <v>94</v>
      </c>
      <c r="E40" s="117"/>
      <c r="F40" s="355" t="s">
        <v>96</v>
      </c>
      <c r="G40" s="340"/>
      <c r="H40" s="340"/>
      <c r="I40" s="340"/>
      <c r="J40" s="340"/>
      <c r="K40" s="356"/>
      <c r="L40" s="351" t="s">
        <v>64</v>
      </c>
      <c r="M40" s="352"/>
      <c r="N40" s="111"/>
      <c r="O40" s="352" t="s">
        <v>65</v>
      </c>
      <c r="P40" s="352"/>
      <c r="Q40" s="112"/>
    </row>
    <row r="41" spans="2:17" ht="4.5" customHeight="1" thickBot="1" x14ac:dyDescent="0.3">
      <c r="B41" s="2"/>
      <c r="C41" s="2"/>
      <c r="D41" s="2"/>
      <c r="E41" s="2"/>
      <c r="F41" s="2"/>
      <c r="G41" s="2"/>
      <c r="H41" s="2"/>
      <c r="N41" s="2"/>
      <c r="O41" s="2"/>
      <c r="P41" s="2"/>
      <c r="Q41" s="2"/>
    </row>
    <row r="42" spans="2:17" s="102" customFormat="1" ht="32.25" customHeight="1" thickBot="1" x14ac:dyDescent="0.3">
      <c r="B42" s="327" t="s">
        <v>153</v>
      </c>
      <c r="C42" s="328"/>
      <c r="D42" s="99" t="s">
        <v>18</v>
      </c>
      <c r="E42" s="72"/>
      <c r="F42" s="99" t="s">
        <v>61</v>
      </c>
      <c r="G42" s="72"/>
      <c r="H42" s="337" t="s">
        <v>92</v>
      </c>
      <c r="I42" s="337"/>
      <c r="J42" s="338"/>
      <c r="K42" s="339"/>
      <c r="L42" s="333" t="s">
        <v>85</v>
      </c>
      <c r="M42" s="334"/>
      <c r="N42" s="334"/>
      <c r="O42" s="343"/>
      <c r="P42" s="281"/>
      <c r="Q42" s="282"/>
    </row>
    <row r="43" spans="2:17" s="102" customFormat="1" ht="32.25" customHeight="1" thickBot="1" x14ac:dyDescent="0.3">
      <c r="B43" s="331" t="s">
        <v>152</v>
      </c>
      <c r="C43" s="332"/>
      <c r="D43" s="98" t="s">
        <v>18</v>
      </c>
      <c r="E43" s="74"/>
      <c r="F43" s="98" t="s">
        <v>61</v>
      </c>
      <c r="G43" s="74"/>
      <c r="H43" s="340" t="s">
        <v>92</v>
      </c>
      <c r="I43" s="340"/>
      <c r="J43" s="341"/>
      <c r="K43" s="342"/>
      <c r="L43" s="335" t="s">
        <v>93</v>
      </c>
      <c r="M43" s="336"/>
      <c r="N43" s="336"/>
      <c r="O43" s="344"/>
      <c r="P43" s="345"/>
      <c r="Q43" s="346"/>
    </row>
    <row r="44" spans="2:17" s="102" customFormat="1" ht="4.5" customHeight="1" thickBot="1" x14ac:dyDescent="0.3">
      <c r="B44" s="2"/>
      <c r="C44" s="2"/>
      <c r="D44" s="2"/>
      <c r="E44" s="2"/>
      <c r="F44" s="2"/>
      <c r="G44" s="2"/>
      <c r="H44" s="2"/>
      <c r="N44" s="2"/>
      <c r="O44" s="2"/>
      <c r="P44" s="2"/>
      <c r="Q44" s="2"/>
    </row>
    <row r="45" spans="2:17" s="105" customFormat="1" ht="23.25" customHeight="1" x14ac:dyDescent="0.25">
      <c r="B45" s="104">
        <v>16</v>
      </c>
      <c r="C45" s="96">
        <v>44432</v>
      </c>
      <c r="D45" s="373" t="s">
        <v>160</v>
      </c>
      <c r="E45" s="376"/>
      <c r="F45" s="376"/>
      <c r="G45" s="376"/>
      <c r="H45" s="376"/>
      <c r="I45" s="376"/>
      <c r="J45" s="376"/>
      <c r="K45" s="376"/>
      <c r="L45" s="376"/>
      <c r="M45" s="374"/>
      <c r="N45" s="373" t="s">
        <v>151</v>
      </c>
      <c r="O45" s="374"/>
      <c r="P45" s="373" t="s">
        <v>162</v>
      </c>
      <c r="Q45" s="374"/>
    </row>
    <row r="46" spans="2:17" s="113" customFormat="1" ht="18" customHeight="1" thickBot="1" x14ac:dyDescent="0.3">
      <c r="B46" s="103" t="s">
        <v>83</v>
      </c>
      <c r="C46" s="101" t="s">
        <v>18</v>
      </c>
      <c r="D46" s="372" t="s">
        <v>84</v>
      </c>
      <c r="E46" s="375"/>
      <c r="F46" s="375"/>
      <c r="G46" s="375"/>
      <c r="H46" s="375"/>
      <c r="I46" s="375"/>
      <c r="J46" s="375"/>
      <c r="K46" s="375"/>
      <c r="L46" s="375"/>
      <c r="M46" s="351"/>
      <c r="N46" s="372" t="s">
        <v>89</v>
      </c>
      <c r="O46" s="351"/>
      <c r="P46" s="372" t="s">
        <v>90</v>
      </c>
      <c r="Q46" s="351"/>
    </row>
    <row r="47" spans="2:17" ht="4.5" customHeight="1" x14ac:dyDescent="0.25"/>
    <row r="48" spans="2:17" ht="14.25" hidden="1" x14ac:dyDescent="0.25"/>
    <row r="49" ht="14.25" hidden="1" x14ac:dyDescent="0.25"/>
    <row r="50" ht="14.25" hidden="1" x14ac:dyDescent="0.25"/>
    <row r="51" ht="14.25" hidden="1" x14ac:dyDescent="0.25"/>
    <row r="52" ht="14.25" hidden="1" x14ac:dyDescent="0.25"/>
    <row r="53" ht="14.25" hidden="1" x14ac:dyDescent="0.25"/>
    <row r="54" ht="14.25" hidden="1" x14ac:dyDescent="0.25"/>
    <row r="55" ht="14.25" hidden="1" x14ac:dyDescent="0.25"/>
    <row r="56" ht="14.25" hidden="1" x14ac:dyDescent="0.25"/>
    <row r="57" ht="14.25" hidden="1" x14ac:dyDescent="0.25"/>
    <row r="58" ht="14.25" hidden="1" x14ac:dyDescent="0.25"/>
    <row r="59" ht="14.25" hidden="1" x14ac:dyDescent="0.25"/>
    <row r="60" ht="14.25" hidden="1" x14ac:dyDescent="0.25"/>
    <row r="61" ht="14.25" hidden="1" x14ac:dyDescent="0.25"/>
    <row r="62" ht="14.25" hidden="1" x14ac:dyDescent="0.25"/>
    <row r="63" ht="14.25" hidden="1" x14ac:dyDescent="0.25"/>
    <row r="64" ht="14.25" hidden="1" x14ac:dyDescent="0.25"/>
    <row r="65" ht="14.25" hidden="1" x14ac:dyDescent="0.25"/>
    <row r="66" ht="14.25" hidden="1" x14ac:dyDescent="0.25"/>
    <row r="67" ht="14.25" hidden="1" x14ac:dyDescent="0.25"/>
    <row r="68" ht="14.25" hidden="1" x14ac:dyDescent="0.25"/>
    <row r="69" ht="14.25" hidden="1" x14ac:dyDescent="0.25"/>
    <row r="70" ht="14.25" hidden="1" x14ac:dyDescent="0.25"/>
    <row r="71" ht="14.25" hidden="1" x14ac:dyDescent="0.25"/>
    <row r="72" ht="14.25" hidden="1" x14ac:dyDescent="0.25"/>
    <row r="73" ht="14.25" hidden="1" x14ac:dyDescent="0.25"/>
    <row r="74" ht="14.25" hidden="1" x14ac:dyDescent="0.25"/>
    <row r="75" ht="14.25" hidden="1" x14ac:dyDescent="0.25"/>
    <row r="76" ht="14.25" hidden="1" x14ac:dyDescent="0.25"/>
    <row r="77" ht="14.25" hidden="1" x14ac:dyDescent="0.25"/>
    <row r="78" ht="14.25" hidden="1" x14ac:dyDescent="0.25"/>
    <row r="79" ht="14.25" hidden="1" x14ac:dyDescent="0.25"/>
    <row r="80" ht="14.25" hidden="1" x14ac:dyDescent="0.25"/>
    <row r="81" ht="14.25" hidden="1" x14ac:dyDescent="0.25"/>
    <row r="82" ht="14.25" hidden="1" x14ac:dyDescent="0.25"/>
    <row r="83" ht="14.25" hidden="1" x14ac:dyDescent="0.25"/>
    <row r="84" ht="14.25" hidden="1" x14ac:dyDescent="0.25"/>
    <row r="85" ht="14.25" hidden="1" x14ac:dyDescent="0.25"/>
    <row r="86" ht="14.25" hidden="1" x14ac:dyDescent="0.25"/>
    <row r="87" ht="14.25" hidden="1" x14ac:dyDescent="0.25"/>
    <row r="88" ht="14.25" hidden="1" x14ac:dyDescent="0.25"/>
    <row r="89" ht="14.25" hidden="1" x14ac:dyDescent="0.25"/>
    <row r="90" ht="14.25" hidden="1" x14ac:dyDescent="0.25"/>
    <row r="91" ht="14.25" hidden="1" x14ac:dyDescent="0.25"/>
    <row r="92" ht="14.25" hidden="1" x14ac:dyDescent="0.25"/>
    <row r="93" ht="14.25" hidden="1" x14ac:dyDescent="0.25"/>
    <row r="94" ht="14.25" hidden="1" x14ac:dyDescent="0.25"/>
  </sheetData>
  <mergeCells count="97">
    <mergeCell ref="B36:D37"/>
    <mergeCell ref="P36:Q36"/>
    <mergeCell ref="E37:F37"/>
    <mergeCell ref="G37:H37"/>
    <mergeCell ref="J37:K37"/>
    <mergeCell ref="M37:N37"/>
    <mergeCell ref="P37:Q37"/>
    <mergeCell ref="E36:F36"/>
    <mergeCell ref="G36:H36"/>
    <mergeCell ref="J36:K36"/>
    <mergeCell ref="M36:N36"/>
    <mergeCell ref="H27:I27"/>
    <mergeCell ref="B23:Q23"/>
    <mergeCell ref="B26:C26"/>
    <mergeCell ref="E26:G26"/>
    <mergeCell ref="H26:I26"/>
    <mergeCell ref="J26:L26"/>
    <mergeCell ref="E34:F34"/>
    <mergeCell ref="G34:H34"/>
    <mergeCell ref="E33:F33"/>
    <mergeCell ref="G33:H33"/>
    <mergeCell ref="B25:C25"/>
    <mergeCell ref="O33:P33"/>
    <mergeCell ref="B14:C14"/>
    <mergeCell ref="B18:C18"/>
    <mergeCell ref="B5:C5"/>
    <mergeCell ref="F5:G5"/>
    <mergeCell ref="B15:C15"/>
    <mergeCell ref="B16:C16"/>
    <mergeCell ref="B17:C17"/>
    <mergeCell ref="B9:C9"/>
    <mergeCell ref="B10:C10"/>
    <mergeCell ref="B11:C11"/>
    <mergeCell ref="B12:C12"/>
    <mergeCell ref="B13:C13"/>
    <mergeCell ref="B7:C7"/>
    <mergeCell ref="B8:C8"/>
    <mergeCell ref="D7:F7"/>
    <mergeCell ref="P46:Q46"/>
    <mergeCell ref="P45:Q45"/>
    <mergeCell ref="N46:O46"/>
    <mergeCell ref="N45:O45"/>
    <mergeCell ref="D46:M46"/>
    <mergeCell ref="D45:M45"/>
    <mergeCell ref="B19:C19"/>
    <mergeCell ref="B24:C24"/>
    <mergeCell ref="D24:E24"/>
    <mergeCell ref="H24:J24"/>
    <mergeCell ref="B33:D34"/>
    <mergeCell ref="B30:Q30"/>
    <mergeCell ref="B31:Q31"/>
    <mergeCell ref="B32:Q32"/>
    <mergeCell ref="N21:O21"/>
    <mergeCell ref="L21:M21"/>
    <mergeCell ref="B29:Q29"/>
    <mergeCell ref="E21:G21"/>
    <mergeCell ref="L27:M27"/>
    <mergeCell ref="H21:K21"/>
    <mergeCell ref="B27:C27"/>
    <mergeCell ref="F27:G27"/>
    <mergeCell ref="J27:K27"/>
    <mergeCell ref="D27:E27"/>
    <mergeCell ref="P2:Q2"/>
    <mergeCell ref="D2:O2"/>
    <mergeCell ref="P4:Q4"/>
    <mergeCell ref="H5:I5"/>
    <mergeCell ref="J5:K5"/>
    <mergeCell ref="J7:K7"/>
    <mergeCell ref="L7:M7"/>
    <mergeCell ref="N7:O7"/>
    <mergeCell ref="P7:Q7"/>
    <mergeCell ref="O5:P5"/>
    <mergeCell ref="B2:C2"/>
    <mergeCell ref="N4:O4"/>
    <mergeCell ref="B4:C4"/>
    <mergeCell ref="D4:I4"/>
    <mergeCell ref="J4:K4"/>
    <mergeCell ref="L4:M4"/>
    <mergeCell ref="G7:I7"/>
    <mergeCell ref="B42:C42"/>
    <mergeCell ref="P39:Q39"/>
    <mergeCell ref="B43:C43"/>
    <mergeCell ref="L42:N42"/>
    <mergeCell ref="L43:N43"/>
    <mergeCell ref="H42:I42"/>
    <mergeCell ref="J42:K42"/>
    <mergeCell ref="H43:I43"/>
    <mergeCell ref="J43:K43"/>
    <mergeCell ref="O42:Q42"/>
    <mergeCell ref="O43:Q43"/>
    <mergeCell ref="B39:C39"/>
    <mergeCell ref="J39:K39"/>
    <mergeCell ref="B40:C40"/>
    <mergeCell ref="L40:M40"/>
    <mergeCell ref="O40:P40"/>
    <mergeCell ref="F39:H39"/>
    <mergeCell ref="F40:K40"/>
  </mergeCells>
  <conditionalFormatting sqref="B9:E18">
    <cfRule type="containsBlanks" dxfId="3" priority="6">
      <formula>LEN(TRIM(B9))=0</formula>
    </cfRule>
  </conditionalFormatting>
  <conditionalFormatting sqref="G15:H18">
    <cfRule type="containsBlanks" dxfId="2" priority="4">
      <formula>LEN(TRIM(G15))=0</formula>
    </cfRule>
  </conditionalFormatting>
  <conditionalFormatting sqref="Q5">
    <cfRule type="containsBlanks" dxfId="1" priority="2">
      <formula>LEN(TRIM(Q5))=0</formula>
    </cfRule>
  </conditionalFormatting>
  <conditionalFormatting sqref="G9:H14">
    <cfRule type="containsBlanks" dxfId="0" priority="1">
      <formula>LEN(TRIM(G9))=0</formula>
    </cfRule>
  </conditionalFormatting>
  <pageMargins left="0.25" right="0.25" top="0.75" bottom="0.75" header="0.3" footer="0.3"/>
  <pageSetup paperSize="9" scale="7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/>
  <dimension ref="A1:L38"/>
  <sheetViews>
    <sheetView topLeftCell="A16" workbookViewId="0">
      <selection activeCell="C36" sqref="C36"/>
    </sheetView>
  </sheetViews>
  <sheetFormatPr defaultColWidth="0" defaultRowHeight="14.25" zeroHeight="1" x14ac:dyDescent="0.25"/>
  <cols>
    <col min="1" max="1" width="0.85546875" style="95" customWidth="1"/>
    <col min="2" max="2" width="15.28515625" style="95" bestFit="1" customWidth="1"/>
    <col min="3" max="3" width="10" style="95" customWidth="1"/>
    <col min="4" max="4" width="14.5703125" style="95" customWidth="1"/>
    <col min="5" max="5" width="10.5703125" style="95" customWidth="1"/>
    <col min="6" max="6" width="0.85546875" style="95" customWidth="1"/>
    <col min="7" max="7" width="14.7109375" style="95" customWidth="1"/>
    <col min="8" max="8" width="4.85546875" style="95" customWidth="1"/>
    <col min="9" max="9" width="10.42578125" style="102" customWidth="1"/>
    <col min="10" max="10" width="14.85546875" style="95" customWidth="1"/>
    <col min="11" max="11" width="11.7109375" style="95" customWidth="1"/>
    <col min="12" max="12" width="0.85546875" style="95" customWidth="1"/>
    <col min="13" max="16384" width="9.140625" style="95" hidden="1"/>
  </cols>
  <sheetData>
    <row r="1" spans="2:11" ht="4.5" customHeight="1" thickBot="1" x14ac:dyDescent="0.3"/>
    <row r="2" spans="2:11" ht="33.75" customHeight="1" thickBot="1" x14ac:dyDescent="0.3">
      <c r="B2" s="270" t="s">
        <v>0</v>
      </c>
      <c r="C2" s="437"/>
      <c r="D2" s="438" t="s">
        <v>13</v>
      </c>
      <c r="E2" s="272"/>
      <c r="F2" s="272"/>
      <c r="G2" s="273"/>
      <c r="H2" s="273"/>
      <c r="I2" s="170"/>
      <c r="J2" s="274" t="s">
        <v>69</v>
      </c>
      <c r="K2" s="275"/>
    </row>
    <row r="3" spans="2:11" ht="75" customHeight="1" thickBot="1" x14ac:dyDescent="0.3"/>
    <row r="4" spans="2:11" ht="21" customHeight="1" thickBot="1" x14ac:dyDescent="0.3">
      <c r="B4" s="439" t="s">
        <v>11</v>
      </c>
      <c r="C4" s="440"/>
      <c r="D4" s="441"/>
      <c r="E4" s="442"/>
      <c r="F4" s="439" t="s">
        <v>10</v>
      </c>
      <c r="G4" s="440"/>
      <c r="H4" s="440"/>
      <c r="I4" s="440"/>
      <c r="J4" s="443"/>
      <c r="K4" s="444"/>
    </row>
    <row r="5" spans="2:11" ht="45" customHeight="1" x14ac:dyDescent="0.25">
      <c r="B5" s="113"/>
      <c r="C5" s="113"/>
      <c r="D5" s="113"/>
      <c r="E5" s="113"/>
      <c r="F5" s="113"/>
      <c r="G5" s="113"/>
      <c r="H5" s="113"/>
      <c r="I5" s="113"/>
      <c r="J5" s="113"/>
      <c r="K5" s="113"/>
    </row>
    <row r="6" spans="2:11" ht="14.25" customHeight="1" x14ac:dyDescent="0.25">
      <c r="B6" s="423" t="s">
        <v>70</v>
      </c>
      <c r="C6" s="423"/>
      <c r="D6" s="423"/>
      <c r="E6" s="423"/>
      <c r="F6" s="423"/>
      <c r="G6" s="423"/>
      <c r="H6" s="423"/>
      <c r="I6" s="423"/>
      <c r="J6" s="423"/>
      <c r="K6" s="423"/>
    </row>
    <row r="7" spans="2:11" ht="4.5" customHeight="1" thickBot="1" x14ac:dyDescent="0.3">
      <c r="B7" s="184"/>
      <c r="C7" s="184"/>
      <c r="D7" s="184"/>
      <c r="E7" s="184"/>
      <c r="F7" s="184"/>
      <c r="G7" s="184"/>
      <c r="H7" s="184"/>
      <c r="I7" s="184"/>
      <c r="J7" s="184"/>
      <c r="K7" s="184"/>
    </row>
    <row r="8" spans="2:11" ht="21" customHeight="1" x14ac:dyDescent="0.25">
      <c r="B8" s="185" t="s">
        <v>17</v>
      </c>
      <c r="C8" s="186"/>
      <c r="D8" s="187" t="s">
        <v>19</v>
      </c>
      <c r="E8" s="188"/>
      <c r="F8" s="184"/>
      <c r="G8" s="185" t="s">
        <v>17</v>
      </c>
      <c r="H8" s="373"/>
      <c r="I8" s="374"/>
      <c r="J8" s="187" t="s">
        <v>19</v>
      </c>
      <c r="K8" s="188"/>
    </row>
    <row r="9" spans="2:11" ht="21" customHeight="1" thickBot="1" x14ac:dyDescent="0.3">
      <c r="B9" s="189" t="s">
        <v>18</v>
      </c>
      <c r="C9" s="173"/>
      <c r="D9" s="190" t="s">
        <v>20</v>
      </c>
      <c r="E9" s="191"/>
      <c r="F9" s="184"/>
      <c r="G9" s="189" t="s">
        <v>18</v>
      </c>
      <c r="H9" s="372"/>
      <c r="I9" s="351"/>
      <c r="J9" s="190" t="s">
        <v>20</v>
      </c>
      <c r="K9" s="191"/>
    </row>
    <row r="10" spans="2:11" ht="45" customHeight="1" x14ac:dyDescent="0.25">
      <c r="B10" s="184"/>
      <c r="C10" s="184"/>
      <c r="D10" s="184"/>
      <c r="E10" s="184"/>
      <c r="F10" s="184"/>
      <c r="G10" s="184"/>
      <c r="H10" s="184"/>
      <c r="I10" s="184"/>
      <c r="J10" s="184"/>
      <c r="K10" s="184"/>
    </row>
    <row r="11" spans="2:11" ht="14.25" customHeight="1" x14ac:dyDescent="0.25">
      <c r="B11" s="423" t="s">
        <v>71</v>
      </c>
      <c r="C11" s="423"/>
      <c r="D11" s="423"/>
      <c r="E11" s="423"/>
      <c r="F11" s="423"/>
      <c r="G11" s="423"/>
      <c r="H11" s="423"/>
      <c r="I11" s="423"/>
      <c r="J11" s="423"/>
      <c r="K11" s="423"/>
    </row>
    <row r="12" spans="2:11" ht="4.5" customHeight="1" thickBot="1" x14ac:dyDescent="0.3">
      <c r="B12" s="113"/>
      <c r="C12" s="113"/>
      <c r="D12" s="113"/>
      <c r="E12" s="113"/>
      <c r="F12" s="113"/>
      <c r="G12" s="113"/>
      <c r="H12" s="113"/>
      <c r="I12" s="113"/>
      <c r="J12" s="113"/>
      <c r="K12" s="113"/>
    </row>
    <row r="13" spans="2:11" ht="21" customHeight="1" thickBot="1" x14ac:dyDescent="0.3">
      <c r="B13" s="185" t="s">
        <v>17</v>
      </c>
      <c r="C13" s="186"/>
      <c r="D13" s="187" t="s">
        <v>19</v>
      </c>
      <c r="E13" s="188"/>
      <c r="F13" s="192"/>
      <c r="G13" s="424" t="s">
        <v>72</v>
      </c>
      <c r="H13" s="425"/>
      <c r="I13" s="193" t="s">
        <v>21</v>
      </c>
      <c r="J13" s="426" t="s">
        <v>76</v>
      </c>
      <c r="K13" s="427"/>
    </row>
    <row r="14" spans="2:11" ht="21" customHeight="1" thickBot="1" x14ac:dyDescent="0.3">
      <c r="B14" s="189" t="s">
        <v>18</v>
      </c>
      <c r="C14" s="173"/>
      <c r="D14" s="190" t="s">
        <v>20</v>
      </c>
      <c r="E14" s="191"/>
      <c r="F14" s="113"/>
      <c r="G14" s="428" t="s">
        <v>73</v>
      </c>
      <c r="H14" s="429"/>
      <c r="I14" s="194"/>
      <c r="J14" s="429"/>
      <c r="K14" s="430"/>
    </row>
    <row r="15" spans="2:11" ht="21" customHeight="1" x14ac:dyDescent="0.25">
      <c r="B15" s="195" t="s">
        <v>17</v>
      </c>
      <c r="C15" s="196"/>
      <c r="D15" s="197" t="s">
        <v>19</v>
      </c>
      <c r="E15" s="198"/>
      <c r="F15" s="113"/>
      <c r="G15" s="431" t="s">
        <v>74</v>
      </c>
      <c r="H15" s="432"/>
      <c r="I15" s="199"/>
      <c r="J15" s="432"/>
      <c r="K15" s="435"/>
    </row>
    <row r="16" spans="2:11" ht="21" customHeight="1" thickBot="1" x14ac:dyDescent="0.3">
      <c r="B16" s="200" t="s">
        <v>18</v>
      </c>
      <c r="C16" s="201"/>
      <c r="D16" s="202" t="s">
        <v>20</v>
      </c>
      <c r="E16" s="203"/>
      <c r="F16" s="204"/>
      <c r="G16" s="433" t="s">
        <v>75</v>
      </c>
      <c r="H16" s="434"/>
      <c r="I16" s="205"/>
      <c r="J16" s="434"/>
      <c r="K16" s="436"/>
    </row>
    <row r="17" spans="2:11" ht="21" customHeight="1" x14ac:dyDescent="0.25">
      <c r="B17" s="185" t="s">
        <v>17</v>
      </c>
      <c r="C17" s="186"/>
      <c r="D17" s="187" t="s">
        <v>19</v>
      </c>
      <c r="E17" s="188"/>
      <c r="F17" s="113"/>
      <c r="G17" s="206"/>
      <c r="H17" s="206"/>
      <c r="I17" s="206"/>
      <c r="J17" s="206"/>
      <c r="K17" s="206"/>
    </row>
    <row r="18" spans="2:11" ht="21" customHeight="1" thickBot="1" x14ac:dyDescent="0.3">
      <c r="B18" s="189" t="s">
        <v>18</v>
      </c>
      <c r="C18" s="173"/>
      <c r="D18" s="190" t="s">
        <v>20</v>
      </c>
      <c r="E18" s="191"/>
      <c r="F18" s="204"/>
      <c r="G18" s="207"/>
      <c r="H18" s="207"/>
      <c r="I18" s="207"/>
      <c r="J18" s="207"/>
      <c r="K18" s="208"/>
    </row>
    <row r="19" spans="2:11" ht="21" customHeight="1" x14ac:dyDescent="0.25">
      <c r="B19" s="195" t="s">
        <v>17</v>
      </c>
      <c r="C19" s="196"/>
      <c r="D19" s="197" t="s">
        <v>19</v>
      </c>
      <c r="E19" s="198"/>
      <c r="F19" s="113"/>
      <c r="G19" s="207"/>
      <c r="H19" s="207"/>
      <c r="I19" s="207"/>
      <c r="J19" s="207"/>
      <c r="K19" s="209"/>
    </row>
    <row r="20" spans="2:11" ht="21" customHeight="1" thickBot="1" x14ac:dyDescent="0.3">
      <c r="B20" s="189" t="s">
        <v>18</v>
      </c>
      <c r="C20" s="173"/>
      <c r="D20" s="190" t="s">
        <v>20</v>
      </c>
      <c r="E20" s="191"/>
      <c r="F20" s="204"/>
      <c r="G20" s="207"/>
      <c r="H20" s="207"/>
      <c r="I20" s="207"/>
      <c r="J20" s="207"/>
      <c r="K20" s="210"/>
    </row>
    <row r="21" spans="2:11" ht="45" customHeight="1" x14ac:dyDescent="0.25">
      <c r="B21" s="113"/>
      <c r="C21" s="113"/>
      <c r="D21" s="113"/>
      <c r="E21" s="113"/>
      <c r="F21" s="113"/>
      <c r="G21" s="207"/>
      <c r="H21" s="207"/>
      <c r="I21" s="207"/>
      <c r="J21" s="207"/>
      <c r="K21" s="209"/>
    </row>
    <row r="22" spans="2:11" ht="14.25" customHeight="1" x14ac:dyDescent="0.25">
      <c r="B22" s="423" t="s">
        <v>77</v>
      </c>
      <c r="C22" s="423"/>
      <c r="D22" s="423"/>
      <c r="E22" s="423"/>
      <c r="F22" s="423"/>
      <c r="G22" s="423"/>
      <c r="H22" s="423"/>
      <c r="I22" s="423"/>
      <c r="J22" s="423"/>
      <c r="K22" s="423"/>
    </row>
    <row r="23" spans="2:11" ht="4.5" customHeight="1" thickBot="1" x14ac:dyDescent="0.3">
      <c r="B23" s="113"/>
      <c r="C23" s="113"/>
      <c r="D23" s="113"/>
      <c r="E23" s="113"/>
      <c r="F23" s="113"/>
      <c r="G23" s="113"/>
      <c r="H23" s="113"/>
      <c r="I23" s="113"/>
      <c r="J23" s="113"/>
      <c r="K23" s="113"/>
    </row>
    <row r="24" spans="2:11" ht="21" customHeight="1" thickBot="1" x14ac:dyDescent="0.3">
      <c r="B24" s="185" t="s">
        <v>17</v>
      </c>
      <c r="C24" s="186"/>
      <c r="D24" s="187" t="s">
        <v>19</v>
      </c>
      <c r="E24" s="188"/>
      <c r="F24" s="192"/>
      <c r="G24" s="424" t="s">
        <v>72</v>
      </c>
      <c r="H24" s="425"/>
      <c r="I24" s="193" t="s">
        <v>21</v>
      </c>
      <c r="J24" s="426" t="s">
        <v>76</v>
      </c>
      <c r="K24" s="427"/>
    </row>
    <row r="25" spans="2:11" ht="21" customHeight="1" thickBot="1" x14ac:dyDescent="0.3">
      <c r="B25" s="189" t="s">
        <v>18</v>
      </c>
      <c r="C25" s="173"/>
      <c r="D25" s="190" t="s">
        <v>20</v>
      </c>
      <c r="E25" s="191"/>
      <c r="F25" s="113"/>
      <c r="G25" s="428" t="s">
        <v>78</v>
      </c>
      <c r="H25" s="429"/>
      <c r="I25" s="194"/>
      <c r="J25" s="429"/>
      <c r="K25" s="430"/>
    </row>
    <row r="26" spans="2:11" ht="21" customHeight="1" x14ac:dyDescent="0.25">
      <c r="B26" s="195" t="s">
        <v>17</v>
      </c>
      <c r="C26" s="196"/>
      <c r="D26" s="197" t="s">
        <v>19</v>
      </c>
      <c r="E26" s="198"/>
      <c r="F26" s="113"/>
      <c r="G26" s="431" t="s">
        <v>78</v>
      </c>
      <c r="H26" s="432"/>
      <c r="I26" s="199"/>
      <c r="J26" s="432"/>
      <c r="K26" s="435"/>
    </row>
    <row r="27" spans="2:11" ht="21" customHeight="1" thickBot="1" x14ac:dyDescent="0.3">
      <c r="B27" s="189" t="s">
        <v>18</v>
      </c>
      <c r="C27" s="173"/>
      <c r="D27" s="190" t="s">
        <v>20</v>
      </c>
      <c r="E27" s="191"/>
      <c r="F27" s="204"/>
      <c r="G27" s="433" t="s">
        <v>78</v>
      </c>
      <c r="H27" s="434"/>
      <c r="I27" s="205"/>
      <c r="J27" s="434"/>
      <c r="K27" s="436"/>
    </row>
    <row r="28" spans="2:11" ht="21" customHeight="1" x14ac:dyDescent="0.25">
      <c r="B28" s="195" t="s">
        <v>17</v>
      </c>
      <c r="C28" s="196"/>
      <c r="D28" s="197" t="s">
        <v>19</v>
      </c>
      <c r="E28" s="198"/>
      <c r="F28" s="113"/>
      <c r="G28" s="207" t="e">
        <f>IF('M 09.12 03'!#REF!=0,"",('M 09.12 03'!#REF!))</f>
        <v>#REF!</v>
      </c>
      <c r="H28" s="207" t="e">
        <f>IF('M 09.12 03'!#REF!=0,"",('M 09.12 03'!#REF!))</f>
        <v>#REF!</v>
      </c>
      <c r="I28" s="207"/>
      <c r="J28" s="207" t="e">
        <f>IF('M 09.12 03'!#REF!=0,"",('M 09.12 03'!#REF!))</f>
        <v>#REF!</v>
      </c>
      <c r="K28" s="209"/>
    </row>
    <row r="29" spans="2:11" ht="21" customHeight="1" thickBot="1" x14ac:dyDescent="0.3">
      <c r="B29" s="189" t="s">
        <v>18</v>
      </c>
      <c r="C29" s="173"/>
      <c r="D29" s="190" t="s">
        <v>20</v>
      </c>
      <c r="E29" s="191"/>
      <c r="F29" s="204"/>
      <c r="G29" s="207" t="e">
        <f>IF('M 09.12 03'!#REF!=0,"",('M 09.12 03'!#REF!))</f>
        <v>#REF!</v>
      </c>
      <c r="H29" s="207" t="e">
        <f>IF('M 09.12 03'!#REF!=0,"",('M 09.12 03'!#REF!))</f>
        <v>#REF!</v>
      </c>
      <c r="I29" s="207"/>
      <c r="J29" s="207" t="e">
        <f>IF('M 09.12 03'!#REF!=0,"",('M 09.12 03'!#REF!))</f>
        <v>#REF!</v>
      </c>
      <c r="K29" s="208"/>
    </row>
    <row r="30" spans="2:11" ht="45" customHeight="1" x14ac:dyDescent="0.25">
      <c r="B30" s="211"/>
      <c r="C30" s="212"/>
      <c r="D30" s="211"/>
      <c r="E30" s="212"/>
      <c r="F30" s="113"/>
      <c r="G30" s="207" t="e">
        <f>IF('M 09.12 03'!#REF!=0,"",('M 09.12 03'!#REF!))</f>
        <v>#REF!</v>
      </c>
      <c r="H30" s="207" t="e">
        <f>IF('M 09.12 03'!#REF!=0,"",('M 09.12 03'!#REF!))</f>
        <v>#REF!</v>
      </c>
      <c r="I30" s="207"/>
      <c r="J30" s="207" t="e">
        <f>IF('M 09.12 03'!#REF!=0,"",('M 09.12 03'!#REF!))</f>
        <v>#REF!</v>
      </c>
      <c r="K30" s="209"/>
    </row>
    <row r="31" spans="2:11" ht="14.25" customHeight="1" x14ac:dyDescent="0.25">
      <c r="B31" s="423" t="s">
        <v>79</v>
      </c>
      <c r="C31" s="423"/>
      <c r="D31" s="423"/>
      <c r="E31" s="423"/>
      <c r="F31" s="423"/>
      <c r="G31" s="423"/>
      <c r="H31" s="423"/>
      <c r="I31" s="423"/>
      <c r="J31" s="423"/>
      <c r="K31" s="423"/>
    </row>
    <row r="32" spans="2:11" ht="4.5" customHeight="1" thickBot="1" x14ac:dyDescent="0.3">
      <c r="B32" s="113"/>
      <c r="C32" s="113"/>
      <c r="D32" s="113"/>
      <c r="E32" s="113"/>
      <c r="F32" s="113"/>
      <c r="G32" s="113"/>
      <c r="H32" s="113"/>
      <c r="I32" s="113"/>
      <c r="J32" s="113"/>
      <c r="K32" s="113"/>
    </row>
    <row r="33" spans="2:11" ht="21" customHeight="1" x14ac:dyDescent="0.25">
      <c r="B33" s="185" t="s">
        <v>17</v>
      </c>
      <c r="C33" s="186"/>
      <c r="D33" s="187" t="s">
        <v>19</v>
      </c>
      <c r="E33" s="188"/>
      <c r="F33" s="192"/>
      <c r="G33" s="185" t="s">
        <v>17</v>
      </c>
      <c r="H33" s="186"/>
      <c r="I33" s="186"/>
      <c r="J33" s="187" t="s">
        <v>19</v>
      </c>
      <c r="K33" s="188"/>
    </row>
    <row r="34" spans="2:11" ht="21" customHeight="1" thickBot="1" x14ac:dyDescent="0.3">
      <c r="B34" s="189" t="s">
        <v>18</v>
      </c>
      <c r="C34" s="173"/>
      <c r="D34" s="190" t="s">
        <v>20</v>
      </c>
      <c r="E34" s="191"/>
      <c r="F34" s="113"/>
      <c r="G34" s="189" t="s">
        <v>18</v>
      </c>
      <c r="H34" s="173"/>
      <c r="I34" s="173"/>
      <c r="J34" s="190" t="s">
        <v>20</v>
      </c>
      <c r="K34" s="191"/>
    </row>
    <row r="35" spans="2:11" ht="102" customHeight="1" thickBot="1" x14ac:dyDescent="0.3">
      <c r="B35" s="113"/>
      <c r="C35" s="113"/>
      <c r="D35" s="113"/>
      <c r="E35" s="113"/>
      <c r="F35" s="113"/>
      <c r="G35" s="113"/>
      <c r="H35" s="113"/>
      <c r="I35" s="113"/>
      <c r="J35" s="113"/>
      <c r="K35" s="113"/>
    </row>
    <row r="36" spans="2:11" s="97" customFormat="1" ht="23.25" customHeight="1" x14ac:dyDescent="0.25">
      <c r="B36" s="106">
        <v>10</v>
      </c>
      <c r="C36" s="269">
        <v>44432</v>
      </c>
      <c r="D36" s="288" t="s">
        <v>160</v>
      </c>
      <c r="E36" s="288"/>
      <c r="F36" s="288"/>
      <c r="G36" s="288"/>
      <c r="H36" s="288" t="s">
        <v>121</v>
      </c>
      <c r="I36" s="288"/>
      <c r="J36" s="288"/>
      <c r="K36" s="110" t="s">
        <v>162</v>
      </c>
    </row>
    <row r="37" spans="2:11" s="102" customFormat="1" ht="23.25" customHeight="1" thickBot="1" x14ac:dyDescent="0.3">
      <c r="B37" s="107" t="s">
        <v>83</v>
      </c>
      <c r="C37" s="108" t="s">
        <v>18</v>
      </c>
      <c r="D37" s="283" t="s">
        <v>84</v>
      </c>
      <c r="E37" s="283"/>
      <c r="F37" s="283"/>
      <c r="G37" s="283"/>
      <c r="H37" s="283" t="s">
        <v>89</v>
      </c>
      <c r="I37" s="283"/>
      <c r="J37" s="283"/>
      <c r="K37" s="109" t="s">
        <v>90</v>
      </c>
    </row>
    <row r="38" spans="2:11" ht="4.5" customHeight="1" x14ac:dyDescent="0.25"/>
  </sheetData>
  <mergeCells count="33">
    <mergeCell ref="B2:C2"/>
    <mergeCell ref="D2:H2"/>
    <mergeCell ref="J2:K2"/>
    <mergeCell ref="B4:C4"/>
    <mergeCell ref="D4:E4"/>
    <mergeCell ref="J4:K4"/>
    <mergeCell ref="F4:I4"/>
    <mergeCell ref="B6:K6"/>
    <mergeCell ref="B22:K22"/>
    <mergeCell ref="B31:K31"/>
    <mergeCell ref="D36:G36"/>
    <mergeCell ref="J15:K15"/>
    <mergeCell ref="J16:K16"/>
    <mergeCell ref="G24:H24"/>
    <mergeCell ref="G27:H27"/>
    <mergeCell ref="J27:K27"/>
    <mergeCell ref="H8:I8"/>
    <mergeCell ref="H9:I9"/>
    <mergeCell ref="D37:G37"/>
    <mergeCell ref="B11:K11"/>
    <mergeCell ref="G13:H13"/>
    <mergeCell ref="J13:K13"/>
    <mergeCell ref="G14:H14"/>
    <mergeCell ref="J14:K14"/>
    <mergeCell ref="G15:H15"/>
    <mergeCell ref="G16:H16"/>
    <mergeCell ref="J24:K24"/>
    <mergeCell ref="G25:H25"/>
    <mergeCell ref="J25:K25"/>
    <mergeCell ref="G26:H26"/>
    <mergeCell ref="J26:K26"/>
    <mergeCell ref="H36:J36"/>
    <mergeCell ref="H37:J37"/>
  </mergeCells>
  <pageMargins left="0.7" right="0.7" top="0.75" bottom="0.75" header="0.3" footer="0.3"/>
  <pageSetup paperSize="9" scale="7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11"/>
  <sheetViews>
    <sheetView topLeftCell="A14" workbookViewId="0">
      <selection activeCell="D28" sqref="D28"/>
    </sheetView>
  </sheetViews>
  <sheetFormatPr defaultColWidth="0" defaultRowHeight="0" customHeight="1" zeroHeight="1" x14ac:dyDescent="0.25"/>
  <cols>
    <col min="1" max="1" width="0.85546875" style="102" customWidth="1"/>
    <col min="2" max="2" width="19.5703125" style="102" customWidth="1"/>
    <col min="3" max="3" width="31.42578125" style="102" customWidth="1"/>
    <col min="4" max="4" width="35.7109375" style="102" customWidth="1"/>
    <col min="5" max="5" width="49.7109375" style="102" customWidth="1"/>
    <col min="6" max="6" width="0.85546875" style="102" customWidth="1"/>
    <col min="7" max="7" width="2.28515625" style="102" customWidth="1"/>
    <col min="8" max="8" width="12.85546875" style="102" customWidth="1"/>
    <col min="9" max="9" width="14.7109375" style="102" customWidth="1"/>
    <col min="10" max="10" width="11.7109375" style="102" hidden="1" customWidth="1"/>
    <col min="11" max="11" width="0.85546875" style="102" customWidth="1"/>
    <col min="12" max="12" width="0" style="102" hidden="1" customWidth="1"/>
    <col min="13" max="16384" width="9.140625" style="102" hidden="1"/>
  </cols>
  <sheetData>
    <row r="1" spans="2:10" ht="4.5" customHeight="1" thickBot="1" x14ac:dyDescent="0.3"/>
    <row r="2" spans="2:10" ht="63.75" customHeight="1" thickBot="1" x14ac:dyDescent="0.3">
      <c r="B2" s="270" t="s">
        <v>0</v>
      </c>
      <c r="C2" s="437"/>
      <c r="D2" s="438" t="s">
        <v>134</v>
      </c>
      <c r="E2" s="272"/>
      <c r="F2" s="272"/>
      <c r="G2" s="273"/>
      <c r="H2" s="273"/>
      <c r="I2" s="274" t="s">
        <v>131</v>
      </c>
      <c r="J2" s="275"/>
    </row>
    <row r="3" spans="2:10" ht="75" customHeight="1" thickBot="1" x14ac:dyDescent="0.3"/>
    <row r="4" spans="2:10" ht="40.5" customHeight="1" thickBot="1" x14ac:dyDescent="0.3">
      <c r="B4" s="439" t="s">
        <v>132</v>
      </c>
      <c r="C4" s="440"/>
      <c r="D4" s="441"/>
      <c r="E4" s="442"/>
      <c r="F4" s="439" t="s">
        <v>10</v>
      </c>
      <c r="G4" s="440"/>
      <c r="H4" s="440"/>
      <c r="I4" s="443"/>
      <c r="J4" s="444"/>
    </row>
    <row r="5" spans="2:10" ht="45" customHeight="1" x14ac:dyDescent="0.25">
      <c r="B5" s="227"/>
      <c r="C5" s="227"/>
      <c r="D5" s="227"/>
      <c r="E5" s="227"/>
      <c r="F5" s="227"/>
      <c r="G5" s="227"/>
      <c r="H5" s="227"/>
      <c r="I5" s="227"/>
      <c r="J5" s="227"/>
    </row>
    <row r="6" spans="2:10" ht="14.25" customHeight="1" x14ac:dyDescent="0.25">
      <c r="B6" s="423" t="s">
        <v>135</v>
      </c>
      <c r="C6" s="423"/>
      <c r="D6" s="423"/>
      <c r="E6" s="423"/>
      <c r="F6" s="423"/>
      <c r="G6" s="423"/>
      <c r="H6" s="423"/>
      <c r="I6" s="423"/>
      <c r="J6" s="423"/>
    </row>
    <row r="7" spans="2:10" ht="4.5" customHeight="1" thickBot="1" x14ac:dyDescent="0.3">
      <c r="B7" s="113"/>
      <c r="C7" s="113"/>
      <c r="D7" s="113"/>
      <c r="E7" s="113"/>
      <c r="F7" s="113"/>
      <c r="G7" s="113"/>
      <c r="H7" s="113"/>
      <c r="I7" s="113"/>
      <c r="J7" s="113"/>
    </row>
    <row r="8" spans="2:10" ht="29.25" customHeight="1" x14ac:dyDescent="0.25">
      <c r="B8" s="245" t="s">
        <v>136</v>
      </c>
      <c r="C8" s="239"/>
      <c r="D8" s="249" t="s">
        <v>19</v>
      </c>
      <c r="E8" s="188"/>
      <c r="F8" s="192"/>
      <c r="G8" s="450"/>
      <c r="H8" s="450"/>
      <c r="I8" s="450"/>
      <c r="J8" s="450"/>
    </row>
    <row r="9" spans="2:10" ht="21" customHeight="1" x14ac:dyDescent="0.25">
      <c r="B9" s="246" t="s">
        <v>18</v>
      </c>
      <c r="C9" s="224"/>
      <c r="D9" s="250" t="s">
        <v>20</v>
      </c>
      <c r="E9" s="234"/>
      <c r="F9" s="192"/>
      <c r="G9" s="236"/>
      <c r="H9" s="236"/>
      <c r="I9" s="236"/>
      <c r="J9" s="236"/>
    </row>
    <row r="10" spans="2:10" ht="48" customHeight="1" x14ac:dyDescent="0.25">
      <c r="B10" s="246" t="s">
        <v>148</v>
      </c>
      <c r="C10" s="240" t="s">
        <v>149</v>
      </c>
      <c r="D10" s="240" t="s">
        <v>150</v>
      </c>
      <c r="E10" s="243" t="s">
        <v>142</v>
      </c>
      <c r="F10" s="113"/>
      <c r="G10" s="449"/>
      <c r="H10" s="449"/>
      <c r="I10" s="449"/>
      <c r="J10" s="449"/>
    </row>
    <row r="11" spans="2:10" ht="21" customHeight="1" x14ac:dyDescent="0.25">
      <c r="B11" s="247" t="s">
        <v>143</v>
      </c>
      <c r="C11" s="240" t="s">
        <v>149</v>
      </c>
      <c r="D11" s="244" t="s">
        <v>145</v>
      </c>
      <c r="E11" s="243" t="s">
        <v>144</v>
      </c>
      <c r="F11" s="113"/>
      <c r="G11" s="237"/>
      <c r="H11" s="237"/>
      <c r="I11" s="237"/>
      <c r="J11" s="237"/>
    </row>
    <row r="12" spans="2:10" ht="21" customHeight="1" thickBot="1" x14ac:dyDescent="0.3">
      <c r="B12" s="248" t="s">
        <v>133</v>
      </c>
      <c r="C12" s="240" t="s">
        <v>149</v>
      </c>
      <c r="D12" s="240" t="s">
        <v>150</v>
      </c>
      <c r="E12" s="243" t="s">
        <v>146</v>
      </c>
      <c r="F12" s="113"/>
      <c r="G12" s="449"/>
      <c r="H12" s="449"/>
      <c r="I12" s="449"/>
      <c r="J12" s="449"/>
    </row>
    <row r="13" spans="2:10" ht="21" customHeight="1" thickBot="1" x14ac:dyDescent="0.3">
      <c r="B13" s="230"/>
      <c r="C13" s="231"/>
      <c r="D13" s="232"/>
      <c r="E13" s="233"/>
      <c r="F13" s="113"/>
      <c r="G13" s="207"/>
      <c r="H13" s="207"/>
      <c r="I13" s="207"/>
      <c r="J13" s="207"/>
    </row>
    <row r="14" spans="2:10" ht="21" customHeight="1" thickBot="1" x14ac:dyDescent="0.3">
      <c r="B14" s="245" t="s">
        <v>137</v>
      </c>
      <c r="C14" s="238"/>
      <c r="D14" s="245" t="s">
        <v>19</v>
      </c>
      <c r="E14" s="188"/>
      <c r="F14" s="204"/>
      <c r="G14" s="449"/>
      <c r="H14" s="449"/>
      <c r="I14" s="449"/>
      <c r="J14" s="449"/>
    </row>
    <row r="15" spans="2:10" ht="21" customHeight="1" x14ac:dyDescent="0.25">
      <c r="B15" s="245" t="s">
        <v>18</v>
      </c>
      <c r="C15" s="238"/>
      <c r="D15" s="245" t="s">
        <v>20</v>
      </c>
      <c r="E15" s="234"/>
      <c r="F15" s="113"/>
      <c r="G15" s="235"/>
      <c r="H15" s="235"/>
      <c r="I15" s="235"/>
      <c r="J15" s="235"/>
    </row>
    <row r="16" spans="2:10" ht="45.75" customHeight="1" x14ac:dyDescent="0.25">
      <c r="B16" s="246" t="s">
        <v>148</v>
      </c>
      <c r="C16" s="240" t="s">
        <v>149</v>
      </c>
      <c r="D16" s="240" t="s">
        <v>150</v>
      </c>
      <c r="E16" s="243" t="s">
        <v>142</v>
      </c>
      <c r="F16" s="204"/>
      <c r="G16" s="207"/>
      <c r="H16" s="207"/>
      <c r="I16" s="207"/>
      <c r="J16" s="208"/>
    </row>
    <row r="17" spans="2:10" ht="21" customHeight="1" thickBot="1" x14ac:dyDescent="0.3">
      <c r="B17" s="247" t="s">
        <v>143</v>
      </c>
      <c r="C17" s="240" t="s">
        <v>149</v>
      </c>
      <c r="D17" s="244" t="s">
        <v>145</v>
      </c>
      <c r="E17" s="243" t="s">
        <v>144</v>
      </c>
      <c r="F17" s="204"/>
      <c r="G17" s="237"/>
      <c r="H17" s="237"/>
      <c r="I17" s="237"/>
      <c r="J17" s="208"/>
    </row>
    <row r="18" spans="2:10" ht="21" customHeight="1" thickBot="1" x14ac:dyDescent="0.3">
      <c r="B18" s="245" t="s">
        <v>133</v>
      </c>
      <c r="C18" s="240" t="s">
        <v>149</v>
      </c>
      <c r="D18" s="240" t="s">
        <v>150</v>
      </c>
      <c r="E18" s="243" t="s">
        <v>146</v>
      </c>
      <c r="F18" s="113"/>
      <c r="G18" s="207"/>
      <c r="H18" s="207"/>
      <c r="I18" s="207"/>
      <c r="J18" s="209"/>
    </row>
    <row r="19" spans="2:10" ht="21" customHeight="1" thickBot="1" x14ac:dyDescent="0.3">
      <c r="B19" s="238"/>
      <c r="C19" s="238"/>
      <c r="D19" s="238"/>
      <c r="E19" s="233"/>
      <c r="F19" s="113"/>
      <c r="G19" s="207"/>
      <c r="H19" s="207"/>
      <c r="I19" s="207"/>
      <c r="J19" s="209"/>
    </row>
    <row r="20" spans="2:10" ht="21" customHeight="1" thickBot="1" x14ac:dyDescent="0.3">
      <c r="B20" s="245" t="s">
        <v>138</v>
      </c>
      <c r="C20" s="238"/>
      <c r="D20" s="245" t="s">
        <v>19</v>
      </c>
      <c r="E20" s="188"/>
      <c r="F20" s="113"/>
      <c r="G20" s="207"/>
      <c r="H20" s="207"/>
      <c r="I20" s="207"/>
      <c r="J20" s="209"/>
    </row>
    <row r="21" spans="2:10" ht="21" customHeight="1" x14ac:dyDescent="0.25">
      <c r="B21" s="245" t="s">
        <v>18</v>
      </c>
      <c r="C21" s="238"/>
      <c r="D21" s="245" t="s">
        <v>20</v>
      </c>
      <c r="E21" s="234"/>
      <c r="F21" s="113"/>
      <c r="G21" s="207"/>
      <c r="H21" s="207"/>
      <c r="I21" s="207"/>
      <c r="J21" s="209"/>
    </row>
    <row r="22" spans="2:10" ht="48" customHeight="1" x14ac:dyDescent="0.25">
      <c r="B22" s="246" t="s">
        <v>148</v>
      </c>
      <c r="C22" s="240" t="s">
        <v>149</v>
      </c>
      <c r="D22" s="240" t="s">
        <v>150</v>
      </c>
      <c r="E22" s="243" t="s">
        <v>142</v>
      </c>
      <c r="F22" s="113"/>
      <c r="G22" s="207"/>
      <c r="H22" s="207"/>
      <c r="I22" s="207"/>
      <c r="J22" s="209"/>
    </row>
    <row r="23" spans="2:10" ht="19.5" customHeight="1" thickBot="1" x14ac:dyDescent="0.3">
      <c r="B23" s="247" t="s">
        <v>143</v>
      </c>
      <c r="C23" s="240" t="s">
        <v>149</v>
      </c>
      <c r="D23" s="244" t="s">
        <v>145</v>
      </c>
      <c r="E23" s="243" t="s">
        <v>144</v>
      </c>
      <c r="F23" s="113"/>
      <c r="G23" s="237"/>
      <c r="H23" s="237"/>
      <c r="I23" s="237"/>
      <c r="J23" s="209"/>
    </row>
    <row r="24" spans="2:10" ht="27" customHeight="1" thickBot="1" x14ac:dyDescent="0.3">
      <c r="B24" s="245" t="s">
        <v>133</v>
      </c>
      <c r="C24" s="240" t="s">
        <v>149</v>
      </c>
      <c r="D24" s="240" t="s">
        <v>150</v>
      </c>
      <c r="E24" s="243" t="s">
        <v>146</v>
      </c>
      <c r="F24" s="113"/>
      <c r="G24" s="207" t="e">
        <f>IF('M 09.12 03'!#REF!=0,"",('M 09.12 03'!#REF!))</f>
        <v>#REF!</v>
      </c>
      <c r="H24" s="207" t="e">
        <f>IF('M 09.12 03'!#REF!=0,"",('M 09.12 03'!#REF!))</f>
        <v>#REF!</v>
      </c>
      <c r="I24" s="207" t="e">
        <f>IF('M 09.12 03'!#REF!=0,"",('M 09.12 03'!#REF!))</f>
        <v>#REF!</v>
      </c>
      <c r="J24" s="209"/>
    </row>
    <row r="25" spans="2:10" ht="27" customHeight="1" thickBot="1" x14ac:dyDescent="0.3">
      <c r="B25" s="238"/>
      <c r="C25" s="238"/>
      <c r="D25" s="238"/>
      <c r="E25" s="233"/>
      <c r="F25" s="113"/>
      <c r="G25" s="207"/>
      <c r="H25" s="207"/>
      <c r="I25" s="207"/>
      <c r="J25" s="209"/>
    </row>
    <row r="26" spans="2:10" ht="27" customHeight="1" thickBot="1" x14ac:dyDescent="0.3">
      <c r="B26" s="245" t="s">
        <v>139</v>
      </c>
      <c r="C26" s="238"/>
      <c r="D26" s="245" t="s">
        <v>19</v>
      </c>
      <c r="E26" s="188"/>
      <c r="F26" s="113"/>
      <c r="G26" s="207"/>
      <c r="H26" s="207"/>
      <c r="I26" s="207"/>
      <c r="J26" s="209"/>
    </row>
    <row r="27" spans="2:10" ht="27" customHeight="1" x14ac:dyDescent="0.25">
      <c r="B27" s="245" t="s">
        <v>18</v>
      </c>
      <c r="C27" s="238"/>
      <c r="D27" s="245" t="s">
        <v>20</v>
      </c>
      <c r="E27" s="234"/>
      <c r="F27" s="113"/>
      <c r="G27" s="207"/>
      <c r="H27" s="207"/>
      <c r="I27" s="207"/>
      <c r="J27" s="209"/>
    </row>
    <row r="28" spans="2:10" ht="47.25" customHeight="1" x14ac:dyDescent="0.25">
      <c r="B28" s="246" t="s">
        <v>148</v>
      </c>
      <c r="C28" s="240" t="s">
        <v>149</v>
      </c>
      <c r="D28" s="240" t="s">
        <v>150</v>
      </c>
      <c r="E28" s="243" t="s">
        <v>142</v>
      </c>
      <c r="F28" s="113"/>
      <c r="G28" s="207"/>
      <c r="H28" s="207"/>
      <c r="I28" s="207"/>
      <c r="J28" s="209"/>
    </row>
    <row r="29" spans="2:10" ht="27" customHeight="1" thickBot="1" x14ac:dyDescent="0.3">
      <c r="B29" s="247" t="s">
        <v>143</v>
      </c>
      <c r="C29" s="240" t="s">
        <v>149</v>
      </c>
      <c r="D29" s="244" t="s">
        <v>145</v>
      </c>
      <c r="E29" s="243" t="s">
        <v>144</v>
      </c>
      <c r="F29" s="113"/>
      <c r="G29" s="237"/>
      <c r="H29" s="237"/>
      <c r="I29" s="237"/>
      <c r="J29" s="209"/>
    </row>
    <row r="30" spans="2:10" ht="27" customHeight="1" x14ac:dyDescent="0.25">
      <c r="B30" s="245" t="s">
        <v>133</v>
      </c>
      <c r="C30" s="240" t="s">
        <v>149</v>
      </c>
      <c r="D30" s="240" t="s">
        <v>150</v>
      </c>
      <c r="E30" s="243" t="s">
        <v>146</v>
      </c>
      <c r="F30" s="113"/>
      <c r="G30" s="207"/>
      <c r="H30" s="207"/>
      <c r="I30" s="207"/>
      <c r="J30" s="209"/>
    </row>
    <row r="31" spans="2:10" ht="27" customHeight="1" x14ac:dyDescent="0.25">
      <c r="B31" s="251"/>
      <c r="C31" s="252"/>
      <c r="D31" s="252"/>
      <c r="E31" s="253"/>
      <c r="F31" s="113"/>
      <c r="G31" s="237"/>
      <c r="H31" s="237"/>
      <c r="I31" s="237"/>
      <c r="J31" s="209"/>
    </row>
    <row r="32" spans="2:10" ht="27" customHeight="1" x14ac:dyDescent="0.25">
      <c r="B32" s="251"/>
      <c r="C32" s="252"/>
      <c r="D32" s="252"/>
      <c r="E32" s="253"/>
      <c r="F32" s="113"/>
      <c r="G32" s="237"/>
      <c r="H32" s="237"/>
      <c r="I32" s="237"/>
      <c r="J32" s="209"/>
    </row>
    <row r="33" spans="2:10" ht="76.5" customHeight="1" x14ac:dyDescent="0.25">
      <c r="B33" s="211"/>
      <c r="C33" s="212"/>
      <c r="D33" s="211"/>
      <c r="E33" s="212"/>
      <c r="F33" s="113"/>
      <c r="G33" s="207"/>
      <c r="H33" s="207"/>
      <c r="I33" s="207"/>
      <c r="J33" s="209"/>
    </row>
    <row r="34" spans="2:10" ht="76.5" customHeight="1" x14ac:dyDescent="0.25">
      <c r="B34" s="448" t="s">
        <v>141</v>
      </c>
      <c r="C34" s="448"/>
      <c r="D34" s="448"/>
      <c r="E34" s="448"/>
      <c r="F34" s="113"/>
      <c r="G34" s="207"/>
      <c r="H34" s="207"/>
      <c r="I34" s="207"/>
      <c r="J34" s="209"/>
    </row>
    <row r="35" spans="2:10" ht="65.25" customHeight="1" thickBot="1" x14ac:dyDescent="0.3">
      <c r="B35" s="113"/>
      <c r="C35" s="113"/>
      <c r="D35" s="113"/>
      <c r="E35" s="113"/>
      <c r="F35" s="113"/>
      <c r="G35" s="113"/>
      <c r="H35" s="113"/>
      <c r="I35" s="113"/>
      <c r="J35" s="113"/>
    </row>
    <row r="36" spans="2:10" s="97" customFormat="1" ht="23.25" customHeight="1" x14ac:dyDescent="0.25">
      <c r="B36" s="221">
        <v>1</v>
      </c>
      <c r="C36" s="225">
        <v>42982</v>
      </c>
      <c r="D36" s="284" t="s">
        <v>147</v>
      </c>
      <c r="E36" s="285"/>
      <c r="F36" s="285"/>
      <c r="G36" s="286"/>
      <c r="H36" s="241" t="s">
        <v>140</v>
      </c>
      <c r="I36" s="229" t="s">
        <v>82</v>
      </c>
      <c r="J36" s="226" t="s">
        <v>82</v>
      </c>
    </row>
    <row r="37" spans="2:10" ht="23.25" customHeight="1" thickBot="1" x14ac:dyDescent="0.3">
      <c r="B37" s="222" t="s">
        <v>83</v>
      </c>
      <c r="C37" s="220" t="s">
        <v>18</v>
      </c>
      <c r="D37" s="445" t="s">
        <v>84</v>
      </c>
      <c r="E37" s="446"/>
      <c r="F37" s="446"/>
      <c r="G37" s="447"/>
      <c r="H37" s="242" t="s">
        <v>89</v>
      </c>
      <c r="I37" s="228" t="s">
        <v>90</v>
      </c>
      <c r="J37" s="223" t="s">
        <v>90</v>
      </c>
    </row>
    <row r="38" spans="2:10" ht="4.5" customHeight="1" x14ac:dyDescent="0.25"/>
    <row r="39" spans="2:10" ht="14.25" hidden="1" customHeight="1" x14ac:dyDescent="0.25"/>
    <row r="40" spans="2:10" ht="14.25" hidden="1" x14ac:dyDescent="0.25"/>
    <row r="41" spans="2:10" ht="14.25" hidden="1" x14ac:dyDescent="0.25"/>
    <row r="42" spans="2:10" ht="14.25" hidden="1" x14ac:dyDescent="0.25"/>
    <row r="43" spans="2:10" ht="14.25" hidden="1" x14ac:dyDescent="0.25"/>
    <row r="44" spans="2:10" ht="14.25" hidden="1" x14ac:dyDescent="0.25"/>
    <row r="45" spans="2:10" ht="14.25" hidden="1" x14ac:dyDescent="0.25"/>
    <row r="46" spans="2:10" ht="14.25" hidden="1" x14ac:dyDescent="0.25"/>
    <row r="47" spans="2:10" ht="14.25" hidden="1" x14ac:dyDescent="0.25"/>
    <row r="48" spans="2:10" ht="14.25" hidden="1" x14ac:dyDescent="0.25"/>
    <row r="49" ht="14.25" hidden="1" x14ac:dyDescent="0.25"/>
    <row r="50" ht="14.25" hidden="1" x14ac:dyDescent="0.25"/>
    <row r="51" ht="14.25" hidden="1" x14ac:dyDescent="0.25"/>
    <row r="52" ht="14.25" hidden="1" x14ac:dyDescent="0.25"/>
    <row r="53" ht="14.25" hidden="1" x14ac:dyDescent="0.25"/>
    <row r="54" ht="14.25" hidden="1" x14ac:dyDescent="0.25"/>
    <row r="55" ht="14.25" hidden="1" x14ac:dyDescent="0.25"/>
    <row r="56" ht="14.25" hidden="1" x14ac:dyDescent="0.25"/>
    <row r="57" ht="14.25" hidden="1" x14ac:dyDescent="0.25"/>
    <row r="58" ht="14.25" hidden="1" x14ac:dyDescent="0.25"/>
    <row r="59" ht="14.25" hidden="1" x14ac:dyDescent="0.25"/>
    <row r="60" ht="14.25" hidden="1" x14ac:dyDescent="0.25"/>
    <row r="61" ht="14.25" hidden="1" x14ac:dyDescent="0.25"/>
    <row r="62" ht="14.25" hidden="1" x14ac:dyDescent="0.25"/>
    <row r="63" ht="14.25" hidden="1" x14ac:dyDescent="0.25"/>
    <row r="64" ht="14.25" hidden="1" x14ac:dyDescent="0.25"/>
    <row r="65" ht="14.25" hidden="1" x14ac:dyDescent="0.25"/>
    <row r="66" ht="14.25" hidden="1" x14ac:dyDescent="0.25"/>
    <row r="67" ht="14.25" hidden="1" x14ac:dyDescent="0.25"/>
    <row r="68" ht="14.25" hidden="1" x14ac:dyDescent="0.25"/>
    <row r="69" ht="14.25" hidden="1" x14ac:dyDescent="0.25"/>
    <row r="70" ht="14.25" hidden="1" x14ac:dyDescent="0.25"/>
    <row r="71" ht="14.25" hidden="1" x14ac:dyDescent="0.25"/>
    <row r="72" ht="14.25" hidden="1" x14ac:dyDescent="0.25"/>
    <row r="73" ht="14.25" hidden="1" x14ac:dyDescent="0.25"/>
    <row r="74" ht="14.25" hidden="1" x14ac:dyDescent="0.25"/>
    <row r="75" ht="14.25" hidden="1" x14ac:dyDescent="0.25"/>
    <row r="76" ht="14.25" hidden="1" x14ac:dyDescent="0.25"/>
    <row r="77" ht="14.25" hidden="1" x14ac:dyDescent="0.25"/>
    <row r="78" ht="14.25" hidden="1" x14ac:dyDescent="0.25"/>
    <row r="79" ht="14.25" hidden="1" x14ac:dyDescent="0.25"/>
    <row r="80" ht="14.25" hidden="1" x14ac:dyDescent="0.25"/>
    <row r="81" ht="14.25" hidden="1" x14ac:dyDescent="0.25"/>
    <row r="82" ht="14.25" hidden="1" x14ac:dyDescent="0.25"/>
    <row r="83" ht="14.25" hidden="1" x14ac:dyDescent="0.25"/>
    <row r="84" ht="14.25" hidden="1" x14ac:dyDescent="0.25"/>
    <row r="85" ht="14.25" hidden="1" x14ac:dyDescent="0.25"/>
    <row r="86" ht="14.25" hidden="1" x14ac:dyDescent="0.25"/>
    <row r="87" ht="14.25" hidden="1" x14ac:dyDescent="0.25"/>
    <row r="88" ht="14.25" hidden="1" x14ac:dyDescent="0.25"/>
    <row r="89" ht="14.25" hidden="1" x14ac:dyDescent="0.25"/>
    <row r="90" ht="14.25" hidden="1" x14ac:dyDescent="0.25"/>
    <row r="91" ht="14.25" hidden="1" x14ac:dyDescent="0.25"/>
    <row r="92" ht="14.25" hidden="1" x14ac:dyDescent="0.25"/>
    <row r="93" ht="14.25" hidden="1" x14ac:dyDescent="0.25"/>
    <row r="94" ht="14.25" hidden="1" x14ac:dyDescent="0.25"/>
    <row r="95" ht="14.25" hidden="1" x14ac:dyDescent="0.25"/>
    <row r="96" ht="14.25" hidden="1" x14ac:dyDescent="0.25"/>
    <row r="97" ht="14.25" hidden="1" x14ac:dyDescent="0.25"/>
    <row r="98" ht="14.25" hidden="1" x14ac:dyDescent="0.25"/>
    <row r="99" ht="14.25" hidden="1" x14ac:dyDescent="0.25"/>
    <row r="100" ht="14.25" hidden="1" x14ac:dyDescent="0.25"/>
    <row r="101" ht="14.25" hidden="1" x14ac:dyDescent="0.25"/>
    <row r="102" ht="14.25" hidden="1" x14ac:dyDescent="0.25"/>
    <row r="103" ht="14.25" hidden="1" x14ac:dyDescent="0.25"/>
    <row r="104" ht="14.25" hidden="1" x14ac:dyDescent="0.25"/>
    <row r="105" ht="14.25" hidden="1" x14ac:dyDescent="0.25"/>
    <row r="106" ht="14.25" hidden="1" x14ac:dyDescent="0.25"/>
    <row r="107" ht="14.25" hidden="1" x14ac:dyDescent="0.25"/>
    <row r="108" ht="14.25" hidden="1" x14ac:dyDescent="0.25"/>
    <row r="109" ht="14.25" customHeight="1" x14ac:dyDescent="0.25"/>
    <row r="110" ht="14.25" customHeight="1" x14ac:dyDescent="0.25"/>
    <row r="111" ht="14.25" customHeight="1" x14ac:dyDescent="0.25"/>
  </sheetData>
  <mergeCells count="19">
    <mergeCell ref="B6:J6"/>
    <mergeCell ref="G8:H8"/>
    <mergeCell ref="I8:J8"/>
    <mergeCell ref="B2:C2"/>
    <mergeCell ref="D2:H2"/>
    <mergeCell ref="I2:J2"/>
    <mergeCell ref="B4:C4"/>
    <mergeCell ref="D4:E4"/>
    <mergeCell ref="F4:H4"/>
    <mergeCell ref="I4:J4"/>
    <mergeCell ref="D36:G36"/>
    <mergeCell ref="D37:G37"/>
    <mergeCell ref="B34:E34"/>
    <mergeCell ref="G10:H10"/>
    <mergeCell ref="I10:J10"/>
    <mergeCell ref="G12:H12"/>
    <mergeCell ref="I12:J12"/>
    <mergeCell ref="G14:H14"/>
    <mergeCell ref="I14:J14"/>
  </mergeCells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M 09.12 01</vt:lpstr>
      <vt:lpstr>M 09. 12 02</vt:lpstr>
      <vt:lpstr>M 09.12 03</vt:lpstr>
      <vt:lpstr>M 09.12 04</vt:lpstr>
      <vt:lpstr>M 09.12 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STriolo</cp:lastModifiedBy>
  <cp:lastPrinted>2021-10-08T07:54:01Z</cp:lastPrinted>
  <dcterms:created xsi:type="dcterms:W3CDTF">2014-09-02T06:30:28Z</dcterms:created>
  <dcterms:modified xsi:type="dcterms:W3CDTF">2021-10-08T07:58:38Z</dcterms:modified>
</cp:coreProperties>
</file>