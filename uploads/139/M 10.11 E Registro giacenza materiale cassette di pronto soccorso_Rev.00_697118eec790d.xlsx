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\\192.168.0.5\Arc\CdG QUALITA'\1. ISO 9001\Capitolo 10 - ST, CoA, Pulizia\"/>
    </mc:Choice>
  </mc:AlternateContent>
  <xr:revisionPtr revIDLastSave="0" documentId="13_ncr:1_{7C533D37-E3F7-4DFA-A453-37221BF2386D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Giacenza materiale" sheetId="1" r:id="rId1"/>
    <sheet name="Ufficio" sheetId="9" r:id="rId2"/>
    <sheet name="Officina" sheetId="8" r:id="rId3"/>
    <sheet name="Magazzino imballi" sheetId="7" r:id="rId4"/>
    <sheet name="Trasformazione" sheetId="6" r:id="rId5"/>
    <sheet name="Depuratore" sheetId="5" r:id="rId6"/>
    <sheet name="Prodotti finiti" sheetId="4" r:id="rId7"/>
    <sheet name="Laboratorio" sheetId="2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9" l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3" i="9" s="1"/>
  <c r="A24" i="9" s="1"/>
  <c r="A25" i="9" s="1"/>
  <c r="A7" i="8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7" i="7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20" i="7" s="1"/>
  <c r="A21" i="7" s="1"/>
  <c r="A22" i="7" s="1"/>
  <c r="A23" i="7" s="1"/>
  <c r="A24" i="7" s="1"/>
  <c r="A25" i="7" s="1"/>
  <c r="A7" i="6"/>
  <c r="A9" i="6" s="1"/>
  <c r="A10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7" i="5"/>
  <c r="A8" i="5" s="1"/>
  <c r="A9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7" i="4"/>
  <c r="A8" i="4" s="1"/>
  <c r="A9" i="4" s="1"/>
  <c r="A11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5" i="4" s="1"/>
  <c r="A26" i="4" s="1"/>
  <c r="A27" i="4" s="1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</calcChain>
</file>

<file path=xl/sharedStrings.xml><?xml version="1.0" encoding="utf-8"?>
<sst xmlns="http://schemas.openxmlformats.org/spreadsheetml/2006/main" count="266" uniqueCount="53">
  <si>
    <t>PRODOTTO</t>
  </si>
  <si>
    <t>N.</t>
  </si>
  <si>
    <t>-</t>
  </si>
  <si>
    <t>Approvato da: Salvatore Rizzo</t>
  </si>
  <si>
    <t>Emesso da: Team qualità</t>
  </si>
  <si>
    <r>
      <t xml:space="preserve">GIACENZA MATERIALE PER CASSETTE DI PRONTO SOCCORSO </t>
    </r>
    <r>
      <rPr>
        <b/>
        <sz val="16"/>
        <color rgb="FFFF0000"/>
        <rFont val="Calibri"/>
        <family val="2"/>
        <scheme val="minor"/>
      </rPr>
      <t>M 10.11 E</t>
    </r>
  </si>
  <si>
    <t>Cod. M 10.11 E</t>
  </si>
  <si>
    <t>DATA</t>
  </si>
  <si>
    <t>UNITÀ</t>
  </si>
  <si>
    <t>SCADENZA</t>
  </si>
  <si>
    <t>Compresse di garza sterile 18x40 in buste singole</t>
  </si>
  <si>
    <t>Teli sterili monouso</t>
  </si>
  <si>
    <t>Confezione di rete elastica</t>
  </si>
  <si>
    <t>Forbici</t>
  </si>
  <si>
    <t>Rotoli di cerotto alto 2,5cm</t>
  </si>
  <si>
    <t>Confezione di cerotti di varie misure pronti all'uso 40 pz.</t>
  </si>
  <si>
    <t>Ghiaccio pronto all'uso</t>
  </si>
  <si>
    <t>Compresse di garza sterile 10x10 in buste da 50pz.</t>
  </si>
  <si>
    <t>Apparecchio misurazione pressione arteriosa</t>
  </si>
  <si>
    <t>Guanti sterili monouso</t>
  </si>
  <si>
    <t>Soluzione cutanea 10% iodio</t>
  </si>
  <si>
    <t>Cotone idrofilo confezione grande</t>
  </si>
  <si>
    <t>Visiera paraschizzi</t>
  </si>
  <si>
    <t>Termometro</t>
  </si>
  <si>
    <t>Pinzetta da medicazione sterile monouso</t>
  </si>
  <si>
    <t>Lacci emostatici</t>
  </si>
  <si>
    <t>Sacchetti monouso per la raccolta di rifiuti sanitari</t>
  </si>
  <si>
    <t>Gel scottature monodose</t>
  </si>
  <si>
    <t>Flaconi di soluzione fisiologica (sodio cloruro - 0,9%)</t>
  </si>
  <si>
    <t>Motivo: Nuovo documento</t>
  </si>
  <si>
    <t>Rev.00 del 04/11/2024</t>
  </si>
  <si>
    <t>Materiale contenuto</t>
  </si>
  <si>
    <t>Quantità</t>
  </si>
  <si>
    <t>Data di scadenza</t>
  </si>
  <si>
    <t>Pinzetta da medicazioni sterili monouso</t>
  </si>
  <si>
    <t>Flaconi soluzione iodio (10% di iodio)</t>
  </si>
  <si>
    <t>Compresse di garza sterile 10x10 in buste singole</t>
  </si>
  <si>
    <t>Confezione di rete elastica di misura media</t>
  </si>
  <si>
    <t>Confezione di cotone idrofilo</t>
  </si>
  <si>
    <t>Confezioni di cerotti di varie misure pronti all'uso</t>
  </si>
  <si>
    <t>Rotoli di cerotto alto cm. 2,5</t>
  </si>
  <si>
    <t>Ghiaccio pronto uso</t>
  </si>
  <si>
    <t>Sacchetti per la raccolta di rifiuti sanitari</t>
  </si>
  <si>
    <t>Crema scottature</t>
  </si>
  <si>
    <t>5 paia</t>
  </si>
  <si>
    <t>3 da 500mL</t>
  </si>
  <si>
    <t>2 da 500mL</t>
  </si>
  <si>
    <t>40 pz</t>
  </si>
  <si>
    <t>01/05/2028            01/07/2029</t>
  </si>
  <si>
    <t>Soluzione per occhi</t>
  </si>
  <si>
    <t>in arrivo</t>
  </si>
  <si>
    <t>Aggiornato al</t>
  </si>
  <si>
    <t>Punti adesivi (varie misure) - armadio ufficio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</si>
</sst>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14" fontId="1" fillId="0" borderId="7" xfId="0" applyNumberFormat="1" applyFont="1" applyBorder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4" fontId="1" fillId="3" borderId="7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17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0" fillId="0" borderId="13" xfId="0" applyBorder="1"/>
    <xf numFmtId="0" fontId="0" fillId="0" borderId="7" xfId="0" applyBorder="1"/>
    <xf numFmtId="0" fontId="0" fillId="0" borderId="7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1" fillId="0" borderId="8" xfId="0" applyFont="1" applyBorder="1"/>
    <xf numFmtId="0" fontId="1" fillId="0" borderId="9" xfId="0" applyFont="1" applyBorder="1"/>
    <xf numFmtId="0" fontId="1" fillId="0" borderId="15" xfId="0" applyFont="1" applyBorder="1"/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17" fontId="0" fillId="0" borderId="7" xfId="0" applyNumberFormat="1" applyBorder="1"/>
    <xf numFmtId="17" fontId="0" fillId="0" borderId="14" xfId="0" applyNumberFormat="1" applyBorder="1"/>
    <xf numFmtId="17" fontId="0" fillId="0" borderId="0" xfId="0" applyNumberFormat="1" applyAlignment="1">
      <alignment horizontal="center" vertical="center" wrapText="1"/>
    </xf>
    <xf numFmtId="14" fontId="0" fillId="0" borderId="4" xfId="0" applyNumberFormat="1" applyBorder="1" applyAlignment="1">
      <alignment horizontal="left" vertical="center"/>
    </xf>
    <xf numFmtId="14" fontId="0" fillId="0" borderId="6" xfId="0" applyNumberForma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17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14" fontId="1" fillId="0" borderId="0" xfId="0" applyNumberFormat="1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17" fontId="0" fillId="4" borderId="0" xfId="0" applyNumberFormat="1" applyFill="1" applyAlignment="1">
      <alignment horizontal="center" vertical="center"/>
    </xf>
  </cellXfs>
  <cellStyles count="1">
    <cellStyle name="Normale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outline="0">
        <left style="medium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outline="0">
        <right style="medium">
          <color indexed="64"/>
        </right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B899B5-53C0-4769-853F-435FEB80BA9A}" name="Tabella1" displayName="Tabella1" ref="B10:F31" totalsRowShown="0" headerRowDxfId="7" headerRowBorderDxfId="6" tableBorderDxfId="5">
  <autoFilter ref="B10:F31" xr:uid="{EBB899B5-53C0-4769-853F-435FEB80BA9A}"/>
  <sortState xmlns:xlrd2="http://schemas.microsoft.com/office/spreadsheetml/2017/richdata2" ref="B11:F31">
    <sortCondition ref="C10:C31"/>
  </sortState>
  <tableColumns count="5">
    <tableColumn id="1" xr3:uid="{7A4D39B0-579C-497A-9BC6-AF868F398D01}" name="N." dataDxfId="4"/>
    <tableColumn id="2" xr3:uid="{8A129F1D-A83C-4609-8F91-602F47D62225}" name="DATA" dataDxfId="3"/>
    <tableColumn id="3" xr3:uid="{178FC7AC-895F-4112-8787-53A41725CDE8}" name="PRODOTTO" dataDxfId="2"/>
    <tableColumn id="5" xr3:uid="{3D75A9F2-2347-47FA-9060-A548C2FA4E39}" name="UNITÀ" dataDxfId="1"/>
    <tableColumn id="8" xr3:uid="{571FABE6-1FB2-4E3B-9535-E126CE9A2C1C}" name="SCADENZA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49"/>
  <sheetViews>
    <sheetView tabSelected="1" topLeftCell="A7" workbookViewId="0">
      <selection activeCell="G33" sqref="G33"/>
    </sheetView>
  </sheetViews>
  <sheetFormatPr defaultRowHeight="15" x14ac:dyDescent="0.25"/>
  <cols>
    <col min="2" max="2" width="10.7109375" style="3" bestFit="1" customWidth="1"/>
    <col min="3" max="3" width="16.5703125" style="9" customWidth="1"/>
    <col min="4" max="4" width="67.140625" style="2" bestFit="1" customWidth="1"/>
    <col min="5" max="5" width="24.140625" style="1" customWidth="1"/>
    <col min="6" max="6" width="20.7109375" style="3" bestFit="1" customWidth="1"/>
    <col min="7" max="7" width="25.140625" bestFit="1" customWidth="1"/>
  </cols>
  <sheetData>
    <row r="1" spans="2:6" x14ac:dyDescent="0.25">
      <c r="B1" s="39" t="s">
        <v>5</v>
      </c>
      <c r="C1" s="40"/>
      <c r="D1" s="40"/>
      <c r="E1" s="40"/>
      <c r="F1" s="40"/>
    </row>
    <row r="2" spans="2:6" ht="15.75" thickBot="1" x14ac:dyDescent="0.3">
      <c r="B2" s="41"/>
      <c r="C2" s="42"/>
      <c r="D2" s="42"/>
      <c r="E2" s="42"/>
      <c r="F2" s="42"/>
    </row>
    <row r="3" spans="2:6" ht="15.75" thickBot="1" x14ac:dyDescent="0.3"/>
    <row r="4" spans="2:6" x14ac:dyDescent="0.25">
      <c r="B4" s="43" t="s">
        <v>6</v>
      </c>
      <c r="C4" s="44"/>
    </row>
    <row r="5" spans="2:6" x14ac:dyDescent="0.25">
      <c r="B5" s="45" t="s">
        <v>4</v>
      </c>
      <c r="C5" s="46"/>
    </row>
    <row r="6" spans="2:6" x14ac:dyDescent="0.25">
      <c r="B6" s="45" t="s">
        <v>3</v>
      </c>
      <c r="C6" s="46"/>
      <c r="E6" s="1" t="s">
        <v>51</v>
      </c>
      <c r="F6" s="55">
        <v>45863</v>
      </c>
    </row>
    <row r="7" spans="2:6" x14ac:dyDescent="0.25">
      <c r="B7" s="45" t="s">
        <v>29</v>
      </c>
      <c r="C7" s="46"/>
    </row>
    <row r="8" spans="2:6" ht="15.75" thickBot="1" x14ac:dyDescent="0.3">
      <c r="B8" s="37" t="s">
        <v>30</v>
      </c>
      <c r="C8" s="38"/>
    </row>
    <row r="9" spans="2:6" ht="15.75" thickBot="1" x14ac:dyDescent="0.3"/>
    <row r="10" spans="2:6" s="4" customFormat="1" ht="15.75" thickBot="1" x14ac:dyDescent="0.3">
      <c r="B10" s="7" t="s">
        <v>1</v>
      </c>
      <c r="C10" s="8" t="s">
        <v>7</v>
      </c>
      <c r="D10" s="8" t="s">
        <v>0</v>
      </c>
      <c r="E10" s="8" t="s">
        <v>8</v>
      </c>
      <c r="F10" s="8" t="s">
        <v>9</v>
      </c>
    </row>
    <row r="11" spans="2:6" s="2" customFormat="1" x14ac:dyDescent="0.25">
      <c r="B11" s="3">
        <v>1</v>
      </c>
      <c r="C11" s="11">
        <v>45594</v>
      </c>
      <c r="D11" s="2" t="s">
        <v>10</v>
      </c>
      <c r="E11" s="1">
        <v>34</v>
      </c>
      <c r="F11" s="12">
        <v>46600</v>
      </c>
    </row>
    <row r="12" spans="2:6" s="2" customFormat="1" x14ac:dyDescent="0.25">
      <c r="B12" s="13">
        <v>2</v>
      </c>
      <c r="C12" s="14">
        <v>45594</v>
      </c>
      <c r="D12" s="15" t="s">
        <v>11</v>
      </c>
      <c r="E12" s="16">
        <v>0</v>
      </c>
      <c r="F12" s="17" t="s">
        <v>2</v>
      </c>
    </row>
    <row r="13" spans="2:6" s="2" customFormat="1" ht="34.5" customHeight="1" x14ac:dyDescent="0.25">
      <c r="B13" s="3">
        <v>3</v>
      </c>
      <c r="C13" s="11">
        <v>45594</v>
      </c>
      <c r="D13" s="2" t="s">
        <v>12</v>
      </c>
      <c r="E13" s="1">
        <v>4</v>
      </c>
      <c r="F13" s="36" t="s">
        <v>48</v>
      </c>
    </row>
    <row r="14" spans="2:6" s="2" customFormat="1" ht="17.25" customHeight="1" x14ac:dyDescent="0.25">
      <c r="B14" s="3">
        <v>4</v>
      </c>
      <c r="C14" s="11">
        <v>45594</v>
      </c>
      <c r="D14" s="2" t="s">
        <v>13</v>
      </c>
      <c r="E14" s="1">
        <v>2</v>
      </c>
      <c r="F14" s="12" t="s">
        <v>2</v>
      </c>
    </row>
    <row r="15" spans="2:6" s="2" customFormat="1" ht="15" customHeight="1" x14ac:dyDescent="0.25">
      <c r="B15" s="13">
        <v>5</v>
      </c>
      <c r="C15" s="14">
        <v>45594</v>
      </c>
      <c r="D15" s="15" t="s">
        <v>14</v>
      </c>
      <c r="E15" s="16">
        <v>0</v>
      </c>
      <c r="F15" s="17" t="s">
        <v>2</v>
      </c>
    </row>
    <row r="16" spans="2:6" s="2" customFormat="1" x14ac:dyDescent="0.25">
      <c r="B16" s="3">
        <v>6</v>
      </c>
      <c r="C16" s="11">
        <v>45594</v>
      </c>
      <c r="D16" s="5" t="s">
        <v>15</v>
      </c>
      <c r="E16" s="6">
        <v>4</v>
      </c>
      <c r="F16" s="12">
        <v>46661</v>
      </c>
    </row>
    <row r="17" spans="2:6" s="2" customFormat="1" x14ac:dyDescent="0.25">
      <c r="B17" s="3">
        <v>7</v>
      </c>
      <c r="C17" s="11">
        <v>45594</v>
      </c>
      <c r="D17" s="2" t="s">
        <v>16</v>
      </c>
      <c r="E17" s="1">
        <v>8</v>
      </c>
      <c r="F17" s="12">
        <v>45962</v>
      </c>
    </row>
    <row r="18" spans="2:6" s="2" customFormat="1" ht="18" customHeight="1" x14ac:dyDescent="0.25">
      <c r="B18" s="3">
        <v>8</v>
      </c>
      <c r="C18" s="11">
        <v>45594</v>
      </c>
      <c r="D18" s="2" t="s">
        <v>17</v>
      </c>
      <c r="E18" s="1">
        <v>5</v>
      </c>
      <c r="F18" s="12">
        <v>45992</v>
      </c>
    </row>
    <row r="19" spans="2:6" s="2" customFormat="1" ht="15.75" customHeight="1" x14ac:dyDescent="0.25">
      <c r="B19" s="13">
        <v>9</v>
      </c>
      <c r="C19" s="14">
        <v>45594</v>
      </c>
      <c r="D19" s="15" t="s">
        <v>18</v>
      </c>
      <c r="E19" s="16">
        <v>0</v>
      </c>
      <c r="F19" s="17" t="s">
        <v>2</v>
      </c>
    </row>
    <row r="20" spans="2:6" s="2" customFormat="1" ht="16.5" customHeight="1" x14ac:dyDescent="0.25">
      <c r="B20" s="3">
        <v>10</v>
      </c>
      <c r="C20" s="11">
        <v>45594</v>
      </c>
      <c r="D20" s="2" t="s">
        <v>19</v>
      </c>
      <c r="E20" s="1">
        <v>1</v>
      </c>
      <c r="F20" s="12">
        <v>47239</v>
      </c>
    </row>
    <row r="21" spans="2:6" s="2" customFormat="1" ht="18" customHeight="1" x14ac:dyDescent="0.25">
      <c r="B21" s="3">
        <v>11</v>
      </c>
      <c r="C21" s="11">
        <v>45693</v>
      </c>
      <c r="D21" s="2" t="s">
        <v>20</v>
      </c>
      <c r="E21" s="1">
        <v>1</v>
      </c>
      <c r="F21" s="12">
        <v>46447</v>
      </c>
    </row>
    <row r="22" spans="2:6" ht="15.75" customHeight="1" x14ac:dyDescent="0.25">
      <c r="B22" s="3">
        <v>12</v>
      </c>
      <c r="C22" s="11">
        <v>45594</v>
      </c>
      <c r="D22" s="2" t="s">
        <v>21</v>
      </c>
      <c r="E22" s="1">
        <v>3</v>
      </c>
      <c r="F22" s="12">
        <v>46753</v>
      </c>
    </row>
    <row r="23" spans="2:6" ht="23.25" customHeight="1" x14ac:dyDescent="0.25">
      <c r="B23" s="13">
        <v>13</v>
      </c>
      <c r="C23" s="14">
        <v>45594</v>
      </c>
      <c r="D23" s="15" t="s">
        <v>22</v>
      </c>
      <c r="E23" s="16">
        <v>0</v>
      </c>
      <c r="F23" s="17" t="s">
        <v>2</v>
      </c>
    </row>
    <row r="24" spans="2:6" ht="16.5" customHeight="1" x14ac:dyDescent="0.25">
      <c r="B24" s="13">
        <v>14</v>
      </c>
      <c r="C24" s="14">
        <v>45594</v>
      </c>
      <c r="D24" s="18" t="s">
        <v>23</v>
      </c>
      <c r="E24" s="19">
        <v>0</v>
      </c>
      <c r="F24" s="17" t="s">
        <v>2</v>
      </c>
    </row>
    <row r="25" spans="2:6" ht="21" customHeight="1" x14ac:dyDescent="0.25">
      <c r="B25" s="3">
        <v>15</v>
      </c>
      <c r="C25" s="11">
        <v>45594</v>
      </c>
      <c r="D25" s="2" t="s">
        <v>24</v>
      </c>
      <c r="E25" s="1">
        <v>1</v>
      </c>
      <c r="F25" s="12">
        <v>47392</v>
      </c>
    </row>
    <row r="26" spans="2:6" ht="20.25" customHeight="1" x14ac:dyDescent="0.25">
      <c r="B26" s="13">
        <v>16</v>
      </c>
      <c r="C26" s="14">
        <v>45594</v>
      </c>
      <c r="D26" s="15" t="s">
        <v>25</v>
      </c>
      <c r="E26" s="16">
        <v>0</v>
      </c>
      <c r="F26" s="17" t="s">
        <v>2</v>
      </c>
    </row>
    <row r="27" spans="2:6" ht="20.25" customHeight="1" x14ac:dyDescent="0.25">
      <c r="B27" s="13">
        <v>17</v>
      </c>
      <c r="C27" s="14">
        <v>45594</v>
      </c>
      <c r="D27" s="15" t="s">
        <v>26</v>
      </c>
      <c r="E27" s="16">
        <v>0</v>
      </c>
      <c r="F27" s="17" t="s">
        <v>2</v>
      </c>
    </row>
    <row r="28" spans="2:6" ht="18.75" customHeight="1" x14ac:dyDescent="0.25">
      <c r="B28" s="3">
        <v>18</v>
      </c>
      <c r="C28" s="11">
        <v>45693</v>
      </c>
      <c r="D28" s="5" t="s">
        <v>27</v>
      </c>
      <c r="E28" s="6">
        <v>6</v>
      </c>
      <c r="F28" s="12">
        <v>46692</v>
      </c>
    </row>
    <row r="29" spans="2:6" ht="18" customHeight="1" x14ac:dyDescent="0.25">
      <c r="B29" s="3">
        <v>19</v>
      </c>
      <c r="C29" s="11">
        <v>45601</v>
      </c>
      <c r="D29" s="2" t="s">
        <v>28</v>
      </c>
      <c r="E29" s="1">
        <v>5</v>
      </c>
      <c r="F29" s="12">
        <v>46447</v>
      </c>
    </row>
    <row r="30" spans="2:6" ht="18" customHeight="1" x14ac:dyDescent="0.25">
      <c r="B30" s="53">
        <v>20</v>
      </c>
      <c r="C30" s="11">
        <v>45862</v>
      </c>
      <c r="D30" s="54" t="s">
        <v>52</v>
      </c>
      <c r="E30" s="1">
        <v>3</v>
      </c>
      <c r="F30" s="12">
        <v>46569</v>
      </c>
    </row>
    <row r="31" spans="2:6" ht="17.25" customHeight="1" x14ac:dyDescent="0.25">
      <c r="B31" s="56">
        <v>21</v>
      </c>
      <c r="C31" s="57"/>
      <c r="D31" s="58" t="s">
        <v>49</v>
      </c>
      <c r="E31" s="59">
        <v>0</v>
      </c>
      <c r="F31" s="60" t="s">
        <v>50</v>
      </c>
    </row>
    <row r="32" spans="2:6" ht="18" customHeight="1" x14ac:dyDescent="0.25"/>
    <row r="33" spans="2:2" ht="33" customHeight="1" x14ac:dyDescent="0.25">
      <c r="B33" s="10"/>
    </row>
    <row r="34" spans="2:2" ht="18" customHeight="1" x14ac:dyDescent="0.25"/>
    <row r="35" spans="2:2" ht="18" customHeight="1" x14ac:dyDescent="0.25"/>
    <row r="36" spans="2:2" ht="18" customHeight="1" x14ac:dyDescent="0.25"/>
    <row r="37" spans="2:2" ht="18" customHeight="1" x14ac:dyDescent="0.25"/>
    <row r="38" spans="2:2" ht="30.75" customHeight="1" x14ac:dyDescent="0.25"/>
    <row r="39" spans="2:2" ht="18" customHeight="1" x14ac:dyDescent="0.25"/>
    <row r="40" spans="2:2" ht="18" customHeight="1" x14ac:dyDescent="0.25"/>
    <row r="41" spans="2:2" ht="18" customHeight="1" x14ac:dyDescent="0.25"/>
    <row r="42" spans="2:2" ht="18" customHeight="1" x14ac:dyDescent="0.25"/>
    <row r="43" spans="2:2" ht="36" customHeight="1" x14ac:dyDescent="0.25"/>
    <row r="44" spans="2:2" ht="18" customHeight="1" x14ac:dyDescent="0.25"/>
    <row r="45" spans="2:2" ht="32.25" customHeight="1" x14ac:dyDescent="0.25"/>
    <row r="46" spans="2:2" ht="25.5" customHeight="1" x14ac:dyDescent="0.25"/>
    <row r="47" spans="2:2" ht="18" customHeight="1" x14ac:dyDescent="0.25"/>
    <row r="48" spans="2:2" ht="18" customHeight="1" x14ac:dyDescent="0.25"/>
    <row r="49" ht="21" customHeight="1" x14ac:dyDescent="0.25"/>
  </sheetData>
  <mergeCells count="6">
    <mergeCell ref="B8:C8"/>
    <mergeCell ref="B1:F2"/>
    <mergeCell ref="B4:C4"/>
    <mergeCell ref="B5:C5"/>
    <mergeCell ref="B6:C6"/>
    <mergeCell ref="B7:C7"/>
  </mergeCells>
  <pageMargins left="0.7" right="0.7" top="0.75" bottom="0.75" header="0.3" footer="0.3"/>
  <pageSetup paperSize="9" scale="58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69FD-0D72-4CF1-BF06-C67B0AE5E09C}">
  <dimension ref="A4:D25"/>
  <sheetViews>
    <sheetView workbookViewId="0">
      <selection activeCell="D8" sqref="D8"/>
    </sheetView>
  </sheetViews>
  <sheetFormatPr defaultRowHeight="15" x14ac:dyDescent="0.25"/>
  <cols>
    <col min="2" max="2" width="31.28515625" customWidth="1"/>
    <col min="4" max="4" width="17" customWidth="1"/>
  </cols>
  <sheetData>
    <row r="4" spans="1:4" ht="15.75" thickBot="1" x14ac:dyDescent="0.3"/>
    <row r="5" spans="1:4" ht="15.75" thickBot="1" x14ac:dyDescent="0.3">
      <c r="B5" s="28" t="s">
        <v>31</v>
      </c>
      <c r="C5" s="29" t="s">
        <v>32</v>
      </c>
      <c r="D5" s="30" t="s">
        <v>33</v>
      </c>
    </row>
    <row r="6" spans="1:4" x14ac:dyDescent="0.25">
      <c r="A6" s="31">
        <v>1</v>
      </c>
      <c r="B6" s="20" t="s">
        <v>22</v>
      </c>
      <c r="C6" s="24">
        <v>1</v>
      </c>
      <c r="D6" s="20" t="s">
        <v>2</v>
      </c>
    </row>
    <row r="7" spans="1:4" x14ac:dyDescent="0.25">
      <c r="A7" s="32">
        <f>A6+1</f>
        <v>2</v>
      </c>
      <c r="B7" s="22" t="s">
        <v>19</v>
      </c>
      <c r="C7" s="25" t="s">
        <v>44</v>
      </c>
      <c r="D7" s="34">
        <v>47178</v>
      </c>
    </row>
    <row r="8" spans="1:4" x14ac:dyDescent="0.25">
      <c r="A8" s="32">
        <f t="shared" ref="A8:A25" si="0">A7+1</f>
        <v>3</v>
      </c>
      <c r="B8" s="21" t="s">
        <v>23</v>
      </c>
      <c r="C8" s="25">
        <v>1</v>
      </c>
      <c r="D8" s="21" t="s">
        <v>2</v>
      </c>
    </row>
    <row r="9" spans="1:4" ht="30" x14ac:dyDescent="0.25">
      <c r="A9" s="32">
        <f t="shared" si="0"/>
        <v>4</v>
      </c>
      <c r="B9" s="22" t="s">
        <v>34</v>
      </c>
      <c r="C9" s="25">
        <v>2</v>
      </c>
      <c r="D9" s="34">
        <v>47300</v>
      </c>
    </row>
    <row r="10" spans="1:4" ht="30" x14ac:dyDescent="0.25">
      <c r="A10" s="32">
        <f t="shared" si="0"/>
        <v>5</v>
      </c>
      <c r="B10" s="22" t="s">
        <v>28</v>
      </c>
      <c r="C10" s="26" t="s">
        <v>45</v>
      </c>
      <c r="D10" s="34">
        <v>46143</v>
      </c>
    </row>
    <row r="11" spans="1:4" ht="30" x14ac:dyDescent="0.25">
      <c r="A11" s="32">
        <f t="shared" si="0"/>
        <v>6</v>
      </c>
      <c r="B11" s="22" t="s">
        <v>35</v>
      </c>
      <c r="C11" s="26" t="s">
        <v>46</v>
      </c>
      <c r="D11" s="34">
        <v>46447</v>
      </c>
    </row>
    <row r="12" spans="1:4" ht="30" x14ac:dyDescent="0.25">
      <c r="A12" s="32">
        <f t="shared" si="0"/>
        <v>7</v>
      </c>
      <c r="B12" s="22" t="s">
        <v>10</v>
      </c>
      <c r="C12" s="25">
        <v>2</v>
      </c>
      <c r="D12" s="34">
        <v>46600</v>
      </c>
    </row>
    <row r="13" spans="1:4" ht="30" x14ac:dyDescent="0.25">
      <c r="A13" s="32">
        <f t="shared" si="0"/>
        <v>8</v>
      </c>
      <c r="B13" s="22" t="s">
        <v>36</v>
      </c>
      <c r="C13" s="25">
        <v>10</v>
      </c>
      <c r="D13" s="34">
        <v>45992</v>
      </c>
    </row>
    <row r="14" spans="1:4" x14ac:dyDescent="0.25">
      <c r="A14" s="32">
        <f t="shared" si="0"/>
        <v>9</v>
      </c>
      <c r="B14" s="22" t="s">
        <v>11</v>
      </c>
      <c r="C14" s="25">
        <v>2</v>
      </c>
      <c r="D14" s="34">
        <v>46296</v>
      </c>
    </row>
    <row r="15" spans="1:4" ht="30" x14ac:dyDescent="0.25">
      <c r="A15" s="32">
        <f t="shared" si="0"/>
        <v>10</v>
      </c>
      <c r="B15" s="22" t="s">
        <v>37</v>
      </c>
      <c r="C15" s="25">
        <v>1</v>
      </c>
      <c r="D15" s="34">
        <v>46539</v>
      </c>
    </row>
    <row r="16" spans="1:4" x14ac:dyDescent="0.25">
      <c r="A16" s="32">
        <f t="shared" si="0"/>
        <v>11</v>
      </c>
      <c r="B16" s="22" t="s">
        <v>38</v>
      </c>
      <c r="C16" s="25">
        <v>1</v>
      </c>
      <c r="D16" s="34">
        <v>46753</v>
      </c>
    </row>
    <row r="17" spans="1:4" ht="30" x14ac:dyDescent="0.25">
      <c r="A17" s="32">
        <f t="shared" si="0"/>
        <v>12</v>
      </c>
      <c r="B17" s="22" t="s">
        <v>39</v>
      </c>
      <c r="C17" s="25" t="s">
        <v>47</v>
      </c>
      <c r="D17" s="34">
        <v>46661</v>
      </c>
    </row>
    <row r="18" spans="1:4" x14ac:dyDescent="0.25">
      <c r="A18" s="32">
        <f t="shared" si="0"/>
        <v>13</v>
      </c>
      <c r="B18" s="22" t="s">
        <v>40</v>
      </c>
      <c r="C18" s="25">
        <v>2</v>
      </c>
      <c r="D18" s="34">
        <v>46143</v>
      </c>
    </row>
    <row r="19" spans="1:4" x14ac:dyDescent="0.25">
      <c r="A19" s="32">
        <f t="shared" si="0"/>
        <v>14</v>
      </c>
      <c r="B19" s="22" t="s">
        <v>13</v>
      </c>
      <c r="C19" s="25">
        <v>1</v>
      </c>
      <c r="D19" s="21" t="s">
        <v>2</v>
      </c>
    </row>
    <row r="20" spans="1:4" x14ac:dyDescent="0.25">
      <c r="A20" s="32">
        <f t="shared" si="0"/>
        <v>15</v>
      </c>
      <c r="B20" s="22" t="s">
        <v>25</v>
      </c>
      <c r="C20" s="25">
        <v>3</v>
      </c>
      <c r="D20" s="21" t="s">
        <v>2</v>
      </c>
    </row>
    <row r="21" spans="1:4" x14ac:dyDescent="0.25">
      <c r="A21" s="47">
        <f>A20+1</f>
        <v>16</v>
      </c>
      <c r="B21" s="48" t="s">
        <v>41</v>
      </c>
      <c r="C21" s="47">
        <v>2</v>
      </c>
      <c r="D21" s="34">
        <v>45901</v>
      </c>
    </row>
    <row r="22" spans="1:4" x14ac:dyDescent="0.25">
      <c r="A22" s="47"/>
      <c r="B22" s="48"/>
      <c r="C22" s="47"/>
      <c r="D22" s="34">
        <v>45962</v>
      </c>
    </row>
    <row r="23" spans="1:4" ht="30" x14ac:dyDescent="0.25">
      <c r="A23" s="32">
        <f>A21+1</f>
        <v>17</v>
      </c>
      <c r="B23" s="22" t="s">
        <v>42</v>
      </c>
      <c r="C23" s="25">
        <v>2</v>
      </c>
      <c r="D23" s="21" t="s">
        <v>2</v>
      </c>
    </row>
    <row r="24" spans="1:4" ht="30" x14ac:dyDescent="0.25">
      <c r="A24" s="32">
        <f t="shared" si="0"/>
        <v>18</v>
      </c>
      <c r="B24" s="22" t="s">
        <v>18</v>
      </c>
      <c r="C24" s="25">
        <v>1</v>
      </c>
      <c r="D24" s="21" t="s">
        <v>2</v>
      </c>
    </row>
    <row r="25" spans="1:4" ht="15.75" thickBot="1" x14ac:dyDescent="0.3">
      <c r="A25" s="33">
        <f t="shared" si="0"/>
        <v>19</v>
      </c>
      <c r="B25" s="23" t="s">
        <v>43</v>
      </c>
      <c r="C25" s="27">
        <v>2</v>
      </c>
      <c r="D25" s="35">
        <v>46692</v>
      </c>
    </row>
  </sheetData>
  <mergeCells count="3">
    <mergeCell ref="A21:A22"/>
    <mergeCell ref="B21:B22"/>
    <mergeCell ref="C21:C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DABCA-C4D2-4CF8-B918-579074AD9316}">
  <dimension ref="A4:D25"/>
  <sheetViews>
    <sheetView topLeftCell="A4" workbookViewId="0">
      <selection activeCell="K23" sqref="K23"/>
    </sheetView>
  </sheetViews>
  <sheetFormatPr defaultRowHeight="15" x14ac:dyDescent="0.25"/>
  <cols>
    <col min="2" max="2" width="31.28515625" customWidth="1"/>
    <col min="4" max="4" width="17" customWidth="1"/>
  </cols>
  <sheetData>
    <row r="4" spans="1:4" ht="15.75" thickBot="1" x14ac:dyDescent="0.3"/>
    <row r="5" spans="1:4" ht="15.75" thickBot="1" x14ac:dyDescent="0.3">
      <c r="B5" s="28" t="s">
        <v>31</v>
      </c>
      <c r="C5" s="29" t="s">
        <v>32</v>
      </c>
      <c r="D5" s="30" t="s">
        <v>33</v>
      </c>
    </row>
    <row r="6" spans="1:4" x14ac:dyDescent="0.25">
      <c r="A6" s="31">
        <v>1</v>
      </c>
      <c r="B6" s="20" t="s">
        <v>22</v>
      </c>
      <c r="C6" s="24">
        <v>1</v>
      </c>
      <c r="D6" s="20" t="s">
        <v>2</v>
      </c>
    </row>
    <row r="7" spans="1:4" x14ac:dyDescent="0.25">
      <c r="A7" s="32">
        <f>A6+1</f>
        <v>2</v>
      </c>
      <c r="B7" s="22" t="s">
        <v>19</v>
      </c>
      <c r="C7" s="25" t="s">
        <v>44</v>
      </c>
      <c r="D7" s="34">
        <v>47178</v>
      </c>
    </row>
    <row r="8" spans="1:4" x14ac:dyDescent="0.25">
      <c r="A8" s="32">
        <f t="shared" ref="A8:A24" si="0">A7+1</f>
        <v>3</v>
      </c>
      <c r="B8" s="21" t="s">
        <v>23</v>
      </c>
      <c r="C8" s="25">
        <v>1</v>
      </c>
      <c r="D8" s="21" t="s">
        <v>2</v>
      </c>
    </row>
    <row r="9" spans="1:4" ht="30" x14ac:dyDescent="0.25">
      <c r="A9" s="32">
        <f t="shared" si="0"/>
        <v>4</v>
      </c>
      <c r="B9" s="22" t="s">
        <v>34</v>
      </c>
      <c r="C9" s="25">
        <v>2</v>
      </c>
      <c r="D9" s="34">
        <v>46174</v>
      </c>
    </row>
    <row r="10" spans="1:4" ht="30" x14ac:dyDescent="0.25">
      <c r="A10" s="32">
        <f t="shared" si="0"/>
        <v>5</v>
      </c>
      <c r="B10" s="22" t="s">
        <v>28</v>
      </c>
      <c r="C10" s="26" t="s">
        <v>45</v>
      </c>
      <c r="D10" s="34">
        <v>46447</v>
      </c>
    </row>
    <row r="11" spans="1:4" ht="30" x14ac:dyDescent="0.25">
      <c r="A11" s="32">
        <f t="shared" si="0"/>
        <v>6</v>
      </c>
      <c r="B11" s="22" t="s">
        <v>35</v>
      </c>
      <c r="C11" s="26" t="s">
        <v>46</v>
      </c>
      <c r="D11" s="34">
        <v>46447</v>
      </c>
    </row>
    <row r="12" spans="1:4" ht="30" x14ac:dyDescent="0.25">
      <c r="A12" s="32">
        <f t="shared" si="0"/>
        <v>7</v>
      </c>
      <c r="B12" s="22" t="s">
        <v>10</v>
      </c>
      <c r="C12" s="25">
        <v>2</v>
      </c>
      <c r="D12" s="34">
        <v>46600</v>
      </c>
    </row>
    <row r="13" spans="1:4" ht="30" x14ac:dyDescent="0.25">
      <c r="A13" s="32">
        <f t="shared" si="0"/>
        <v>8</v>
      </c>
      <c r="B13" s="22" t="s">
        <v>36</v>
      </c>
      <c r="C13" s="25">
        <v>10</v>
      </c>
      <c r="D13" s="34">
        <v>45992</v>
      </c>
    </row>
    <row r="14" spans="1:4" x14ac:dyDescent="0.25">
      <c r="A14" s="32">
        <f t="shared" si="0"/>
        <v>9</v>
      </c>
      <c r="B14" s="22" t="s">
        <v>11</v>
      </c>
      <c r="C14" s="25">
        <v>2</v>
      </c>
      <c r="D14" s="34">
        <v>46296</v>
      </c>
    </row>
    <row r="15" spans="1:4" ht="30" x14ac:dyDescent="0.25">
      <c r="A15" s="32">
        <f t="shared" si="0"/>
        <v>10</v>
      </c>
      <c r="B15" s="22" t="s">
        <v>37</v>
      </c>
      <c r="C15" s="25">
        <v>1</v>
      </c>
      <c r="D15" s="34">
        <v>47150</v>
      </c>
    </row>
    <row r="16" spans="1:4" x14ac:dyDescent="0.25">
      <c r="A16" s="32">
        <f t="shared" si="0"/>
        <v>11</v>
      </c>
      <c r="B16" s="22" t="s">
        <v>38</v>
      </c>
      <c r="C16" s="25">
        <v>1</v>
      </c>
      <c r="D16" s="34">
        <v>46753</v>
      </c>
    </row>
    <row r="17" spans="1:4" ht="30" x14ac:dyDescent="0.25">
      <c r="A17" s="32">
        <f t="shared" si="0"/>
        <v>12</v>
      </c>
      <c r="B17" s="22" t="s">
        <v>39</v>
      </c>
      <c r="C17" s="25" t="s">
        <v>47</v>
      </c>
      <c r="D17" s="34">
        <v>46447</v>
      </c>
    </row>
    <row r="18" spans="1:4" x14ac:dyDescent="0.25">
      <c r="A18" s="32">
        <f t="shared" si="0"/>
        <v>13</v>
      </c>
      <c r="B18" s="22" t="s">
        <v>40</v>
      </c>
      <c r="C18" s="25">
        <v>2</v>
      </c>
      <c r="D18" s="34">
        <v>46844</v>
      </c>
    </row>
    <row r="19" spans="1:4" x14ac:dyDescent="0.25">
      <c r="A19" s="32">
        <f t="shared" si="0"/>
        <v>14</v>
      </c>
      <c r="B19" s="22" t="s">
        <v>13</v>
      </c>
      <c r="C19" s="25">
        <v>1</v>
      </c>
      <c r="D19" s="21" t="s">
        <v>2</v>
      </c>
    </row>
    <row r="20" spans="1:4" x14ac:dyDescent="0.25">
      <c r="A20" s="32">
        <f t="shared" si="0"/>
        <v>15</v>
      </c>
      <c r="B20" s="22" t="s">
        <v>25</v>
      </c>
      <c r="C20" s="25">
        <v>3</v>
      </c>
      <c r="D20" s="34">
        <v>46327</v>
      </c>
    </row>
    <row r="21" spans="1:4" x14ac:dyDescent="0.25">
      <c r="A21" s="32">
        <f t="shared" si="0"/>
        <v>16</v>
      </c>
      <c r="B21" s="22" t="s">
        <v>41</v>
      </c>
      <c r="C21" s="25">
        <v>2</v>
      </c>
      <c r="D21" s="34">
        <v>45962</v>
      </c>
    </row>
    <row r="22" spans="1:4" ht="30" x14ac:dyDescent="0.25">
      <c r="A22" s="32">
        <f t="shared" si="0"/>
        <v>17</v>
      </c>
      <c r="B22" s="22" t="s">
        <v>42</v>
      </c>
      <c r="C22" s="25">
        <v>2</v>
      </c>
      <c r="D22" s="21" t="s">
        <v>2</v>
      </c>
    </row>
    <row r="23" spans="1:4" ht="30" x14ac:dyDescent="0.25">
      <c r="A23" s="32">
        <f t="shared" si="0"/>
        <v>18</v>
      </c>
      <c r="B23" s="22" t="s">
        <v>18</v>
      </c>
      <c r="C23" s="25">
        <v>1</v>
      </c>
      <c r="D23" s="21" t="s">
        <v>2</v>
      </c>
    </row>
    <row r="24" spans="1:4" x14ac:dyDescent="0.25">
      <c r="A24" s="32">
        <f t="shared" si="0"/>
        <v>19</v>
      </c>
      <c r="B24" s="22" t="s">
        <v>43</v>
      </c>
      <c r="C24" s="25">
        <v>2</v>
      </c>
      <c r="D24" s="34">
        <v>46692</v>
      </c>
    </row>
    <row r="25" spans="1:4" ht="15.75" thickBot="1" x14ac:dyDescent="0.3">
      <c r="A25" s="33">
        <v>20</v>
      </c>
      <c r="B25" s="23" t="s">
        <v>49</v>
      </c>
      <c r="C25" s="27">
        <v>1</v>
      </c>
      <c r="D25" s="3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A723-B5DF-4617-8E25-EA829471F8DE}">
  <dimension ref="A4:D25"/>
  <sheetViews>
    <sheetView workbookViewId="0">
      <selection activeCell="G27" sqref="G27"/>
    </sheetView>
  </sheetViews>
  <sheetFormatPr defaultRowHeight="15" x14ac:dyDescent="0.25"/>
  <cols>
    <col min="2" max="2" width="31.28515625" customWidth="1"/>
    <col min="4" max="4" width="17" customWidth="1"/>
  </cols>
  <sheetData>
    <row r="4" spans="1:4" ht="15.75" thickBot="1" x14ac:dyDescent="0.3"/>
    <row r="5" spans="1:4" ht="15.75" thickBot="1" x14ac:dyDescent="0.3">
      <c r="B5" s="28" t="s">
        <v>31</v>
      </c>
      <c r="C5" s="29" t="s">
        <v>32</v>
      </c>
      <c r="D5" s="30" t="s">
        <v>33</v>
      </c>
    </row>
    <row r="6" spans="1:4" x14ac:dyDescent="0.25">
      <c r="A6" s="31">
        <v>1</v>
      </c>
      <c r="B6" s="20" t="s">
        <v>22</v>
      </c>
      <c r="C6" s="24">
        <v>1</v>
      </c>
      <c r="D6" s="20" t="s">
        <v>2</v>
      </c>
    </row>
    <row r="7" spans="1:4" x14ac:dyDescent="0.25">
      <c r="A7" s="32">
        <f>A6+1</f>
        <v>2</v>
      </c>
      <c r="B7" s="22" t="s">
        <v>19</v>
      </c>
      <c r="C7" s="25" t="s">
        <v>44</v>
      </c>
      <c r="D7" s="34">
        <v>47239</v>
      </c>
    </row>
    <row r="8" spans="1:4" x14ac:dyDescent="0.25">
      <c r="A8" s="32">
        <f t="shared" ref="A8:A25" si="0">A7+1</f>
        <v>3</v>
      </c>
      <c r="B8" s="21" t="s">
        <v>23</v>
      </c>
      <c r="C8" s="25">
        <v>1</v>
      </c>
      <c r="D8" s="21" t="s">
        <v>2</v>
      </c>
    </row>
    <row r="9" spans="1:4" ht="30" x14ac:dyDescent="0.25">
      <c r="A9" s="32">
        <f t="shared" si="0"/>
        <v>4</v>
      </c>
      <c r="B9" s="22" t="s">
        <v>34</v>
      </c>
      <c r="C9" s="25">
        <v>2</v>
      </c>
      <c r="D9" s="34">
        <v>46174</v>
      </c>
    </row>
    <row r="10" spans="1:4" ht="30" x14ac:dyDescent="0.25">
      <c r="A10" s="32">
        <f t="shared" si="0"/>
        <v>5</v>
      </c>
      <c r="B10" s="22" t="s">
        <v>28</v>
      </c>
      <c r="C10" s="26" t="s">
        <v>45</v>
      </c>
      <c r="D10" s="34">
        <v>46054</v>
      </c>
    </row>
    <row r="11" spans="1:4" ht="30" x14ac:dyDescent="0.25">
      <c r="A11" s="32">
        <f t="shared" si="0"/>
        <v>6</v>
      </c>
      <c r="B11" s="22" t="s">
        <v>35</v>
      </c>
      <c r="C11" s="26" t="s">
        <v>46</v>
      </c>
      <c r="D11" s="34">
        <v>46447</v>
      </c>
    </row>
    <row r="12" spans="1:4" ht="30" x14ac:dyDescent="0.25">
      <c r="A12" s="32">
        <f t="shared" si="0"/>
        <v>7</v>
      </c>
      <c r="B12" s="22" t="s">
        <v>10</v>
      </c>
      <c r="C12" s="25">
        <v>2</v>
      </c>
      <c r="D12" s="34">
        <v>46600</v>
      </c>
    </row>
    <row r="13" spans="1:4" ht="30" x14ac:dyDescent="0.25">
      <c r="A13" s="32">
        <f t="shared" si="0"/>
        <v>8</v>
      </c>
      <c r="B13" s="22" t="s">
        <v>36</v>
      </c>
      <c r="C13" s="25">
        <v>10</v>
      </c>
      <c r="D13" s="34">
        <v>45992</v>
      </c>
    </row>
    <row r="14" spans="1:4" x14ac:dyDescent="0.25">
      <c r="A14" s="32">
        <f t="shared" si="0"/>
        <v>9</v>
      </c>
      <c r="B14" s="22" t="s">
        <v>11</v>
      </c>
      <c r="C14" s="25">
        <v>2</v>
      </c>
      <c r="D14" s="34">
        <v>46296</v>
      </c>
    </row>
    <row r="15" spans="1:4" ht="30" x14ac:dyDescent="0.25">
      <c r="A15" s="32">
        <f t="shared" si="0"/>
        <v>10</v>
      </c>
      <c r="B15" s="22" t="s">
        <v>37</v>
      </c>
      <c r="C15" s="25">
        <v>1</v>
      </c>
      <c r="D15" s="34">
        <v>46844</v>
      </c>
    </row>
    <row r="16" spans="1:4" x14ac:dyDescent="0.25">
      <c r="A16" s="32">
        <f t="shared" si="0"/>
        <v>11</v>
      </c>
      <c r="B16" s="22" t="s">
        <v>38</v>
      </c>
      <c r="C16" s="25">
        <v>1</v>
      </c>
      <c r="D16" s="34">
        <v>46753</v>
      </c>
    </row>
    <row r="17" spans="1:4" ht="30" x14ac:dyDescent="0.25">
      <c r="A17" s="32">
        <f t="shared" si="0"/>
        <v>12</v>
      </c>
      <c r="B17" s="22" t="s">
        <v>39</v>
      </c>
      <c r="C17" s="25" t="s">
        <v>47</v>
      </c>
      <c r="D17" s="34">
        <v>46113</v>
      </c>
    </row>
    <row r="18" spans="1:4" x14ac:dyDescent="0.25">
      <c r="A18" s="47">
        <f>A17+1</f>
        <v>13</v>
      </c>
      <c r="B18" s="48" t="s">
        <v>40</v>
      </c>
      <c r="C18" s="47">
        <v>2</v>
      </c>
      <c r="D18" s="34">
        <v>45992</v>
      </c>
    </row>
    <row r="19" spans="1:4" x14ac:dyDescent="0.25">
      <c r="A19" s="47"/>
      <c r="B19" s="48"/>
      <c r="C19" s="47"/>
      <c r="D19" s="34">
        <v>46844</v>
      </c>
    </row>
    <row r="20" spans="1:4" x14ac:dyDescent="0.25">
      <c r="A20" s="32">
        <f>A18+1</f>
        <v>14</v>
      </c>
      <c r="B20" s="22" t="s">
        <v>13</v>
      </c>
      <c r="C20" s="25">
        <v>1</v>
      </c>
      <c r="D20" s="21" t="s">
        <v>2</v>
      </c>
    </row>
    <row r="21" spans="1:4" x14ac:dyDescent="0.25">
      <c r="A21" s="32">
        <f t="shared" si="0"/>
        <v>15</v>
      </c>
      <c r="B21" s="22" t="s">
        <v>25</v>
      </c>
      <c r="C21" s="25">
        <v>3</v>
      </c>
      <c r="D21" s="34">
        <v>47119</v>
      </c>
    </row>
    <row r="22" spans="1:4" x14ac:dyDescent="0.25">
      <c r="A22" s="32">
        <f t="shared" si="0"/>
        <v>16</v>
      </c>
      <c r="B22" s="22" t="s">
        <v>41</v>
      </c>
      <c r="C22" s="25">
        <v>2</v>
      </c>
      <c r="D22" s="34">
        <v>45962</v>
      </c>
    </row>
    <row r="23" spans="1:4" ht="30" x14ac:dyDescent="0.25">
      <c r="A23" s="32">
        <f t="shared" si="0"/>
        <v>17</v>
      </c>
      <c r="B23" s="22" t="s">
        <v>42</v>
      </c>
      <c r="C23" s="25">
        <v>2</v>
      </c>
      <c r="D23" s="21" t="s">
        <v>2</v>
      </c>
    </row>
    <row r="24" spans="1:4" ht="30" x14ac:dyDescent="0.25">
      <c r="A24" s="32">
        <f t="shared" si="0"/>
        <v>18</v>
      </c>
      <c r="B24" s="22" t="s">
        <v>18</v>
      </c>
      <c r="C24" s="25">
        <v>1</v>
      </c>
      <c r="D24" s="21" t="s">
        <v>2</v>
      </c>
    </row>
    <row r="25" spans="1:4" ht="15.75" thickBot="1" x14ac:dyDescent="0.3">
      <c r="A25" s="33">
        <f t="shared" si="0"/>
        <v>19</v>
      </c>
      <c r="B25" s="23" t="s">
        <v>43</v>
      </c>
      <c r="C25" s="27">
        <v>2</v>
      </c>
      <c r="D25" s="35">
        <v>46692</v>
      </c>
    </row>
  </sheetData>
  <mergeCells count="3">
    <mergeCell ref="A18:A19"/>
    <mergeCell ref="B18:B19"/>
    <mergeCell ref="C18:C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CF542-1B1C-4BAF-980C-9B3CFBB016E6}">
  <dimension ref="A4:D27"/>
  <sheetViews>
    <sheetView topLeftCell="A4" workbookViewId="0">
      <selection activeCell="J21" sqref="J21"/>
    </sheetView>
  </sheetViews>
  <sheetFormatPr defaultRowHeight="15" x14ac:dyDescent="0.25"/>
  <cols>
    <col min="2" max="2" width="31.28515625" customWidth="1"/>
    <col min="4" max="4" width="17" customWidth="1"/>
  </cols>
  <sheetData>
    <row r="4" spans="1:4" ht="15.75" thickBot="1" x14ac:dyDescent="0.3"/>
    <row r="5" spans="1:4" ht="15.75" thickBot="1" x14ac:dyDescent="0.3">
      <c r="B5" s="28" t="s">
        <v>31</v>
      </c>
      <c r="C5" s="29" t="s">
        <v>32</v>
      </c>
      <c r="D5" s="30" t="s">
        <v>33</v>
      </c>
    </row>
    <row r="6" spans="1:4" x14ac:dyDescent="0.25">
      <c r="A6" s="31">
        <v>1</v>
      </c>
      <c r="B6" s="20" t="s">
        <v>22</v>
      </c>
      <c r="C6" s="24">
        <v>1</v>
      </c>
      <c r="D6" s="20" t="s">
        <v>2</v>
      </c>
    </row>
    <row r="7" spans="1:4" x14ac:dyDescent="0.25">
      <c r="A7" s="47">
        <f>A6+1</f>
        <v>2</v>
      </c>
      <c r="B7" s="48" t="s">
        <v>19</v>
      </c>
      <c r="C7" s="47" t="s">
        <v>44</v>
      </c>
      <c r="D7" s="49">
        <v>47239</v>
      </c>
    </row>
    <row r="8" spans="1:4" x14ac:dyDescent="0.25">
      <c r="A8" s="47"/>
      <c r="B8" s="48"/>
      <c r="C8" s="47"/>
      <c r="D8" s="49"/>
    </row>
    <row r="9" spans="1:4" x14ac:dyDescent="0.25">
      <c r="A9" s="32">
        <f>A7+1</f>
        <v>3</v>
      </c>
      <c r="B9" s="21" t="s">
        <v>23</v>
      </c>
      <c r="C9" s="25">
        <v>1</v>
      </c>
      <c r="D9" s="21" t="s">
        <v>2</v>
      </c>
    </row>
    <row r="10" spans="1:4" x14ac:dyDescent="0.25">
      <c r="A10" s="47">
        <f>A9+1</f>
        <v>4</v>
      </c>
      <c r="B10" s="48" t="s">
        <v>34</v>
      </c>
      <c r="C10" s="47">
        <v>2</v>
      </c>
      <c r="D10" s="34">
        <v>47392</v>
      </c>
    </row>
    <row r="11" spans="1:4" x14ac:dyDescent="0.25">
      <c r="A11" s="47"/>
      <c r="B11" s="48"/>
      <c r="C11" s="47"/>
      <c r="D11" s="34">
        <v>47300</v>
      </c>
    </row>
    <row r="12" spans="1:4" ht="30" x14ac:dyDescent="0.25">
      <c r="A12" s="32">
        <f>A10+1</f>
        <v>5</v>
      </c>
      <c r="B12" s="22" t="s">
        <v>28</v>
      </c>
      <c r="C12" s="26" t="s">
        <v>45</v>
      </c>
      <c r="D12" s="34">
        <v>46447</v>
      </c>
    </row>
    <row r="13" spans="1:4" ht="30" x14ac:dyDescent="0.25">
      <c r="A13" s="32">
        <f t="shared" ref="A13:A26" si="0">A12+1</f>
        <v>6</v>
      </c>
      <c r="B13" s="22" t="s">
        <v>35</v>
      </c>
      <c r="C13" s="26" t="s">
        <v>46</v>
      </c>
      <c r="D13" s="34">
        <v>46447</v>
      </c>
    </row>
    <row r="14" spans="1:4" ht="30" x14ac:dyDescent="0.25">
      <c r="A14" s="32">
        <f t="shared" si="0"/>
        <v>7</v>
      </c>
      <c r="B14" s="22" t="s">
        <v>10</v>
      </c>
      <c r="C14" s="25">
        <v>2</v>
      </c>
      <c r="D14" s="34">
        <v>46600</v>
      </c>
    </row>
    <row r="15" spans="1:4" ht="30" x14ac:dyDescent="0.25">
      <c r="A15" s="32">
        <f t="shared" si="0"/>
        <v>8</v>
      </c>
      <c r="B15" s="22" t="s">
        <v>36</v>
      </c>
      <c r="C15" s="25">
        <v>10</v>
      </c>
      <c r="D15" s="34">
        <v>45901</v>
      </c>
    </row>
    <row r="16" spans="1:4" x14ac:dyDescent="0.25">
      <c r="A16" s="32">
        <f t="shared" si="0"/>
        <v>9</v>
      </c>
      <c r="B16" s="22" t="s">
        <v>11</v>
      </c>
      <c r="C16" s="25">
        <v>2</v>
      </c>
      <c r="D16" s="34">
        <v>46508</v>
      </c>
    </row>
    <row r="17" spans="1:4" ht="30" x14ac:dyDescent="0.25">
      <c r="A17" s="32">
        <f t="shared" si="0"/>
        <v>10</v>
      </c>
      <c r="B17" s="22" t="s">
        <v>37</v>
      </c>
      <c r="C17" s="25">
        <v>1</v>
      </c>
      <c r="D17" s="34">
        <v>46844</v>
      </c>
    </row>
    <row r="18" spans="1:4" x14ac:dyDescent="0.25">
      <c r="A18" s="32">
        <f t="shared" si="0"/>
        <v>11</v>
      </c>
      <c r="B18" s="22" t="s">
        <v>38</v>
      </c>
      <c r="C18" s="25">
        <v>1</v>
      </c>
      <c r="D18" s="34">
        <v>46753</v>
      </c>
    </row>
    <row r="19" spans="1:4" ht="30" x14ac:dyDescent="0.25">
      <c r="A19" s="32">
        <f t="shared" si="0"/>
        <v>12</v>
      </c>
      <c r="B19" s="22" t="s">
        <v>39</v>
      </c>
      <c r="C19" s="25" t="s">
        <v>47</v>
      </c>
      <c r="D19" s="34">
        <v>46113</v>
      </c>
    </row>
    <row r="20" spans="1:4" x14ac:dyDescent="0.25">
      <c r="A20" s="32">
        <f t="shared" si="0"/>
        <v>13</v>
      </c>
      <c r="B20" s="22" t="s">
        <v>40</v>
      </c>
      <c r="C20" s="25">
        <v>2</v>
      </c>
      <c r="D20" s="34">
        <v>46844</v>
      </c>
    </row>
    <row r="21" spans="1:4" x14ac:dyDescent="0.25">
      <c r="A21" s="32">
        <f t="shared" si="0"/>
        <v>14</v>
      </c>
      <c r="B21" s="22" t="s">
        <v>13</v>
      </c>
      <c r="C21" s="25">
        <v>1</v>
      </c>
      <c r="D21" s="21" t="s">
        <v>2</v>
      </c>
    </row>
    <row r="22" spans="1:4" x14ac:dyDescent="0.25">
      <c r="A22" s="32">
        <f t="shared" si="0"/>
        <v>15</v>
      </c>
      <c r="B22" s="22" t="s">
        <v>25</v>
      </c>
      <c r="C22" s="25">
        <v>3</v>
      </c>
      <c r="D22" s="34">
        <v>46327</v>
      </c>
    </row>
    <row r="23" spans="1:4" x14ac:dyDescent="0.25">
      <c r="A23" s="32">
        <f t="shared" si="0"/>
        <v>16</v>
      </c>
      <c r="B23" s="22" t="s">
        <v>41</v>
      </c>
      <c r="C23" s="25">
        <v>2</v>
      </c>
      <c r="D23" s="34">
        <v>45901</v>
      </c>
    </row>
    <row r="24" spans="1:4" ht="30" x14ac:dyDescent="0.25">
      <c r="A24" s="32">
        <f t="shared" si="0"/>
        <v>17</v>
      </c>
      <c r="B24" s="22" t="s">
        <v>42</v>
      </c>
      <c r="C24" s="25">
        <v>2</v>
      </c>
      <c r="D24" s="21" t="s">
        <v>2</v>
      </c>
    </row>
    <row r="25" spans="1:4" ht="30" x14ac:dyDescent="0.25">
      <c r="A25" s="32">
        <f t="shared" si="0"/>
        <v>18</v>
      </c>
      <c r="B25" s="22" t="s">
        <v>18</v>
      </c>
      <c r="C25" s="25">
        <v>1</v>
      </c>
      <c r="D25" s="21" t="s">
        <v>2</v>
      </c>
    </row>
    <row r="26" spans="1:4" x14ac:dyDescent="0.25">
      <c r="A26" s="32">
        <f t="shared" si="0"/>
        <v>19</v>
      </c>
      <c r="B26" s="22" t="s">
        <v>43</v>
      </c>
      <c r="C26" s="25">
        <v>2</v>
      </c>
      <c r="D26" s="34">
        <v>46692</v>
      </c>
    </row>
    <row r="27" spans="1:4" ht="15.75" thickBot="1" x14ac:dyDescent="0.3">
      <c r="A27" s="33">
        <v>20</v>
      </c>
      <c r="B27" s="23" t="s">
        <v>49</v>
      </c>
      <c r="C27" s="27">
        <v>1</v>
      </c>
      <c r="D27" s="35"/>
    </row>
  </sheetData>
  <mergeCells count="7">
    <mergeCell ref="D7:D8"/>
    <mergeCell ref="A7:A8"/>
    <mergeCell ref="B7:B8"/>
    <mergeCell ref="C7:C8"/>
    <mergeCell ref="A10:A11"/>
    <mergeCell ref="B10:B11"/>
    <mergeCell ref="C10:C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71DC-379B-475F-92DD-58962A4BCBE7}">
  <dimension ref="A4:D26"/>
  <sheetViews>
    <sheetView topLeftCell="A7" workbookViewId="0">
      <selection activeCell="I27" sqref="I27"/>
    </sheetView>
  </sheetViews>
  <sheetFormatPr defaultRowHeight="15" x14ac:dyDescent="0.25"/>
  <cols>
    <col min="2" max="2" width="31.28515625" customWidth="1"/>
    <col min="4" max="4" width="17" customWidth="1"/>
  </cols>
  <sheetData>
    <row r="4" spans="1:4" ht="15.75" thickBot="1" x14ac:dyDescent="0.3"/>
    <row r="5" spans="1:4" ht="15.75" thickBot="1" x14ac:dyDescent="0.3">
      <c r="B5" s="28" t="s">
        <v>31</v>
      </c>
      <c r="C5" s="29" t="s">
        <v>32</v>
      </c>
      <c r="D5" s="30" t="s">
        <v>33</v>
      </c>
    </row>
    <row r="6" spans="1:4" x14ac:dyDescent="0.25">
      <c r="A6" s="31">
        <v>1</v>
      </c>
      <c r="B6" s="20" t="s">
        <v>22</v>
      </c>
      <c r="C6" s="24">
        <v>1</v>
      </c>
      <c r="D6" s="20" t="s">
        <v>2</v>
      </c>
    </row>
    <row r="7" spans="1:4" x14ac:dyDescent="0.25">
      <c r="A7" s="32">
        <f>A6+1</f>
        <v>2</v>
      </c>
      <c r="B7" s="22" t="s">
        <v>19</v>
      </c>
      <c r="C7" s="25" t="s">
        <v>44</v>
      </c>
      <c r="D7" s="34">
        <v>47239</v>
      </c>
    </row>
    <row r="8" spans="1:4" x14ac:dyDescent="0.25">
      <c r="A8" s="32">
        <f t="shared" ref="A8:A25" si="0">A7+1</f>
        <v>3</v>
      </c>
      <c r="B8" s="21" t="s">
        <v>23</v>
      </c>
      <c r="C8" s="25">
        <v>1</v>
      </c>
      <c r="D8" s="21" t="s">
        <v>2</v>
      </c>
    </row>
    <row r="9" spans="1:4" x14ac:dyDescent="0.25">
      <c r="A9" s="47">
        <f>A8+1</f>
        <v>4</v>
      </c>
      <c r="B9" s="48" t="s">
        <v>34</v>
      </c>
      <c r="C9" s="47">
        <v>2</v>
      </c>
      <c r="D9" s="34">
        <v>47392</v>
      </c>
    </row>
    <row r="10" spans="1:4" x14ac:dyDescent="0.25">
      <c r="A10" s="47"/>
      <c r="B10" s="48"/>
      <c r="C10" s="47"/>
      <c r="D10" s="34">
        <v>47300</v>
      </c>
    </row>
    <row r="11" spans="1:4" ht="30" x14ac:dyDescent="0.25">
      <c r="A11" s="32">
        <f>A9+1</f>
        <v>5</v>
      </c>
      <c r="B11" s="22" t="s">
        <v>28</v>
      </c>
      <c r="C11" s="26" t="s">
        <v>45</v>
      </c>
      <c r="D11" s="34">
        <v>46447</v>
      </c>
    </row>
    <row r="12" spans="1:4" ht="30" x14ac:dyDescent="0.25">
      <c r="A12" s="32">
        <f t="shared" si="0"/>
        <v>6</v>
      </c>
      <c r="B12" s="22" t="s">
        <v>35</v>
      </c>
      <c r="C12" s="26" t="s">
        <v>46</v>
      </c>
      <c r="D12" s="34">
        <v>46447</v>
      </c>
    </row>
    <row r="13" spans="1:4" ht="30" x14ac:dyDescent="0.25">
      <c r="A13" s="32">
        <f t="shared" si="0"/>
        <v>7</v>
      </c>
      <c r="B13" s="22" t="s">
        <v>10</v>
      </c>
      <c r="C13" s="25">
        <v>2</v>
      </c>
      <c r="D13" s="34">
        <v>46600</v>
      </c>
    </row>
    <row r="14" spans="1:4" ht="30" x14ac:dyDescent="0.25">
      <c r="A14" s="32">
        <f t="shared" si="0"/>
        <v>8</v>
      </c>
      <c r="B14" s="22" t="s">
        <v>36</v>
      </c>
      <c r="C14" s="25">
        <v>10</v>
      </c>
      <c r="D14" s="34">
        <v>45992</v>
      </c>
    </row>
    <row r="15" spans="1:4" x14ac:dyDescent="0.25">
      <c r="A15" s="32">
        <f t="shared" si="0"/>
        <v>9</v>
      </c>
      <c r="B15" s="22" t="s">
        <v>11</v>
      </c>
      <c r="C15" s="25">
        <v>2</v>
      </c>
      <c r="D15" s="34">
        <v>46296</v>
      </c>
    </row>
    <row r="16" spans="1:4" ht="30" x14ac:dyDescent="0.25">
      <c r="A16" s="32">
        <f t="shared" si="0"/>
        <v>10</v>
      </c>
      <c r="B16" s="22" t="s">
        <v>37</v>
      </c>
      <c r="C16" s="25">
        <v>1</v>
      </c>
      <c r="D16" s="34">
        <v>47300</v>
      </c>
    </row>
    <row r="17" spans="1:4" x14ac:dyDescent="0.25">
      <c r="A17" s="32">
        <f t="shared" si="0"/>
        <v>11</v>
      </c>
      <c r="B17" s="22" t="s">
        <v>38</v>
      </c>
      <c r="C17" s="25">
        <v>1</v>
      </c>
      <c r="D17" s="34">
        <v>46753</v>
      </c>
    </row>
    <row r="18" spans="1:4" ht="30" x14ac:dyDescent="0.25">
      <c r="A18" s="32">
        <f t="shared" si="0"/>
        <v>12</v>
      </c>
      <c r="B18" s="22" t="s">
        <v>39</v>
      </c>
      <c r="C18" s="25" t="s">
        <v>47</v>
      </c>
      <c r="D18" s="34">
        <v>46661</v>
      </c>
    </row>
    <row r="19" spans="1:4" x14ac:dyDescent="0.25">
      <c r="A19" s="32">
        <f t="shared" si="0"/>
        <v>13</v>
      </c>
      <c r="B19" s="22" t="s">
        <v>40</v>
      </c>
      <c r="C19" s="25">
        <v>2</v>
      </c>
      <c r="D19" s="34">
        <v>46844</v>
      </c>
    </row>
    <row r="20" spans="1:4" x14ac:dyDescent="0.25">
      <c r="A20" s="32">
        <f t="shared" si="0"/>
        <v>14</v>
      </c>
      <c r="B20" s="22" t="s">
        <v>13</v>
      </c>
      <c r="C20" s="25">
        <v>1</v>
      </c>
      <c r="D20" s="21" t="s">
        <v>2</v>
      </c>
    </row>
    <row r="21" spans="1:4" x14ac:dyDescent="0.25">
      <c r="A21" s="32">
        <f t="shared" si="0"/>
        <v>15</v>
      </c>
      <c r="B21" s="22" t="s">
        <v>25</v>
      </c>
      <c r="C21" s="25">
        <v>3</v>
      </c>
      <c r="D21" s="34">
        <v>46327</v>
      </c>
    </row>
    <row r="22" spans="1:4" x14ac:dyDescent="0.25">
      <c r="A22" s="32">
        <f t="shared" si="0"/>
        <v>16</v>
      </c>
      <c r="B22" s="22" t="s">
        <v>41</v>
      </c>
      <c r="C22" s="25">
        <v>2</v>
      </c>
      <c r="D22" s="34">
        <v>45962</v>
      </c>
    </row>
    <row r="23" spans="1:4" ht="30" x14ac:dyDescent="0.25">
      <c r="A23" s="32">
        <f t="shared" si="0"/>
        <v>17</v>
      </c>
      <c r="B23" s="22" t="s">
        <v>42</v>
      </c>
      <c r="C23" s="25">
        <v>2</v>
      </c>
      <c r="D23" s="21" t="s">
        <v>2</v>
      </c>
    </row>
    <row r="24" spans="1:4" ht="30" x14ac:dyDescent="0.25">
      <c r="A24" s="32">
        <f t="shared" si="0"/>
        <v>18</v>
      </c>
      <c r="B24" s="22" t="s">
        <v>18</v>
      </c>
      <c r="C24" s="25">
        <v>1</v>
      </c>
      <c r="D24" s="21" t="s">
        <v>2</v>
      </c>
    </row>
    <row r="25" spans="1:4" x14ac:dyDescent="0.25">
      <c r="A25" s="32">
        <f t="shared" si="0"/>
        <v>19</v>
      </c>
      <c r="B25" s="22" t="s">
        <v>43</v>
      </c>
      <c r="C25" s="25">
        <v>2</v>
      </c>
      <c r="D25" s="34">
        <v>46692</v>
      </c>
    </row>
    <row r="26" spans="1:4" ht="15.75" thickBot="1" x14ac:dyDescent="0.3">
      <c r="A26" s="33">
        <v>20</v>
      </c>
      <c r="B26" s="23" t="s">
        <v>49</v>
      </c>
      <c r="C26" s="27">
        <v>1</v>
      </c>
      <c r="D26" s="35"/>
    </row>
  </sheetData>
  <mergeCells count="3">
    <mergeCell ref="A9:A10"/>
    <mergeCell ref="B9:B10"/>
    <mergeCell ref="C9:C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0CB9C-8AF3-4BB4-8D43-10E72692AD8A}">
  <dimension ref="A4:D28"/>
  <sheetViews>
    <sheetView topLeftCell="A10" workbookViewId="0">
      <selection activeCell="H33" sqref="H33"/>
    </sheetView>
  </sheetViews>
  <sheetFormatPr defaultRowHeight="15" x14ac:dyDescent="0.25"/>
  <cols>
    <col min="2" max="2" width="31.28515625" customWidth="1"/>
    <col min="4" max="4" width="17" customWidth="1"/>
  </cols>
  <sheetData>
    <row r="4" spans="1:4" ht="15.75" thickBot="1" x14ac:dyDescent="0.3"/>
    <row r="5" spans="1:4" ht="15.75" thickBot="1" x14ac:dyDescent="0.3">
      <c r="B5" s="28" t="s">
        <v>31</v>
      </c>
      <c r="C5" s="29" t="s">
        <v>32</v>
      </c>
      <c r="D5" s="30" t="s">
        <v>33</v>
      </c>
    </row>
    <row r="6" spans="1:4" x14ac:dyDescent="0.25">
      <c r="A6" s="31">
        <v>1</v>
      </c>
      <c r="B6" s="20" t="s">
        <v>22</v>
      </c>
      <c r="C6" s="24">
        <v>1</v>
      </c>
      <c r="D6" s="20" t="s">
        <v>2</v>
      </c>
    </row>
    <row r="7" spans="1:4" x14ac:dyDescent="0.25">
      <c r="A7" s="32">
        <f>A6+1</f>
        <v>2</v>
      </c>
      <c r="B7" s="22" t="s">
        <v>19</v>
      </c>
      <c r="C7" s="25" t="s">
        <v>44</v>
      </c>
      <c r="D7" s="34">
        <v>47239</v>
      </c>
    </row>
    <row r="8" spans="1:4" x14ac:dyDescent="0.25">
      <c r="A8" s="32">
        <f t="shared" ref="A8:A27" si="0">A7+1</f>
        <v>3</v>
      </c>
      <c r="B8" s="21" t="s">
        <v>23</v>
      </c>
      <c r="C8" s="25">
        <v>1</v>
      </c>
      <c r="D8" s="21" t="s">
        <v>2</v>
      </c>
    </row>
    <row r="9" spans="1:4" x14ac:dyDescent="0.25">
      <c r="A9" s="47">
        <f>A8+1</f>
        <v>4</v>
      </c>
      <c r="B9" s="51" t="s">
        <v>34</v>
      </c>
      <c r="C9" s="47">
        <v>2</v>
      </c>
      <c r="D9" s="34">
        <v>46174</v>
      </c>
    </row>
    <row r="10" spans="1:4" x14ac:dyDescent="0.25">
      <c r="A10" s="47"/>
      <c r="B10" s="51"/>
      <c r="C10" s="47"/>
      <c r="D10" s="34">
        <v>46966</v>
      </c>
    </row>
    <row r="11" spans="1:4" x14ac:dyDescent="0.25">
      <c r="A11" s="52">
        <f>A9+1</f>
        <v>5</v>
      </c>
      <c r="B11" s="51" t="s">
        <v>28</v>
      </c>
      <c r="C11" s="48" t="s">
        <v>45</v>
      </c>
      <c r="D11" s="49">
        <v>46447</v>
      </c>
    </row>
    <row r="12" spans="1:4" x14ac:dyDescent="0.25">
      <c r="A12" s="52"/>
      <c r="B12" s="51"/>
      <c r="C12" s="48"/>
      <c r="D12" s="49"/>
    </row>
    <row r="13" spans="1:4" ht="30" x14ac:dyDescent="0.25">
      <c r="A13" s="32">
        <f>A11+1</f>
        <v>6</v>
      </c>
      <c r="B13" s="22" t="s">
        <v>35</v>
      </c>
      <c r="C13" s="26" t="s">
        <v>46</v>
      </c>
      <c r="D13" s="34">
        <v>46447</v>
      </c>
    </row>
    <row r="14" spans="1:4" ht="30" x14ac:dyDescent="0.25">
      <c r="A14" s="32">
        <f t="shared" si="0"/>
        <v>7</v>
      </c>
      <c r="B14" s="22" t="s">
        <v>10</v>
      </c>
      <c r="C14" s="25">
        <v>2</v>
      </c>
      <c r="D14" s="34">
        <v>46600</v>
      </c>
    </row>
    <row r="15" spans="1:4" ht="30" x14ac:dyDescent="0.25">
      <c r="A15" s="32">
        <f t="shared" si="0"/>
        <v>8</v>
      </c>
      <c r="B15" s="22" t="s">
        <v>36</v>
      </c>
      <c r="C15" s="25">
        <v>10</v>
      </c>
      <c r="D15" s="34">
        <v>46692</v>
      </c>
    </row>
    <row r="16" spans="1:4" x14ac:dyDescent="0.25">
      <c r="A16" s="32">
        <f t="shared" si="0"/>
        <v>9</v>
      </c>
      <c r="B16" s="22" t="s">
        <v>11</v>
      </c>
      <c r="C16" s="25">
        <v>2</v>
      </c>
      <c r="D16" s="34">
        <v>46508</v>
      </c>
    </row>
    <row r="17" spans="1:4" ht="30" x14ac:dyDescent="0.25">
      <c r="A17" s="32">
        <f t="shared" si="0"/>
        <v>10</v>
      </c>
      <c r="B17" s="22" t="s">
        <v>37</v>
      </c>
      <c r="C17" s="25">
        <v>1</v>
      </c>
      <c r="D17" s="34">
        <v>47300</v>
      </c>
    </row>
    <row r="18" spans="1:4" x14ac:dyDescent="0.25">
      <c r="A18" s="32">
        <f t="shared" si="0"/>
        <v>11</v>
      </c>
      <c r="B18" s="22" t="s">
        <v>38</v>
      </c>
      <c r="C18" s="25">
        <v>1</v>
      </c>
      <c r="D18" s="34">
        <v>46753</v>
      </c>
    </row>
    <row r="19" spans="1:4" ht="30" x14ac:dyDescent="0.25">
      <c r="A19" s="32">
        <f t="shared" si="0"/>
        <v>12</v>
      </c>
      <c r="B19" s="22" t="s">
        <v>39</v>
      </c>
      <c r="C19" s="25" t="s">
        <v>47</v>
      </c>
      <c r="D19" s="34">
        <v>46113</v>
      </c>
    </row>
    <row r="20" spans="1:4" x14ac:dyDescent="0.25">
      <c r="A20" s="32">
        <f t="shared" si="0"/>
        <v>13</v>
      </c>
      <c r="B20" s="22" t="s">
        <v>40</v>
      </c>
      <c r="C20" s="25">
        <v>2</v>
      </c>
      <c r="D20" s="34">
        <v>46143</v>
      </c>
    </row>
    <row r="21" spans="1:4" x14ac:dyDescent="0.25">
      <c r="A21" s="32">
        <f t="shared" si="0"/>
        <v>14</v>
      </c>
      <c r="B21" s="22" t="s">
        <v>13</v>
      </c>
      <c r="C21" s="25">
        <v>1</v>
      </c>
      <c r="D21" s="21" t="s">
        <v>2</v>
      </c>
    </row>
    <row r="22" spans="1:4" x14ac:dyDescent="0.25">
      <c r="A22" s="32">
        <f t="shared" si="0"/>
        <v>15</v>
      </c>
      <c r="B22" s="22" t="s">
        <v>25</v>
      </c>
      <c r="C22" s="25">
        <v>3</v>
      </c>
      <c r="D22" s="34">
        <v>47119</v>
      </c>
    </row>
    <row r="23" spans="1:4" x14ac:dyDescent="0.25">
      <c r="A23" s="47">
        <f>A22+1</f>
        <v>16</v>
      </c>
      <c r="B23" s="50" t="s">
        <v>41</v>
      </c>
      <c r="C23" s="47">
        <v>2</v>
      </c>
      <c r="D23" s="34">
        <v>45901</v>
      </c>
    </row>
    <row r="24" spans="1:4" x14ac:dyDescent="0.25">
      <c r="A24" s="47"/>
      <c r="B24" s="50"/>
      <c r="C24" s="47"/>
      <c r="D24" s="34">
        <v>45962</v>
      </c>
    </row>
    <row r="25" spans="1:4" ht="30" x14ac:dyDescent="0.25">
      <c r="A25" s="32">
        <f>A23+1</f>
        <v>17</v>
      </c>
      <c r="B25" s="22" t="s">
        <v>42</v>
      </c>
      <c r="C25" s="25">
        <v>2</v>
      </c>
      <c r="D25" s="21" t="s">
        <v>2</v>
      </c>
    </row>
    <row r="26" spans="1:4" ht="30" x14ac:dyDescent="0.25">
      <c r="A26" s="32">
        <f t="shared" si="0"/>
        <v>18</v>
      </c>
      <c r="B26" s="22" t="s">
        <v>18</v>
      </c>
      <c r="C26" s="25">
        <v>1</v>
      </c>
      <c r="D26" s="21" t="s">
        <v>2</v>
      </c>
    </row>
    <row r="27" spans="1:4" x14ac:dyDescent="0.25">
      <c r="A27" s="32">
        <f t="shared" si="0"/>
        <v>19</v>
      </c>
      <c r="B27" s="22" t="s">
        <v>43</v>
      </c>
      <c r="C27" s="25">
        <v>2</v>
      </c>
      <c r="D27" s="34">
        <v>46692</v>
      </c>
    </row>
    <row r="28" spans="1:4" ht="15.75" thickBot="1" x14ac:dyDescent="0.3">
      <c r="A28" s="33">
        <v>20</v>
      </c>
      <c r="B28" s="23" t="s">
        <v>49</v>
      </c>
      <c r="C28" s="27">
        <v>1</v>
      </c>
      <c r="D28" s="35"/>
    </row>
  </sheetData>
  <mergeCells count="10">
    <mergeCell ref="D11:D12"/>
    <mergeCell ref="A23:A24"/>
    <mergeCell ref="B23:B24"/>
    <mergeCell ref="C23:C24"/>
    <mergeCell ref="A9:A10"/>
    <mergeCell ref="B9:B10"/>
    <mergeCell ref="C9:C10"/>
    <mergeCell ref="B11:B12"/>
    <mergeCell ref="A11:A12"/>
    <mergeCell ref="C11:C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8EA6E-8B10-4C98-9E17-AAC7506B8EB6}">
  <dimension ref="A4:D25"/>
  <sheetViews>
    <sheetView topLeftCell="A4" workbookViewId="0">
      <selection activeCell="G32" sqref="G32"/>
    </sheetView>
  </sheetViews>
  <sheetFormatPr defaultRowHeight="15" x14ac:dyDescent="0.25"/>
  <cols>
    <col min="2" max="2" width="31.28515625" customWidth="1"/>
    <col min="4" max="4" width="17" customWidth="1"/>
  </cols>
  <sheetData>
    <row r="4" spans="1:4" ht="15.75" thickBot="1" x14ac:dyDescent="0.3"/>
    <row r="5" spans="1:4" ht="15.75" thickBot="1" x14ac:dyDescent="0.3">
      <c r="B5" s="28" t="s">
        <v>31</v>
      </c>
      <c r="C5" s="29" t="s">
        <v>32</v>
      </c>
      <c r="D5" s="30" t="s">
        <v>33</v>
      </c>
    </row>
    <row r="6" spans="1:4" x14ac:dyDescent="0.25">
      <c r="A6" s="31">
        <v>1</v>
      </c>
      <c r="B6" s="20" t="s">
        <v>22</v>
      </c>
      <c r="C6" s="24">
        <v>1</v>
      </c>
      <c r="D6" s="20" t="s">
        <v>2</v>
      </c>
    </row>
    <row r="7" spans="1:4" x14ac:dyDescent="0.25">
      <c r="A7" s="32">
        <f>A6+1</f>
        <v>2</v>
      </c>
      <c r="B7" s="22" t="s">
        <v>19</v>
      </c>
      <c r="C7" s="25" t="s">
        <v>44</v>
      </c>
      <c r="D7" s="34">
        <v>47178</v>
      </c>
    </row>
    <row r="8" spans="1:4" x14ac:dyDescent="0.25">
      <c r="A8" s="32">
        <f t="shared" ref="A8:A23" si="0">A7+1</f>
        <v>3</v>
      </c>
      <c r="B8" s="21" t="s">
        <v>23</v>
      </c>
      <c r="C8" s="25">
        <v>1</v>
      </c>
      <c r="D8" s="21" t="s">
        <v>2</v>
      </c>
    </row>
    <row r="9" spans="1:4" ht="45" x14ac:dyDescent="0.25">
      <c r="A9" s="32">
        <f t="shared" si="0"/>
        <v>4</v>
      </c>
      <c r="B9" s="22" t="s">
        <v>34</v>
      </c>
      <c r="C9" s="25">
        <v>2</v>
      </c>
      <c r="D9" s="34">
        <v>47300</v>
      </c>
    </row>
    <row r="10" spans="1:4" ht="45" x14ac:dyDescent="0.25">
      <c r="A10" s="32">
        <f t="shared" si="0"/>
        <v>5</v>
      </c>
      <c r="B10" s="22" t="s">
        <v>28</v>
      </c>
      <c r="C10" s="26" t="s">
        <v>45</v>
      </c>
      <c r="D10" s="34">
        <v>46447</v>
      </c>
    </row>
    <row r="11" spans="1:4" ht="30" x14ac:dyDescent="0.25">
      <c r="A11" s="32">
        <f t="shared" si="0"/>
        <v>6</v>
      </c>
      <c r="B11" s="22" t="s">
        <v>35</v>
      </c>
      <c r="C11" s="26" t="s">
        <v>46</v>
      </c>
      <c r="D11" s="34">
        <v>46447</v>
      </c>
    </row>
    <row r="12" spans="1:4" ht="45" x14ac:dyDescent="0.25">
      <c r="A12" s="32">
        <f t="shared" si="0"/>
        <v>7</v>
      </c>
      <c r="B12" s="22" t="s">
        <v>10</v>
      </c>
      <c r="C12" s="25">
        <v>2</v>
      </c>
      <c r="D12" s="34">
        <v>46600</v>
      </c>
    </row>
    <row r="13" spans="1:4" ht="45" x14ac:dyDescent="0.25">
      <c r="A13" s="32">
        <f t="shared" si="0"/>
        <v>8</v>
      </c>
      <c r="B13" s="22" t="s">
        <v>36</v>
      </c>
      <c r="C13" s="25">
        <v>10</v>
      </c>
      <c r="D13" s="34">
        <v>45992</v>
      </c>
    </row>
    <row r="14" spans="1:4" x14ac:dyDescent="0.25">
      <c r="A14" s="32">
        <f t="shared" si="0"/>
        <v>9</v>
      </c>
      <c r="B14" s="22" t="s">
        <v>11</v>
      </c>
      <c r="C14" s="25">
        <v>2</v>
      </c>
      <c r="D14" s="34">
        <v>46508</v>
      </c>
    </row>
    <row r="15" spans="1:4" ht="45" x14ac:dyDescent="0.25">
      <c r="A15" s="32">
        <f t="shared" si="0"/>
        <v>10</v>
      </c>
      <c r="B15" s="22" t="s">
        <v>37</v>
      </c>
      <c r="C15" s="25">
        <v>1</v>
      </c>
      <c r="D15" s="34">
        <v>46874</v>
      </c>
    </row>
    <row r="16" spans="1:4" ht="30" x14ac:dyDescent="0.25">
      <c r="A16" s="32">
        <f t="shared" si="0"/>
        <v>11</v>
      </c>
      <c r="B16" s="22" t="s">
        <v>38</v>
      </c>
      <c r="C16" s="25">
        <v>1</v>
      </c>
      <c r="D16" s="34">
        <v>46753</v>
      </c>
    </row>
    <row r="17" spans="1:4" ht="45" x14ac:dyDescent="0.25">
      <c r="A17" s="32">
        <f t="shared" si="0"/>
        <v>12</v>
      </c>
      <c r="B17" s="22" t="s">
        <v>39</v>
      </c>
      <c r="C17" s="25" t="s">
        <v>47</v>
      </c>
      <c r="D17" s="34">
        <v>46113</v>
      </c>
    </row>
    <row r="18" spans="1:4" ht="30" x14ac:dyDescent="0.25">
      <c r="A18" s="32">
        <f t="shared" si="0"/>
        <v>13</v>
      </c>
      <c r="B18" s="22" t="s">
        <v>40</v>
      </c>
      <c r="C18" s="25">
        <v>2</v>
      </c>
      <c r="D18" s="34">
        <v>46844</v>
      </c>
    </row>
    <row r="19" spans="1:4" x14ac:dyDescent="0.25">
      <c r="A19" s="32">
        <f t="shared" si="0"/>
        <v>14</v>
      </c>
      <c r="B19" s="22" t="s">
        <v>13</v>
      </c>
      <c r="C19" s="25">
        <v>1</v>
      </c>
      <c r="D19" s="21" t="s">
        <v>2</v>
      </c>
    </row>
    <row r="20" spans="1:4" x14ac:dyDescent="0.25">
      <c r="A20" s="32">
        <f t="shared" si="0"/>
        <v>15</v>
      </c>
      <c r="B20" s="22" t="s">
        <v>25</v>
      </c>
      <c r="C20" s="25">
        <v>3</v>
      </c>
      <c r="D20" s="34">
        <v>46327</v>
      </c>
    </row>
    <row r="21" spans="1:4" x14ac:dyDescent="0.25">
      <c r="A21" s="32">
        <f t="shared" si="0"/>
        <v>16</v>
      </c>
      <c r="B21" s="22" t="s">
        <v>41</v>
      </c>
      <c r="C21" s="25">
        <v>2</v>
      </c>
      <c r="D21" s="34">
        <v>45962</v>
      </c>
    </row>
    <row r="22" spans="1:4" ht="45" x14ac:dyDescent="0.25">
      <c r="A22" s="32">
        <f t="shared" si="0"/>
        <v>17</v>
      </c>
      <c r="B22" s="22" t="s">
        <v>42</v>
      </c>
      <c r="C22" s="25">
        <v>2</v>
      </c>
      <c r="D22" s="21" t="s">
        <v>2</v>
      </c>
    </row>
    <row r="23" spans="1:4" ht="30" x14ac:dyDescent="0.25">
      <c r="A23" s="32">
        <f t="shared" si="0"/>
        <v>18</v>
      </c>
      <c r="B23" s="22" t="s">
        <v>18</v>
      </c>
      <c r="C23" s="25">
        <v>1</v>
      </c>
      <c r="D23" s="21" t="s">
        <v>2</v>
      </c>
    </row>
    <row r="24" spans="1:4" x14ac:dyDescent="0.25">
      <c r="A24" s="32">
        <v>19</v>
      </c>
      <c r="B24" s="22" t="s">
        <v>43</v>
      </c>
      <c r="C24" s="25">
        <v>2</v>
      </c>
      <c r="D24" s="34">
        <v>46692</v>
      </c>
    </row>
    <row r="25" spans="1:4" ht="15.75" thickBot="1" x14ac:dyDescent="0.3">
      <c r="A25" s="33">
        <v>20</v>
      </c>
      <c r="B25" s="23" t="s">
        <v>49</v>
      </c>
      <c r="C25" s="27">
        <v>1</v>
      </c>
      <c r="D25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Giacenza materiale</vt:lpstr>
      <vt:lpstr>Ufficio</vt:lpstr>
      <vt:lpstr>Officina</vt:lpstr>
      <vt:lpstr>Magazzino imballi</vt:lpstr>
      <vt:lpstr>Trasformazione</vt:lpstr>
      <vt:lpstr>Depuratore</vt:lpstr>
      <vt:lpstr>Prodotti finiti</vt:lpstr>
      <vt:lpstr>Laboratorio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Qualita</dc:creator>
  <cp:lastModifiedBy>Ufficio Qualità</cp:lastModifiedBy>
  <cp:lastPrinted>2025-05-05T08:14:59Z</cp:lastPrinted>
  <dcterms:created xsi:type="dcterms:W3CDTF">2015-06-05T18:19:34Z</dcterms:created>
  <dcterms:modified xsi:type="dcterms:W3CDTF">2025-07-25T09:56:13Z</dcterms:modified>
</cp:coreProperties>
</file>