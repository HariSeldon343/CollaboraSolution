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heme/themeOverride3.xml" ContentType="application/vnd.openxmlformats-officedocument.themeOverride+xml"/>
  <Override PartName="/xl/charts/chart8.xml" ContentType="application/vnd.openxmlformats-officedocument.drawingml.chart+xml"/>
  <Override PartName="/xl/theme/themeOverride4.xml" ContentType="application/vnd.openxmlformats-officedocument.themeOverride+xml"/>
  <Override PartName="/xl/drawings/drawing2.xml" ContentType="application/vnd.openxmlformats-officedocument.drawing+xml"/>
  <Override PartName="/xl/charts/chart9.xml" ContentType="application/vnd.openxmlformats-officedocument.drawingml.chart+xml"/>
  <Override PartName="/xl/theme/themeOverride5.xml" ContentType="application/vnd.openxmlformats-officedocument.themeOverride+xml"/>
  <Override PartName="/xl/charts/chart10.xml" ContentType="application/vnd.openxmlformats-officedocument.drawingml.chart+xml"/>
  <Override PartName="/xl/theme/themeOverride6.xml" ContentType="application/vnd.openxmlformats-officedocument.themeOverride+xml"/>
  <Override PartName="/xl/charts/chart11.xml" ContentType="application/vnd.openxmlformats-officedocument.drawingml.chart+xml"/>
  <Override PartName="/xl/theme/themeOverride7.xml" ContentType="application/vnd.openxmlformats-officedocument.themeOverride+xml"/>
  <Override PartName="/xl/charts/chart12.xml" ContentType="application/vnd.openxmlformats-officedocument.drawingml.chart+xml"/>
  <Override PartName="/xl/theme/themeOverride8.xml" ContentType="application/vnd.openxmlformats-officedocument.themeOverride+xml"/>
  <Override PartName="/xl/charts/chart13.xml" ContentType="application/vnd.openxmlformats-officedocument.drawingml.chart+xml"/>
  <Override PartName="/xl/theme/themeOverride9.xml" ContentType="application/vnd.openxmlformats-officedocument.themeOverride+xml"/>
  <Override PartName="/xl/charts/chart14.xml" ContentType="application/vnd.openxmlformats-officedocument.drawingml.chart+xml"/>
  <Override PartName="/xl/theme/themeOverride10.xml" ContentType="application/vnd.openxmlformats-officedocument.themeOverride+xml"/>
  <Override PartName="/xl/charts/chart15.xml" ContentType="application/vnd.openxmlformats-officedocument.drawingml.chart+xml"/>
  <Override PartName="/xl/theme/themeOverride11.xml" ContentType="application/vnd.openxmlformats-officedocument.themeOverride+xml"/>
  <Override PartName="/xl/drawings/drawing3.xml" ContentType="application/vnd.openxmlformats-officedocument.drawing+xml"/>
  <Override PartName="/xl/charts/chart16.xml" ContentType="application/vnd.openxmlformats-officedocument.drawingml.chart+xml"/>
  <Override PartName="/xl/theme/themeOverride12.xml" ContentType="application/vnd.openxmlformats-officedocument.themeOverride+xml"/>
  <Override PartName="/xl/charts/chart17.xml" ContentType="application/vnd.openxmlformats-officedocument.drawingml.chart+xml"/>
  <Override PartName="/xl/theme/themeOverride13.xml" ContentType="application/vnd.openxmlformats-officedocument.themeOverride+xml"/>
  <Override PartName="/xl/charts/chart18.xml" ContentType="application/vnd.openxmlformats-officedocument.drawingml.chart+xml"/>
  <Override PartName="/xl/theme/themeOverride14.xml" ContentType="application/vnd.openxmlformats-officedocument.themeOverride+xml"/>
  <Override PartName="/xl/charts/chart19.xml" ContentType="application/vnd.openxmlformats-officedocument.drawingml.chart+xml"/>
  <Override PartName="/xl/theme/themeOverride15.xml" ContentType="application/vnd.openxmlformats-officedocument.themeOverride+xml"/>
  <Override PartName="/xl/drawings/drawing4.xml" ContentType="application/vnd.openxmlformats-officedocument.drawing+xml"/>
  <Override PartName="/xl/charts/chart20.xml" ContentType="application/vnd.openxmlformats-officedocument.drawingml.chart+xml"/>
  <Override PartName="/xl/theme/themeOverride16.xml" ContentType="application/vnd.openxmlformats-officedocument.themeOverride+xml"/>
  <Override PartName="/xl/charts/chart21.xml" ContentType="application/vnd.openxmlformats-officedocument.drawingml.chart+xml"/>
  <Override PartName="/xl/theme/themeOverride17.xml" ContentType="application/vnd.openxmlformats-officedocument.themeOverride+xml"/>
  <Override PartName="/xl/charts/chart22.xml" ContentType="application/vnd.openxmlformats-officedocument.drawingml.chart+xml"/>
  <Override PartName="/xl/theme/themeOverride18.xml" ContentType="application/vnd.openxmlformats-officedocument.themeOverride+xml"/>
  <Override PartName="/xl/charts/chart23.xml" ContentType="application/vnd.openxmlformats-officedocument.drawingml.chart+xml"/>
  <Override PartName="/xl/theme/themeOverride19.xml" ContentType="application/vnd.openxmlformats-officedocument.themeOverride+xml"/>
  <Override PartName="/xl/charts/chart24.xml" ContentType="application/vnd.openxmlformats-officedocument.drawingml.chart+xml"/>
  <Override PartName="/xl/theme/themeOverride20.xml" ContentType="application/vnd.openxmlformats-officedocument.themeOverride+xml"/>
  <Override PartName="/xl/charts/chart25.xml" ContentType="application/vnd.openxmlformats-officedocument.drawingml.chart+xml"/>
  <Override PartName="/xl/theme/themeOverride21.xml" ContentType="application/vnd.openxmlformats-officedocument.themeOverride+xml"/>
  <Override PartName="/xl/drawings/drawing5.xml" ContentType="application/vnd.openxmlformats-officedocument.drawing+xml"/>
  <Override PartName="/xl/charts/chart26.xml" ContentType="application/vnd.openxmlformats-officedocument.drawingml.chart+xml"/>
  <Override PartName="/xl/theme/themeOverride22.xml" ContentType="application/vnd.openxmlformats-officedocument.themeOverride+xml"/>
  <Override PartName="/xl/charts/chart27.xml" ContentType="application/vnd.openxmlformats-officedocument.drawingml.chart+xml"/>
  <Override PartName="/xl/theme/themeOverride23.xml" ContentType="application/vnd.openxmlformats-officedocument.themeOverride+xml"/>
  <Override PartName="/xl/charts/chart28.xml" ContentType="application/vnd.openxmlformats-officedocument.drawingml.chart+xml"/>
  <Override PartName="/xl/theme/themeOverride24.xml" ContentType="application/vnd.openxmlformats-officedocument.themeOverride+xml"/>
  <Override PartName="/xl/charts/chart29.xml" ContentType="application/vnd.openxmlformats-officedocument.drawingml.chart+xml"/>
  <Override PartName="/xl/theme/themeOverride25.xml" ContentType="application/vnd.openxmlformats-officedocument.themeOverride+xml"/>
  <Override PartName="/xl/charts/chart30.xml" ContentType="application/vnd.openxmlformats-officedocument.drawingml.chart+xml"/>
  <Override PartName="/xl/theme/themeOverride26.xml" ContentType="application/vnd.openxmlformats-officedocument.themeOverride+xml"/>
  <Override PartName="/xl/drawings/drawing6.xml" ContentType="application/vnd.openxmlformats-officedocument.drawing+xml"/>
  <Override PartName="/xl/charts/chart31.xml" ContentType="application/vnd.openxmlformats-officedocument.drawingml.chart+xml"/>
  <Override PartName="/xl/theme/themeOverride27.xml" ContentType="application/vnd.openxmlformats-officedocument.themeOverride+xml"/>
  <Override PartName="/xl/drawings/drawing7.xml" ContentType="application/vnd.openxmlformats-officedocument.drawing+xml"/>
  <Override PartName="/xl/charts/chart32.xml" ContentType="application/vnd.openxmlformats-officedocument.drawingml.chart+xml"/>
  <Override PartName="/xl/theme/themeOverride28.xml" ContentType="application/vnd.openxmlformats-officedocument.themeOverride+xml"/>
  <Override PartName="/xl/charts/chart33.xml" ContentType="application/vnd.openxmlformats-officedocument.drawingml.chart+xml"/>
  <Override PartName="/xl/theme/themeOverride29.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192.168.0.5\Arc\CdG QUALITA'\2. ISO 14001\ISO 14001-2015\Capitolo 06\"/>
    </mc:Choice>
  </mc:AlternateContent>
  <xr:revisionPtr revIDLastSave="0" documentId="13_ncr:1_{3AE336B2-4C18-4A63-BF06-3D27F74E2231}" xr6:coauthVersionLast="47" xr6:coauthVersionMax="47" xr10:uidLastSave="{00000000-0000-0000-0000-000000000000}"/>
  <bookViews>
    <workbookView xWindow="-120" yWindow="-120" windowWidth="25440" windowHeight="15390" firstSheet="4" xr2:uid="{86C8B679-D482-4490-BD81-5B416F49D2A1}"/>
  </bookViews>
  <sheets>
    <sheet name="ASPETTI AMBIENTALI SIGNIF" sheetId="7" r:id="rId1"/>
    <sheet name="CONSUMO ENERGIA ELETTRICA" sheetId="8" r:id="rId2"/>
    <sheet name="CONSUMO GAS METANO" sheetId="9" r:id="rId3"/>
    <sheet name="CONSUMI IDRICI" sheetId="10" r:id="rId4"/>
    <sheet name="SCARICO DEL DEPURATORE" sheetId="11" r:id="rId5"/>
    <sheet name="EMISSIONI IN ATMOSFERA" sheetId="12" r:id="rId6"/>
    <sheet name="RUMORI" sheetId="13" r:id="rId7"/>
    <sheet name="RIFIUTI" sheetId="14" r:id="rId8"/>
    <sheet name="FORMAZIONE" sheetId="15" r:id="rId9"/>
    <sheet name="RECLAMI AMBIENTALI" sheetId="16"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 i="11" l="1"/>
  <c r="M35" i="14"/>
  <c r="M34" i="14"/>
  <c r="M33" i="14"/>
  <c r="M32" i="14"/>
  <c r="M31" i="14"/>
  <c r="D24" i="14"/>
  <c r="C12" i="16"/>
  <c r="D12" i="15"/>
  <c r="E12" i="15" s="1"/>
  <c r="D35" i="12"/>
  <c r="E35" i="12"/>
  <c r="E26" i="12"/>
  <c r="D26" i="12"/>
  <c r="E24" i="11" l="1"/>
  <c r="D26" i="10" l="1"/>
  <c r="E49" i="9" l="1"/>
  <c r="E63" i="8" l="1"/>
  <c r="E50" i="8" l="1"/>
  <c r="E47" i="9" l="1"/>
  <c r="E48" i="9"/>
  <c r="F48" i="9" s="1"/>
  <c r="E62" i="8" l="1"/>
  <c r="F62" i="8" s="1"/>
  <c r="E49" i="8"/>
  <c r="C11" i="16"/>
  <c r="D11" i="15"/>
  <c r="E11" i="15" s="1"/>
  <c r="D23" i="14"/>
  <c r="G10" i="13"/>
  <c r="I10" i="13" s="1"/>
  <c r="D25" i="10"/>
  <c r="E25" i="10" l="1"/>
  <c r="D34" i="12"/>
  <c r="E34" i="12"/>
  <c r="D25" i="12"/>
  <c r="E25" i="12"/>
  <c r="B9" i="13"/>
  <c r="C9" i="13"/>
  <c r="D9" i="13"/>
  <c r="F9" i="13"/>
  <c r="B22" i="11"/>
  <c r="B21" i="11"/>
  <c r="B20" i="11"/>
  <c r="B6" i="11"/>
  <c r="B5" i="11"/>
  <c r="B4" i="11"/>
  <c r="G9" i="13"/>
  <c r="I9" i="13" s="1"/>
  <c r="C18" i="13"/>
  <c r="B18" i="13"/>
  <c r="C17" i="13"/>
  <c r="B17" i="13"/>
  <c r="D8" i="13"/>
  <c r="C8" i="13"/>
  <c r="B8" i="13"/>
  <c r="F8" i="13"/>
  <c r="G8" i="13" l="1"/>
  <c r="I8" i="13" s="1"/>
  <c r="J8" i="13" s="1"/>
  <c r="E20" i="11"/>
  <c r="B60" i="8" l="1"/>
  <c r="B59" i="8"/>
  <c r="E59" i="8" s="1"/>
  <c r="E61" i="8"/>
  <c r="E60" i="8"/>
  <c r="F59" i="8" s="1"/>
  <c r="F60" i="8" l="1"/>
  <c r="F61" i="8"/>
  <c r="E48" i="8"/>
  <c r="D23" i="10"/>
  <c r="D24" i="10"/>
  <c r="D22" i="10"/>
  <c r="E45" i="9"/>
  <c r="C9" i="16"/>
  <c r="C10" i="16"/>
  <c r="C8" i="16"/>
  <c r="E24" i="10" l="1"/>
  <c r="E23" i="10"/>
  <c r="E22" i="10"/>
  <c r="E33" i="12"/>
  <c r="D33" i="12"/>
  <c r="E32" i="12"/>
  <c r="D32" i="12"/>
  <c r="E31" i="12"/>
  <c r="D31" i="12"/>
  <c r="E22" i="12"/>
  <c r="E24" i="12"/>
  <c r="E23" i="12"/>
  <c r="D23" i="12"/>
  <c r="D24" i="12"/>
  <c r="D22" i="12"/>
  <c r="D9" i="15"/>
  <c r="E9" i="15" s="1"/>
  <c r="D10" i="15"/>
  <c r="E10" i="15" s="1"/>
  <c r="D20" i="14"/>
  <c r="D22" i="14"/>
  <c r="E22" i="14" s="1"/>
  <c r="D21" i="14"/>
  <c r="E20" i="14" s="1"/>
  <c r="E22" i="11"/>
  <c r="E21" i="11"/>
  <c r="B6" i="10"/>
  <c r="B5" i="10"/>
  <c r="B4" i="10"/>
  <c r="E21" i="14" l="1"/>
  <c r="F47" i="9"/>
  <c r="E46" i="9"/>
  <c r="F45" i="9" s="1"/>
  <c r="E47" i="8"/>
  <c r="E46" i="8"/>
  <c r="F46"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Laboratorio</author>
  </authors>
  <commentList>
    <comment ref="B59" authorId="0" shapeId="0" xr:uid="{443B9547-22AE-4B4E-93E5-874AA7CFC711}">
      <text>
        <r>
          <rPr>
            <b/>
            <sz val="9"/>
            <color indexed="81"/>
            <rFont val="Tahoma"/>
            <family val="2"/>
          </rPr>
          <t>Laboratorio:</t>
        </r>
        <r>
          <rPr>
            <sz val="9"/>
            <color indexed="81"/>
            <rFont val="Tahoma"/>
            <family val="2"/>
          </rPr>
          <t xml:space="preserve">
Linea 1 e linea 2 FMC</t>
        </r>
      </text>
    </comment>
  </commentList>
</comments>
</file>

<file path=xl/sharedStrings.xml><?xml version="1.0" encoding="utf-8"?>
<sst xmlns="http://schemas.openxmlformats.org/spreadsheetml/2006/main" count="286" uniqueCount="211">
  <si>
    <t>ASPETTI AMBIENTALI SIGNIFICATIVI E LORO GESTIONE</t>
  </si>
  <si>
    <t>1) CONSUMI ENERGETICI</t>
  </si>
  <si>
    <t>2) CONSUMI IDRICI</t>
  </si>
  <si>
    <t>3) SCARICO DEL DEPURATORE</t>
  </si>
  <si>
    <t>4) EMISSIONI IN ATMOSFERA</t>
  </si>
  <si>
    <t>5) RUMORE</t>
  </si>
  <si>
    <t>In grassetto gli aspetti ambientali significativi monitorati e per i quali è stato definito un indicatore di prestazione ambientale.</t>
  </si>
  <si>
    <t>6) EVENTO ACCIDENTALE</t>
  </si>
  <si>
    <t>7) ODORI</t>
  </si>
  <si>
    <t>8) RIFIUTI</t>
  </si>
  <si>
    <t>9) FORMAZIONE</t>
  </si>
  <si>
    <t>CONSUMI ENERGIA ELETTRICA</t>
  </si>
  <si>
    <t>ANNO</t>
  </si>
  <si>
    <t>Energia elettrica consumata [kWh]</t>
  </si>
  <si>
    <t>Costo totale [€]</t>
  </si>
  <si>
    <t>INDICATORE DEL CONSUMO DI ENERGIA ELETTRICA (E.E.)</t>
  </si>
  <si>
    <t>Frutta lavorata [kg]</t>
  </si>
  <si>
    <t>CONSUMI GAS METANO</t>
  </si>
  <si>
    <t>Metano consumato [Smc]</t>
  </si>
  <si>
    <t>CONSUMI IDRICI</t>
  </si>
  <si>
    <t>Acqua pozzo + acquedotto consumata [mc]</t>
  </si>
  <si>
    <t>-</t>
  </si>
  <si>
    <t>INDICATORE DEL CONSUMO DI GAS METANO (GM)</t>
  </si>
  <si>
    <t>Indicatore GM [Smc/kg]</t>
  </si>
  <si>
    <t>INDICATORE DEL CONSUMO IDRICO (ACQ)</t>
  </si>
  <si>
    <t>Indicatore ACQ [mc/kg]</t>
  </si>
  <si>
    <t>SCARICO DEL DEPURATORE</t>
  </si>
  <si>
    <t>Acqua reflua scaricata [mc]</t>
  </si>
  <si>
    <t>INDICATORE DELLO SCARICO DEL DEPURATORE (REF)</t>
  </si>
  <si>
    <t>ANDAMENTO DEI PRINCIPALI PARAMETRI ANALIZZATI (Lab. Esterno)</t>
  </si>
  <si>
    <t>COD [mg/l]</t>
  </si>
  <si>
    <t>Solidi sospesi totali [mg/l]</t>
  </si>
  <si>
    <t>BOD [mg/l]</t>
  </si>
  <si>
    <t>N.B. Si tratta di valori istantanei relativi al campione prelevato.</t>
  </si>
  <si>
    <t>EMISSIONI IN ATMOSFERA</t>
  </si>
  <si>
    <t>PROGRAMMA</t>
  </si>
  <si>
    <t>NOx Ossido di azoto [mg/Nmc]</t>
  </si>
  <si>
    <t>Punto di emissione E12</t>
  </si>
  <si>
    <t>Punto di emissione E13</t>
  </si>
  <si>
    <t>ANDAMENTO DEI PRINCIPALI PARAMETRI ANALIZZATI (Ditta Esterna)</t>
  </si>
  <si>
    <t>INDICATORE DEL BUON FUNZIONAMENTO DELLA CALDAIA (EM)</t>
  </si>
  <si>
    <t>N.B. Si verifica sempre il rispetto dei limiti di legge</t>
  </si>
  <si>
    <t>N. malfunzionamenti [-]</t>
  </si>
  <si>
    <t>N. interventi straordinari [-]</t>
  </si>
  <si>
    <t>Se il numero di malfunzionamenti è inferiore a 5 e il numero di interventi straordinari è inferiore a 3,</t>
  </si>
  <si>
    <t>si considera che la caldaia sta funzionando in modo efficiente</t>
  </si>
  <si>
    <t>RUMORI</t>
  </si>
  <si>
    <t>INDICATORE DELLE IDONEE CONDIZIONI RUMOROSE (RUM)</t>
  </si>
  <si>
    <t>10) RECLAMI AMBIENTALI</t>
  </si>
  <si>
    <t>RIFIUTI</t>
  </si>
  <si>
    <t>Rifiuti prodotti [kg]</t>
  </si>
  <si>
    <t>INDICATORE DELLA PRODUZIORE DI RIFIUTI (RIF)</t>
  </si>
  <si>
    <t>CER 18 01 03</t>
  </si>
  <si>
    <t>CER 15 01 10</t>
  </si>
  <si>
    <t>CER 15 01 02</t>
  </si>
  <si>
    <t>FORMAZIONE</t>
  </si>
  <si>
    <t>Interventi formativi previsti [-]</t>
  </si>
  <si>
    <t>Interventi formativi effettuati [-]</t>
  </si>
  <si>
    <t>Se il numero di interventi effettuati è minore del 90 % di quelli previsti,</t>
  </si>
  <si>
    <t>si considera insufficiente la formazione ambientale effettuata</t>
  </si>
  <si>
    <t>%</t>
  </si>
  <si>
    <t>INDICATORE DEL CORRETTO SVOLGIMENTO DELLA FORMAZIONE AMBIENTALE IN AZIENDA (FOR)</t>
  </si>
  <si>
    <t>FOR</t>
  </si>
  <si>
    <r>
      <t xml:space="preserve">Analizzando consumi e costi dell'energia elettrica per gli anni 2020-2021-2022 è possibile osservare immediatamente dai grafici gli effetti del </t>
    </r>
    <r>
      <rPr>
        <b/>
        <i/>
        <sz val="12"/>
        <color theme="1"/>
        <rFont val="Times New Roman"/>
        <family val="1"/>
      </rPr>
      <t>caro energia</t>
    </r>
    <r>
      <rPr>
        <i/>
        <sz val="12"/>
        <color theme="1"/>
        <rFont val="Times New Roman"/>
        <family val="1"/>
      </rPr>
      <t>.</t>
    </r>
  </si>
  <si>
    <r>
      <t xml:space="preserve">Analizzando consumi e costi del gas metano per gli anni 2020-2021-2022 è possibile osservare immediatamente dai grafici gli effetti del </t>
    </r>
    <r>
      <rPr>
        <b/>
        <i/>
        <sz val="12"/>
        <color theme="1"/>
        <rFont val="Times New Roman"/>
        <family val="1"/>
      </rPr>
      <t>caro energia</t>
    </r>
    <r>
      <rPr>
        <i/>
        <sz val="12"/>
        <color theme="1"/>
        <rFont val="Times New Roman"/>
        <family val="1"/>
      </rPr>
      <t>.</t>
    </r>
  </si>
  <si>
    <t xml:space="preserve">        1.1 CONSUMO ENERGIA ELETTRICA</t>
  </si>
  <si>
    <t xml:space="preserve">        1.2 CONSUMO GAS METANO</t>
  </si>
  <si>
    <t>ASPETTI AMBIENTALI SIGNIFICATIVI</t>
  </si>
  <si>
    <t>INDICATORE AMBIENTALE</t>
  </si>
  <si>
    <t>E.E.</t>
  </si>
  <si>
    <t>GM</t>
  </si>
  <si>
    <t>ACQ</t>
  </si>
  <si>
    <t>REF</t>
  </si>
  <si>
    <t>Caldaia a funzionamento combinato biogas-metano (E12)</t>
  </si>
  <si>
    <t>Caldaia a funzionamento con gas metano (E13)</t>
  </si>
  <si>
    <t>EM</t>
  </si>
  <si>
    <t>Esito malfunzionamento</t>
  </si>
  <si>
    <t>1=Buon funzionamento</t>
  </si>
  <si>
    <t>0=Attenzione! Cattivo funzionamento</t>
  </si>
  <si>
    <t>LIMITI</t>
  </si>
  <si>
    <t>RIF</t>
  </si>
  <si>
    <t>REC</t>
  </si>
  <si>
    <t>1=Rispetto degli obiettivi di formazione</t>
  </si>
  <si>
    <t>0=Attenzione! Formazione insufficiente</t>
  </si>
  <si>
    <t>N.B. Nel 2020 a causa del Covid-19 la formazione è stata minore.</t>
  </si>
  <si>
    <t>RECLAMI AMBIENTALI</t>
  </si>
  <si>
    <t>INDICATORE DEI RECLAMI AMBIENTALI (REC)</t>
  </si>
  <si>
    <t>Se il numero di reclami ambientali è minore di 3,</t>
  </si>
  <si>
    <t>N. di reclami ambientali [-]</t>
  </si>
  <si>
    <t>1=Garanzia dell'azienda a livello ambientale</t>
  </si>
  <si>
    <t>0=Attenzione! Troppi reclami</t>
  </si>
  <si>
    <t>significa che l'azienda garantisce un buon livello ambientale nello svolgimento della propria attività</t>
  </si>
  <si>
    <t>Frutta lavorata [ton]</t>
  </si>
  <si>
    <t>Indicatore E.E. [kWh/ton]</t>
  </si>
  <si>
    <t>L'indicatore così calcolato fa riferimento a tutti i consumi di energia elettrica dell'azienda.</t>
  </si>
  <si>
    <t>INDICATORE DEL CONSUMO DI ENERGIA ELETTRICA</t>
  </si>
  <si>
    <t>e li rapporta alle tonnellate di frutta trasformata.</t>
  </si>
  <si>
    <t>Indicatore  [kWh/kg]</t>
  </si>
  <si>
    <t>Succo prodotto [kg]</t>
  </si>
  <si>
    <t xml:space="preserve">Questo indicatore prende in considerazione i consumi di metano che si hanno in seguito </t>
  </si>
  <si>
    <t>all'accensione delle caldaie. Pertanto viene ottenuto rapportando tali consumi ai chilogrammi di succo prodotto.</t>
  </si>
  <si>
    <t xml:space="preserve">Questo indicatore prende in considerazione i consumi idrici in termini di acqua pozzo e acqua di acquedotto </t>
  </si>
  <si>
    <t xml:space="preserve">utilizzate per il lavaggio degli impianti, delle linee e dei serbatoi. Pertanto viene ottenuto </t>
  </si>
  <si>
    <t>rapportando tali consumi alle tonnellate di frutta lavorata.</t>
  </si>
  <si>
    <t>Questo indicatore prende in considerazione i quantitativi di acqua reflua scaricata</t>
  </si>
  <si>
    <t>Pertanto viene ottenuto rapportando tale quantità alle tonnellate di frutta lavorata.</t>
  </si>
  <si>
    <t>Indicatore REF [mc/ton]</t>
  </si>
  <si>
    <t>Campagne di sensibilizzazione dei dipendenti mirate al risparmio idrico</t>
  </si>
  <si>
    <t>Ampliamento del parco fotovoltaico aziendale. Acquisto di nuovi pannelli fotovoltaici ad integrazione di quelli già presenti in azienda. Campagne di sensibilizzazione dei dipendenti mirate al risparmio energetico</t>
  </si>
  <si>
    <t>CO [mg/Nmc]</t>
  </si>
  <si>
    <t>HCl [mg/Nmc]</t>
  </si>
  <si>
    <t>SOV [mg/Nmc]</t>
  </si>
  <si>
    <t>&lt;1</t>
  </si>
  <si>
    <t>ANDAMENTO DEI PRINCIPALI PARAMETRI ANALIZZATI (Valore medio annuo - Analisi interne)</t>
  </si>
  <si>
    <t>CRITERI DI MONITORAGGIO</t>
  </si>
  <si>
    <t>Monitoraggio costante dei parametri di processo e garanzia del rispetto dei limiti di legge</t>
  </si>
  <si>
    <t>Rep. trasformazione [dBA]</t>
  </si>
  <si>
    <t>Rep. produzione [dBA]</t>
  </si>
  <si>
    <t>Rep. concentratore [dBA]</t>
  </si>
  <si>
    <t>Rep. depurazione [dBA]</t>
  </si>
  <si>
    <t>Uffici [dBA]</t>
  </si>
  <si>
    <t>Valore medio diurno [dBA]</t>
  </si>
  <si>
    <t>Valore medio notturno [dBA]</t>
  </si>
  <si>
    <t>ESPOSIZIONE DEI LAVORATORI AL RUMORE (RUM lav)</t>
  </si>
  <si>
    <t>RUMORE ESTERNO (RUM ex)</t>
  </si>
  <si>
    <t>RUM lav</t>
  </si>
  <si>
    <t>RUM ex</t>
  </si>
  <si>
    <t xml:space="preserve">        5.2 RUMORE ESTERNO</t>
  </si>
  <si>
    <t>Simulazioni periodiche di eventi accidentali e redazione dei relativi verbali</t>
  </si>
  <si>
    <t>Utilizzo del sistema di deodorizzazione posto nel reparto depurazione</t>
  </si>
  <si>
    <t>Indicatore RIF [kg/ton]</t>
  </si>
  <si>
    <t>Valore medio aziendale [dBA]</t>
  </si>
  <si>
    <t>Ore lavorate totali [ore]</t>
  </si>
  <si>
    <t>RUM lav [dBA/ora]</t>
  </si>
  <si>
    <t>Δ</t>
  </si>
  <si>
    <t>Acqua (pozzo + acquedotto) consumata [mc]</t>
  </si>
  <si>
    <t xml:space="preserve">        5.1 ESPOSIZIONE DEI LAVORATORI    AL RUMORE</t>
  </si>
  <si>
    <t>CER 17 05 04</t>
  </si>
  <si>
    <t>CER 17 09 04</t>
  </si>
  <si>
    <t>CER 16 05 06</t>
  </si>
  <si>
    <t>CER 02 07 04</t>
  </si>
  <si>
    <t>Se il numero di malfunzionamenti è inferiore a 5 e il numero di interventi straordinari è inferiore a 3, si considera che la caldaia sta funzionando in modo efficiente.</t>
  </si>
  <si>
    <t>Se lo scostamento tra un anno e il successivo è inferiore a 1, i consumi si considerano accettabili. In caso contrario è necessario intervenire per garantire consumi minori.</t>
  </si>
  <si>
    <t xml:space="preserve">Se lo scostamento tra un anno e il successivo è inferiore 0.5, si considerano accettabili le condizioni lavorative. </t>
  </si>
  <si>
    <t>Campagne di sensibilizzazione dei dipendenti mirate al corretto utilizzo dei DPI</t>
  </si>
  <si>
    <t>Se lo scostamento tra un anno e il successivo è inferiore a 1, i quantitativi di rifiuti prodotti si considerano accettabili. In caso contrario è necessario intervenire per garantire una minore produzione di rifiuti e una maggiore attenzione alla raccolta differenziata.</t>
  </si>
  <si>
    <t>Se il numero di interventi effettuati è minore del 90 % di quelli previsti, si considera insufficiente la formazione ambientale effettuata.</t>
  </si>
  <si>
    <t>Se il numero di reclami ambientali è minore di 3, significa che l'azienda garantisce un buon livello ambientale nello svolgimento della propria attività.</t>
  </si>
  <si>
    <t>Maggiore utilizzo del biogas prodotto dai due digestori anaerobici a servizio dell'impianto di depurazione aziendale</t>
  </si>
  <si>
    <r>
      <t xml:space="preserve">Questo indicatore prende in considerazione i consumi di energia elettrica del </t>
    </r>
    <r>
      <rPr>
        <b/>
        <i/>
        <sz val="12"/>
        <color theme="1"/>
        <rFont val="Times New Roman"/>
        <family val="1"/>
      </rPr>
      <t xml:space="preserve">reparto trasformazione </t>
    </r>
  </si>
  <si>
    <t>Nel 2023 il costo dell'energia elettrica si è ridotto rispetto al 2022, ma continua a mantenersi superiore rispetto agli anni precedenti alla guerra in Ucraina e al Coronavirus.</t>
  </si>
  <si>
    <t>Ad esempio confrontando il 2021 e il 2023, il costo annuo è pressochè simile, ma i consumi per il 2021 sono molto maggiori rispetto al 2023.</t>
  </si>
  <si>
    <t>Nel 2023 il costo del gas metano si è ridotto rispetto al 2022, ma continua a mantenersi superiore rispetto agli anni precedenti alla guerra in Ucraina e al Coronavirus.</t>
  </si>
  <si>
    <t>Pertanto gli effetti dovuti agli eventi che interessano il panorama mondiale, continuano ad influire sul costo del gas, anche se in maniera meno importante.</t>
  </si>
  <si>
    <t xml:space="preserve">Confrontando il 2020 e il 2022 è possibile osservare che il quantitativo di succo prodotto si è dimezzato, mentre </t>
  </si>
  <si>
    <t>il consumo di metano si è ridotto rispetto alla metà del 2020.</t>
  </si>
  <si>
    <t>CER 13 02 08</t>
  </si>
  <si>
    <t>Nel 2024 il costo dell'energia elettrica si è ridotto ulteriormente rispetto agli anni precedenti, anche se di poco.</t>
  </si>
  <si>
    <t>Pertanto gli effetti dovuti agli eventi che interessano il panorama mondiale, continuano ad influire sul costo dell'energia, anche se in maniera molto meno importante.</t>
  </si>
  <si>
    <t>Il 2022 è l'anno in cui si evidenzia maggiormente l'aumento del costo del gas metano, che vede una lieve diminuzione per l'anno 2023.</t>
  </si>
  <si>
    <t>Nel 2024 il costo del gas metano si è ridotto ulteriormente rispetto agli anni precedenti, anche se di poco.</t>
  </si>
  <si>
    <t xml:space="preserve">Aggiornato all'anno 2024: non sono state apportate modifiche sostanziali in azienda, pertanto si può </t>
  </si>
  <si>
    <t>considerare che le condizioni di rumore sono rimaste invariate.</t>
  </si>
  <si>
    <t>Nel 2023 le analisi sono state effettuate con flussi di massa di 85 g/h, 23 g/h, 17 g/h</t>
  </si>
  <si>
    <t>Nel 2023 le analisi sono state effettuate con flussi di massa di 352 g/h</t>
  </si>
  <si>
    <t>Nel 2024 le analisi sono state effettuate con un flusso di massa di 1945 g/h, 47 g/h, 107 g/h</t>
  </si>
  <si>
    <t>Nel 2024 le analisi sono state effettuate con un flusso di massa di 1940 g/h</t>
  </si>
  <si>
    <t>CER 17 04 02</t>
  </si>
  <si>
    <t>CER 17 06 04</t>
  </si>
  <si>
    <t>CER 17 04 05</t>
  </si>
  <si>
    <t>CODICI CER</t>
  </si>
  <si>
    <t>15 01 02</t>
  </si>
  <si>
    <t>17 05 04</t>
  </si>
  <si>
    <t xml:space="preserve">17 09 04 </t>
  </si>
  <si>
    <t>16 05 06</t>
  </si>
  <si>
    <t>Sostanze chimiche di laboratorio contenenti o costituite da sostanze pericolose, comprese le miscele di sostanze chimiche di laboratorio</t>
  </si>
  <si>
    <t>02 07 04</t>
  </si>
  <si>
    <t>13 02 08</t>
  </si>
  <si>
    <t>17 04 02</t>
  </si>
  <si>
    <t>17 06 04</t>
  </si>
  <si>
    <t>17 04 05</t>
  </si>
  <si>
    <t>Rifiuti solidi di laboratorio</t>
  </si>
  <si>
    <t>Scarti inutilizzabili per il consumo e la trasformazione</t>
  </si>
  <si>
    <t>Imballaggi contnenti residui di sostanze pericolose o contaminati da tali sostanze</t>
  </si>
  <si>
    <t>18 01 03*</t>
  </si>
  <si>
    <t>15 01 10*</t>
  </si>
  <si>
    <t>Olio esausto</t>
  </si>
  <si>
    <t>Imballaggi in plastica</t>
  </si>
  <si>
    <t>Materiale di risulta</t>
  </si>
  <si>
    <t>Materiale da demolizione</t>
  </si>
  <si>
    <t>Materiali isolanti diversi da quelli alle cui voci 17 06 01* e 17 06 03*</t>
  </si>
  <si>
    <t>Alluminio</t>
  </si>
  <si>
    <t>Ferro e acciaio</t>
  </si>
  <si>
    <t>% rifiuti a recupero</t>
  </si>
  <si>
    <t>Ogni anno la percentuale di rifiuti inviata a recupero è molto elevata, poiché i rifiuti prodotti sono quasi sempre rifiuti che possono essere recuperati e non smaltiti.</t>
  </si>
  <si>
    <t>Nel 2022 la percentuale di rifiuti inviati a recupero è inferiore perché è stata mandata a smaltimento una cisterna di succo dopo emissione di un verbale da parte dei NAS.</t>
  </si>
  <si>
    <t>ANDAMENTO DEI PRINCIPALI RIFIUTI PRODOTTI (kg di rifiuti accettati da formulario)</t>
  </si>
  <si>
    <t>= A recupero</t>
  </si>
  <si>
    <t>= A smaltimento</t>
  </si>
  <si>
    <t>11) RECLAMI AMBIENTALI</t>
  </si>
  <si>
    <t>12) CAMBIAMENTO CLIMATICO</t>
  </si>
  <si>
    <t>RIF; EM; REF; ACQ; GM; EE</t>
  </si>
  <si>
    <t>il raggiungimento degli obiettivi precedenti permette di ridurre l'impatto dell'azienda sui cambiamenti climatici. Inoltre l'azienda ha valutato e sta monitorando come il cambiamento climatico sta influenzando la catena di approvvigionamento dell'azienda, comprese le vulnerabilità nei fornitori chiave, i rischi legati alla disponibilità delle materie prime e i potenziali impatti sui costi di produzione.</t>
  </si>
  <si>
    <t>Campagne di sensibilizzazione dei dipendenti mirate alle valutazioni sui cambiamenti climatici</t>
  </si>
  <si>
    <t xml:space="preserve">La società ha valutato anche in che modo il cambiamento climatico può influire l'operatività del proprio servizio di fronte all'accadimento di eventi climatici estremi. Nello specifico, vista la tipologia di processi svolti, essa ha valutato gli eventi climatici estremi che potenzialmente potrebbero avere un impatto significativo sulla continuità operativa </t>
  </si>
  <si>
    <t>Auto consumo pannelli fotovoltaici</t>
  </si>
  <si>
    <r>
      <t xml:space="preserve">monitoraggio delle condizioni climatiche e dei seguenti eventi:
</t>
    </r>
    <r>
      <rPr>
        <b/>
        <sz val="12"/>
        <color theme="1"/>
        <rFont val="Times New Roman"/>
        <family val="1"/>
      </rPr>
      <t>- ondate di caldo</t>
    </r>
    <r>
      <rPr>
        <sz val="12"/>
        <color theme="1"/>
        <rFont val="Times New Roman"/>
        <family val="1"/>
      </rPr>
      <t xml:space="preserve"> che potrebbero comportare l'eccessivo surriscaldamento del sistema di condizionamento/raffrescamento degli ambienti destinati al personale dipendente e alla conservazione del prodotto;
</t>
    </r>
    <r>
      <rPr>
        <b/>
        <sz val="12"/>
        <color theme="1"/>
        <rFont val="Times New Roman"/>
        <family val="1"/>
      </rPr>
      <t>- alluvioni di forte intensità</t>
    </r>
    <r>
      <rPr>
        <sz val="12"/>
        <color theme="1"/>
        <rFont val="Times New Roman"/>
        <family val="1"/>
      </rPr>
      <t xml:space="preserve"> che potrebbero comportare la parziale impraticabilità del sito, l'assenza prolungata di energia elettrica necessaria al corretto funzionamento degli impianti, apparecchiature e strumenti necessari per l'attività e la conservazione del prodotto. L'eventuale accadimento potrebbe comportare la perdita del prodotto presente nelle celle e relativo danno economico;
</t>
    </r>
    <r>
      <rPr>
        <b/>
        <sz val="12"/>
        <color theme="1"/>
        <rFont val="Times New Roman"/>
        <family val="1"/>
      </rPr>
      <t>- Incendi boschivi</t>
    </r>
    <r>
      <rPr>
        <sz val="12"/>
        <color theme="1"/>
        <rFont val="Times New Roman"/>
        <family val="1"/>
      </rPr>
      <t xml:space="preserve"> che possono danneggiare le infrastrutture fisiche; gli impianti e apparecchiature tali da interrompere l'operatività e l'impraticabilità del sito.</t>
    </r>
  </si>
  <si>
    <t>CAMBIAMENTO CLIMATICO</t>
  </si>
  <si>
    <t>Nel 2023 l'indicatore GM si è dimezzato rispetto al 2022 e nel 2024 è nuovamente aumentato poiché il quantitativo di metano utilizzato è stato maggiore</t>
  </si>
  <si>
    <t>probabilmente per il maggiore utilizzo del pastorizzatore e del concentratore.</t>
  </si>
  <si>
    <t>ALL. DA 06.01.02
Rev. 1 del 17/02/25
Emesso da: Team Qualità
Approvato da: Salvatore Rizzo
Motivo revisione: Aggiornamento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</si>
</sst>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5"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sz val="16"/>
      <color rgb="FF0070C0"/>
      <name val="Times New Roman"/>
      <family val="1"/>
    </font>
    <font>
      <b/>
      <sz val="14"/>
      <color rgb="FF0070C0"/>
      <name val="Times New Roman"/>
      <family val="1"/>
    </font>
    <font>
      <b/>
      <i/>
      <sz val="12"/>
      <color theme="1"/>
      <name val="Times New Roman"/>
      <family val="1"/>
    </font>
    <font>
      <sz val="12"/>
      <color rgb="FFFF0000"/>
      <name val="Times New Roman"/>
      <family val="1"/>
    </font>
    <font>
      <sz val="12"/>
      <name val="Times New Roman"/>
      <family val="1"/>
    </font>
    <font>
      <sz val="8"/>
      <name val="Calibri"/>
      <family val="2"/>
      <scheme val="minor"/>
    </font>
    <font>
      <b/>
      <sz val="12"/>
      <name val="Times New Roman"/>
      <family val="1"/>
    </font>
    <font>
      <sz val="9"/>
      <color indexed="81"/>
      <name val="Tahoma"/>
      <family val="2"/>
    </font>
    <font>
      <b/>
      <sz val="9"/>
      <color indexed="81"/>
      <name val="Tahoma"/>
      <family val="2"/>
    </font>
    <font>
      <sz val="11"/>
      <color theme="1"/>
      <name val="Calibri"/>
      <family val="2"/>
      <scheme val="minor"/>
    </font>
    <font>
      <sz val="12"/>
      <color theme="9" tint="0.39997558519241921"/>
      <name val="Times New Roman"/>
      <family val="1"/>
    </font>
  </fonts>
  <fills count="9">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3" fillId="0" borderId="0" applyFont="0" applyFill="0" applyBorder="0" applyAlignment="0" applyProtection="0"/>
  </cellStyleXfs>
  <cellXfs count="75">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xf>
    <xf numFmtId="3" fontId="1" fillId="0" borderId="1" xfId="0" applyNumberFormat="1" applyFont="1" applyBorder="1" applyAlignment="1">
      <alignment horizontal="center" vertical="center"/>
    </xf>
    <xf numFmtId="4" fontId="1" fillId="0" borderId="1" xfId="0" applyNumberFormat="1" applyFont="1" applyBorder="1" applyAlignment="1">
      <alignment horizontal="center" vertical="center"/>
    </xf>
    <xf numFmtId="0" fontId="2" fillId="0" borderId="1" xfId="0" applyFont="1" applyBorder="1" applyAlignment="1">
      <alignment horizontal="center"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vertical="center"/>
    </xf>
    <xf numFmtId="0" fontId="2" fillId="2" borderId="1" xfId="0" applyFont="1" applyFill="1" applyBorder="1" applyAlignment="1">
      <alignment horizontal="center" vertical="center"/>
    </xf>
    <xf numFmtId="0" fontId="2" fillId="0" borderId="1" xfId="0" applyFont="1" applyBorder="1" applyAlignment="1">
      <alignment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wrapText="1"/>
    </xf>
    <xf numFmtId="3" fontId="1" fillId="2" borderId="1" xfId="0" applyNumberFormat="1" applyFont="1" applyFill="1" applyBorder="1" applyAlignment="1">
      <alignment horizontal="center" vertical="center"/>
    </xf>
    <xf numFmtId="164" fontId="1" fillId="0" borderId="1" xfId="0" applyNumberFormat="1" applyFont="1" applyBorder="1" applyAlignment="1">
      <alignment horizontal="center" vertical="center"/>
    </xf>
    <xf numFmtId="0" fontId="1" fillId="0" borderId="0" xfId="0" applyFont="1" applyAlignment="1">
      <alignment vertical="center" wrapText="1"/>
    </xf>
    <xf numFmtId="165" fontId="1" fillId="0" borderId="1" xfId="0" applyNumberFormat="1" applyFont="1" applyBorder="1" applyAlignment="1">
      <alignment horizontal="center" vertical="center"/>
    </xf>
    <xf numFmtId="0" fontId="1"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7" fillId="0" borderId="0" xfId="0" applyFont="1" applyAlignment="1">
      <alignment vertical="center"/>
    </xf>
    <xf numFmtId="3" fontId="1" fillId="4" borderId="1" xfId="0" applyNumberFormat="1" applyFont="1" applyFill="1" applyBorder="1" applyAlignment="1">
      <alignment horizontal="center" vertical="center"/>
    </xf>
    <xf numFmtId="166" fontId="1"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2" fillId="5" borderId="1" xfId="0" applyFont="1" applyFill="1" applyBorder="1" applyAlignment="1">
      <alignment horizontal="center" wrapText="1"/>
    </xf>
    <xf numFmtId="3" fontId="1" fillId="5" borderId="1" xfId="0" applyNumberFormat="1" applyFont="1" applyFill="1" applyBorder="1" applyAlignment="1">
      <alignment horizontal="center" vertical="center"/>
    </xf>
    <xf numFmtId="0" fontId="10" fillId="5" borderId="1" xfId="0" applyFont="1" applyFill="1" applyBorder="1" applyAlignment="1">
      <alignment horizontal="center" wrapText="1"/>
    </xf>
    <xf numFmtId="3" fontId="8" fillId="5" borderId="1" xfId="0" applyNumberFormat="1" applyFont="1" applyFill="1" applyBorder="1" applyAlignment="1">
      <alignment horizontal="center" vertical="center"/>
    </xf>
    <xf numFmtId="4" fontId="8" fillId="5"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0" fontId="6" fillId="0" borderId="0" xfId="0" applyFont="1" applyAlignment="1">
      <alignment vertical="center"/>
    </xf>
    <xf numFmtId="0" fontId="8" fillId="2" borderId="1" xfId="0" applyFont="1" applyFill="1" applyBorder="1" applyAlignment="1">
      <alignment horizontal="center" vertical="center"/>
    </xf>
    <xf numFmtId="164" fontId="8" fillId="0" borderId="1" xfId="0" applyNumberFormat="1" applyFont="1" applyBorder="1" applyAlignment="1">
      <alignment horizontal="center" vertical="center"/>
    </xf>
    <xf numFmtId="0" fontId="10" fillId="0" borderId="1" xfId="0" applyFont="1" applyBorder="1" applyAlignment="1">
      <alignment horizontal="center" wrapText="1"/>
    </xf>
    <xf numFmtId="166" fontId="8" fillId="0" borderId="1" xfId="0" applyNumberFormat="1" applyFont="1" applyBorder="1" applyAlignment="1">
      <alignment horizontal="center" vertical="center"/>
    </xf>
    <xf numFmtId="3" fontId="8" fillId="0" borderId="1" xfId="0" applyNumberFormat="1" applyFont="1" applyBorder="1" applyAlignment="1">
      <alignment horizontal="center" vertical="center"/>
    </xf>
    <xf numFmtId="4" fontId="7" fillId="6"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4" fontId="1" fillId="8" borderId="1" xfId="0" applyNumberFormat="1" applyFont="1" applyFill="1" applyBorder="1" applyAlignment="1">
      <alignment horizontal="center" vertical="center"/>
    </xf>
    <xf numFmtId="3" fontId="1" fillId="7" borderId="1" xfId="0" applyNumberFormat="1" applyFont="1" applyFill="1" applyBorder="1" applyAlignment="1">
      <alignment horizontal="center" vertical="center"/>
    </xf>
    <xf numFmtId="3" fontId="8" fillId="7" borderId="1" xfId="0" applyNumberFormat="1" applyFont="1" applyFill="1" applyBorder="1" applyAlignment="1">
      <alignment horizontal="center" vertical="center"/>
    </xf>
    <xf numFmtId="164" fontId="1" fillId="8" borderId="1" xfId="0" applyNumberFormat="1" applyFont="1" applyFill="1" applyBorder="1" applyAlignment="1">
      <alignment horizontal="center" vertical="center"/>
    </xf>
    <xf numFmtId="3" fontId="1" fillId="8" borderId="1" xfId="0" applyNumberFormat="1" applyFont="1" applyFill="1" applyBorder="1" applyAlignment="1">
      <alignment horizontal="center" vertical="center"/>
    </xf>
    <xf numFmtId="4" fontId="1" fillId="4" borderId="1" xfId="0" applyNumberFormat="1" applyFont="1" applyFill="1" applyBorder="1" applyAlignment="1">
      <alignment horizontal="center" vertical="center"/>
    </xf>
    <xf numFmtId="10" fontId="1" fillId="0" borderId="1" xfId="1" applyNumberFormat="1" applyFont="1" applyBorder="1" applyAlignment="1">
      <alignment horizontal="center" vertical="center"/>
    </xf>
    <xf numFmtId="10" fontId="7" fillId="0" borderId="1" xfId="1" applyNumberFormat="1" applyFont="1" applyBorder="1" applyAlignment="1">
      <alignment horizontal="center" vertical="center"/>
    </xf>
    <xf numFmtId="0" fontId="14" fillId="7" borderId="1" xfId="0" applyFont="1" applyFill="1" applyBorder="1" applyAlignment="1">
      <alignment vertical="center"/>
    </xf>
    <xf numFmtId="0" fontId="1" fillId="8" borderId="1" xfId="0" applyFont="1" applyFill="1" applyBorder="1" applyAlignment="1">
      <alignment vertical="center"/>
    </xf>
    <xf numFmtId="0" fontId="2" fillId="0" borderId="0" xfId="0" quotePrefix="1"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left" vertical="center"/>
    </xf>
  </cellXfs>
  <cellStyles count="2">
    <cellStyle name="Normale" xfId="0" builtinId="0"/>
    <cellStyle name="Percentuale" xfId="1" builtinId="5"/>
  </cellStyles>
  <dxfs count="0"/>
  <tableStyles count="0" defaultTableStyle="TableStyleMedium2" defaultPivotStyle="PivotStyleLight16"/>
  <colors>
    <mruColors>
      <color rgb="FFFF6600"/>
      <color rgb="FF873AC0"/>
      <color rgb="FFD20000"/>
      <color rgb="FFFF7D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24.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27.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28.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[kWh/kg]</a:t>
            </a:r>
          </a:p>
        </c:rich>
      </c:tx>
      <c:overlay val="0"/>
    </c:title>
    <c:autoTitleDeleted val="0"/>
    <c:plotArea>
      <c:layout/>
      <c:barChart>
        <c:barDir val="col"/>
        <c:grouping val="clustered"/>
        <c:varyColors val="0"/>
        <c:ser>
          <c:idx val="0"/>
          <c:order val="0"/>
          <c:tx>
            <c:v>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ELETTRICA'!$E$46</c:f>
              <c:numCache>
                <c:formatCode>#,##0.00</c:formatCode>
                <c:ptCount val="1"/>
                <c:pt idx="0">
                  <c:v>0.13104023511566174</c:v>
                </c:pt>
              </c:numCache>
            </c:numRef>
          </c:val>
          <c:extLst>
            <c:ext xmlns:c16="http://schemas.microsoft.com/office/drawing/2014/chart" uri="{C3380CC4-5D6E-409C-BE32-E72D297353CC}">
              <c16:uniqueId val="{00000000-BBA2-48E7-91DF-BF0FC4810749}"/>
            </c:ext>
          </c:extLst>
        </c:ser>
        <c:ser>
          <c:idx val="1"/>
          <c:order val="1"/>
          <c:tx>
            <c:v>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ELETTRICA'!$E$47</c:f>
              <c:numCache>
                <c:formatCode>#,##0.00</c:formatCode>
                <c:ptCount val="1"/>
                <c:pt idx="0">
                  <c:v>0.10310142477061938</c:v>
                </c:pt>
              </c:numCache>
            </c:numRef>
          </c:val>
          <c:extLst>
            <c:ext xmlns:c16="http://schemas.microsoft.com/office/drawing/2014/chart" uri="{C3380CC4-5D6E-409C-BE32-E72D297353CC}">
              <c16:uniqueId val="{00000001-BBA2-48E7-91DF-BF0FC4810749}"/>
            </c:ext>
          </c:extLst>
        </c:ser>
        <c:ser>
          <c:idx val="2"/>
          <c:order val="2"/>
          <c:tx>
            <c:v>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ELETTRICA'!$E$48</c:f>
              <c:numCache>
                <c:formatCode>#,##0.00</c:formatCode>
                <c:ptCount val="1"/>
                <c:pt idx="0">
                  <c:v>0.25506115163743598</c:v>
                </c:pt>
              </c:numCache>
            </c:numRef>
          </c:val>
          <c:extLst>
            <c:ext xmlns:c16="http://schemas.microsoft.com/office/drawing/2014/chart" uri="{C3380CC4-5D6E-409C-BE32-E72D297353CC}">
              <c16:uniqueId val="{00000002-BBA2-48E7-91DF-BF0FC4810749}"/>
            </c:ext>
          </c:extLst>
        </c:ser>
        <c:ser>
          <c:idx val="3"/>
          <c:order val="3"/>
          <c:tx>
            <c:v>2023</c:v>
          </c:tx>
          <c:spPr>
            <a:solidFill>
              <a:srgbClr val="873AC0"/>
            </a:solidFill>
            <a:ln>
              <a:solidFill>
                <a:srgbClr val="873AC0"/>
              </a:solidFill>
            </a:ln>
          </c:spPr>
          <c:invertIfNegative val="0"/>
          <c:dLbls>
            <c:dLbl>
              <c:idx val="0"/>
              <c:layout>
                <c:manualLayout>
                  <c:x val="-3.7558685446009389E-3"/>
                  <c:y val="0.24606580829756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88-4356-803E-0B8AE898B85C}"/>
                </c:ext>
              </c:extLst>
            </c:dLbl>
            <c:spPr>
              <a:noFill/>
              <a:ln>
                <a:noFill/>
              </a:ln>
              <a:effectLst/>
            </c:spPr>
            <c:txPr>
              <a:bodyPr wrap="square" lIns="38100" tIns="19050" rIns="38100" bIns="19050" anchor="ctr">
                <a:spAutoFit/>
              </a:bodyPr>
              <a:lstStyle/>
              <a:p>
                <a:pPr>
                  <a:defRPr sz="105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ENERGIA ELETTRICA'!$E$49</c:f>
              <c:numCache>
                <c:formatCode>#,##0.00</c:formatCode>
                <c:ptCount val="1"/>
                <c:pt idx="0">
                  <c:v>0.33592795615942028</c:v>
                </c:pt>
              </c:numCache>
            </c:numRef>
          </c:val>
          <c:extLst>
            <c:ext xmlns:c16="http://schemas.microsoft.com/office/drawing/2014/chart" uri="{C3380CC4-5D6E-409C-BE32-E72D297353CC}">
              <c16:uniqueId val="{00000000-E288-4356-803E-0B8AE898B85C}"/>
            </c:ext>
          </c:extLst>
        </c:ser>
        <c:ser>
          <c:idx val="4"/>
          <c:order val="4"/>
          <c:tx>
            <c:v>2024</c:v>
          </c:tx>
          <c:spPr>
            <a:solidFill>
              <a:srgbClr val="FF6600"/>
            </a:solidFill>
            <a:ln>
              <a:solidFill>
                <a:srgbClr val="FF6600"/>
              </a:solidFill>
            </a:ln>
          </c:spPr>
          <c:invertIfNegative val="0"/>
          <c:dLbls>
            <c:dLbl>
              <c:idx val="0"/>
              <c:layout>
                <c:manualLayout>
                  <c:x val="0"/>
                  <c:y val="0.131233595800524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9-42DF-AFC9-8EC1C7123CC8}"/>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ENERGIA ELETTRICA'!$E$50</c:f>
              <c:numCache>
                <c:formatCode>#,##0.00</c:formatCode>
                <c:ptCount val="1"/>
                <c:pt idx="0">
                  <c:v>0.20330209179437533</c:v>
                </c:pt>
              </c:numCache>
            </c:numRef>
          </c:val>
          <c:extLst>
            <c:ext xmlns:c16="http://schemas.microsoft.com/office/drawing/2014/chart" uri="{C3380CC4-5D6E-409C-BE32-E72D297353CC}">
              <c16:uniqueId val="{00000000-5699-42DF-AFC9-8EC1C7123CC8}"/>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 sourceLinked="1"/>
        <c:majorTickMark val="none"/>
        <c:minorTickMark val="none"/>
        <c:tickLblPos val="nextTo"/>
        <c:crossAx val="156107264"/>
        <c:crosses val="autoZero"/>
        <c:crossBetween val="between"/>
      </c:valAx>
    </c:plotArea>
    <c:legend>
      <c:legendPos val="b"/>
      <c:layout>
        <c:manualLayout>
          <c:xMode val="edge"/>
          <c:yMode val="edge"/>
          <c:x val="0.13217273442570227"/>
          <c:y val="0.86806952280571226"/>
          <c:w val="0.8084752206849416"/>
          <c:h val="8.9050778101556205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E.E. [kWh/ton]</a:t>
            </a:r>
          </a:p>
        </c:rich>
      </c:tx>
      <c:overlay val="0"/>
    </c:title>
    <c:autoTitleDeleted val="0"/>
    <c:plotArea>
      <c:layout/>
      <c:barChart>
        <c:barDir val="col"/>
        <c:grouping val="clustered"/>
        <c:varyColors val="0"/>
        <c:ser>
          <c:idx val="0"/>
          <c:order val="0"/>
          <c:tx>
            <c:v>E.E.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ELETTRICA'!$E$59</c:f>
              <c:numCache>
                <c:formatCode>#,##0.00</c:formatCode>
                <c:ptCount val="1"/>
                <c:pt idx="0">
                  <c:v>0.3744027303754266</c:v>
                </c:pt>
              </c:numCache>
            </c:numRef>
          </c:val>
          <c:extLst>
            <c:ext xmlns:c16="http://schemas.microsoft.com/office/drawing/2014/chart" uri="{C3380CC4-5D6E-409C-BE32-E72D297353CC}">
              <c16:uniqueId val="{00000000-D9C4-4A09-978D-985974EFABD9}"/>
            </c:ext>
          </c:extLst>
        </c:ser>
        <c:ser>
          <c:idx val="1"/>
          <c:order val="1"/>
          <c:tx>
            <c:v>E.E.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ELETTRICA'!$E$60</c:f>
              <c:numCache>
                <c:formatCode>#,##0.00</c:formatCode>
                <c:ptCount val="1"/>
                <c:pt idx="0">
                  <c:v>0.27739513141208944</c:v>
                </c:pt>
              </c:numCache>
            </c:numRef>
          </c:val>
          <c:extLst>
            <c:ext xmlns:c16="http://schemas.microsoft.com/office/drawing/2014/chart" uri="{C3380CC4-5D6E-409C-BE32-E72D297353CC}">
              <c16:uniqueId val="{00000001-D9C4-4A09-978D-985974EFABD9}"/>
            </c:ext>
          </c:extLst>
        </c:ser>
        <c:ser>
          <c:idx val="2"/>
          <c:order val="2"/>
          <c:tx>
            <c:v>E.E.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ELETTRICA'!$E$61</c:f>
              <c:numCache>
                <c:formatCode>#,##0.00</c:formatCode>
                <c:ptCount val="1"/>
                <c:pt idx="0">
                  <c:v>0.3125097004501009</c:v>
                </c:pt>
              </c:numCache>
            </c:numRef>
          </c:val>
          <c:extLst>
            <c:ext xmlns:c16="http://schemas.microsoft.com/office/drawing/2014/chart" uri="{C3380CC4-5D6E-409C-BE32-E72D297353CC}">
              <c16:uniqueId val="{00000002-D9C4-4A09-978D-985974EFABD9}"/>
            </c:ext>
          </c:extLst>
        </c:ser>
        <c:ser>
          <c:idx val="3"/>
          <c:order val="3"/>
          <c:tx>
            <c:v>E.E. 2023</c:v>
          </c:tx>
          <c:spPr>
            <a:solidFill>
              <a:srgbClr val="873AC0"/>
            </a:solidFill>
            <a:ln>
              <a:solidFill>
                <a:srgbClr val="873AC0"/>
              </a:solidFill>
            </a:ln>
          </c:spPr>
          <c:invertIfNegative val="0"/>
          <c:dLbls>
            <c:dLbl>
              <c:idx val="0"/>
              <c:layout>
                <c:manualLayout>
                  <c:x val="0"/>
                  <c:y val="0.25028450378812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66-434E-901E-3E7377F11731}"/>
                </c:ext>
              </c:extLst>
            </c:dLbl>
            <c:spPr>
              <a:noFill/>
              <a:ln>
                <a:noFill/>
              </a:ln>
              <a:effectLst/>
            </c:spPr>
            <c:txPr>
              <a:bodyPr wrap="square" lIns="38100" tIns="19050" rIns="38100" bIns="19050" anchor="ctr">
                <a:spAutoFit/>
              </a:bodyPr>
              <a:lstStyle/>
              <a:p>
                <a:pPr>
                  <a:defRPr sz="105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ENERGIA ELETTRICA'!$E$62</c:f>
              <c:numCache>
                <c:formatCode>#,##0.00</c:formatCode>
                <c:ptCount val="1"/>
                <c:pt idx="0">
                  <c:v>0.34891304347826085</c:v>
                </c:pt>
              </c:numCache>
            </c:numRef>
          </c:val>
          <c:extLst>
            <c:ext xmlns:c16="http://schemas.microsoft.com/office/drawing/2014/chart" uri="{C3380CC4-5D6E-409C-BE32-E72D297353CC}">
              <c16:uniqueId val="{00000000-B966-434E-901E-3E7377F11731}"/>
            </c:ext>
          </c:extLst>
        </c:ser>
        <c:ser>
          <c:idx val="4"/>
          <c:order val="4"/>
          <c:tx>
            <c:v>E.E. 2024</c:v>
          </c:tx>
          <c:spPr>
            <a:solidFill>
              <a:srgbClr val="FF6600"/>
            </a:solidFill>
            <a:ln>
              <a:solidFill>
                <a:srgbClr val="FF6600"/>
              </a:solidFill>
            </a:ln>
          </c:spPr>
          <c:invertIfNegative val="0"/>
          <c:dLbls>
            <c:dLbl>
              <c:idx val="0"/>
              <c:layout>
                <c:manualLayout>
                  <c:x val="-1.1238695201562476E-16"/>
                  <c:y val="0.11831631088166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14-4A27-A243-87148857D25C}"/>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ENERGIA ELETTRICA'!$E$63</c:f>
              <c:numCache>
                <c:formatCode>#,##0.00</c:formatCode>
                <c:ptCount val="1"/>
                <c:pt idx="0">
                  <c:v>0.30284138592494902</c:v>
                </c:pt>
              </c:numCache>
            </c:numRef>
          </c:val>
          <c:extLst>
            <c:ext xmlns:c16="http://schemas.microsoft.com/office/drawing/2014/chart" uri="{C3380CC4-5D6E-409C-BE32-E72D297353CC}">
              <c16:uniqueId val="{00000000-8114-4A27-A243-87148857D25C}"/>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 sourceLinked="1"/>
        <c:majorTickMark val="none"/>
        <c:minorTickMark val="none"/>
        <c:tickLblPos val="nextTo"/>
        <c:crossAx val="156107264"/>
        <c:crosses val="autoZero"/>
        <c:crossBetween val="between"/>
      </c:valAx>
    </c:plotArea>
    <c:legend>
      <c:legendPos val="b"/>
      <c:layout>
        <c:manualLayout>
          <c:xMode val="edge"/>
          <c:yMode val="edge"/>
          <c:x val="0.1208336199354391"/>
          <c:y val="0.87728140506173091"/>
          <c:w val="0.70603879666018654"/>
          <c:h val="7.5396325459317584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it-IT"/>
              <a:t>E.E. consumata [kWh]</a:t>
            </a:r>
          </a:p>
        </c:rich>
      </c:tx>
      <c:overlay val="0"/>
    </c:title>
    <c:autoTitleDeleted val="0"/>
    <c:plotArea>
      <c:layout/>
      <c:barChart>
        <c:barDir val="col"/>
        <c:grouping val="clustered"/>
        <c:varyColors val="0"/>
        <c:ser>
          <c:idx val="0"/>
          <c:order val="0"/>
          <c:tx>
            <c:v>E.E. consumata 2020</c:v>
          </c:tx>
          <c:spPr>
            <a:solidFill>
              <a:srgbClr val="D20000"/>
            </a:solidFill>
          </c:spPr>
          <c:invertIfNegative val="0"/>
          <c:dPt>
            <c:idx val="0"/>
            <c:invertIfNegative val="0"/>
            <c:bubble3D val="0"/>
            <c:spPr>
              <a:solidFill>
                <a:srgbClr val="D20000"/>
              </a:solidFill>
              <a:ln>
                <a:solidFill>
                  <a:srgbClr val="D20000"/>
                </a:solidFill>
              </a:ln>
            </c:spPr>
            <c:extLst>
              <c:ext xmlns:c16="http://schemas.microsoft.com/office/drawing/2014/chart" uri="{C3380CC4-5D6E-409C-BE32-E72D297353CC}">
                <c16:uniqueId val="{00000003-DD5B-410C-8C68-04B4BCE1B5F2}"/>
              </c:ext>
            </c:extLst>
          </c:dPt>
          <c:dLbls>
            <c:dLbl>
              <c:idx val="0"/>
              <c:layout>
                <c:manualLayout>
                  <c:x val="5.4090601757944062E-3"/>
                  <c:y val="0.11247295045978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5B-410C-8C68-04B4BCE1B5F2}"/>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ELETTRICA'!$B$4</c:f>
              <c:numCache>
                <c:formatCode>#,##0</c:formatCode>
                <c:ptCount val="1"/>
                <c:pt idx="0">
                  <c:v>3455531</c:v>
                </c:pt>
              </c:numCache>
            </c:numRef>
          </c:val>
          <c:extLst>
            <c:ext xmlns:c16="http://schemas.microsoft.com/office/drawing/2014/chart" uri="{C3380CC4-5D6E-409C-BE32-E72D297353CC}">
              <c16:uniqueId val="{00000000-DD5B-410C-8C68-04B4BCE1B5F2}"/>
            </c:ext>
          </c:extLst>
        </c:ser>
        <c:ser>
          <c:idx val="1"/>
          <c:order val="1"/>
          <c:tx>
            <c:v>E.E. consumata 2021</c:v>
          </c:tx>
          <c:spPr>
            <a:solidFill>
              <a:schemeClr val="accent1"/>
            </a:solidFill>
            <a:ln>
              <a:solidFill>
                <a:schemeClr val="accent1"/>
              </a:solidFill>
            </a:ln>
          </c:spPr>
          <c:invertIfNegative val="0"/>
          <c:dLbls>
            <c:dLbl>
              <c:idx val="0"/>
              <c:layout>
                <c:manualLayout>
                  <c:x val="0"/>
                  <c:y val="0.11247295045978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5B-410C-8C68-04B4BCE1B5F2}"/>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ELETTRICA'!$B$5</c:f>
              <c:numCache>
                <c:formatCode>#,##0</c:formatCode>
                <c:ptCount val="1"/>
                <c:pt idx="0">
                  <c:v>4146430</c:v>
                </c:pt>
              </c:numCache>
            </c:numRef>
          </c:val>
          <c:extLst>
            <c:ext xmlns:c16="http://schemas.microsoft.com/office/drawing/2014/chart" uri="{C3380CC4-5D6E-409C-BE32-E72D297353CC}">
              <c16:uniqueId val="{00000001-DD5B-410C-8C68-04B4BCE1B5F2}"/>
            </c:ext>
          </c:extLst>
        </c:ser>
        <c:ser>
          <c:idx val="2"/>
          <c:order val="2"/>
          <c:tx>
            <c:v>E.E. consumata 2022</c:v>
          </c:tx>
          <c:spPr>
            <a:solidFill>
              <a:schemeClr val="accent6"/>
            </a:solidFill>
            <a:ln>
              <a:solidFill>
                <a:schemeClr val="accent6"/>
              </a:solidFill>
            </a:ln>
          </c:spPr>
          <c:invertIfNegative val="0"/>
          <c:dLbls>
            <c:dLbl>
              <c:idx val="0"/>
              <c:layout>
                <c:manualLayout>
                  <c:x val="-9.9164957660845386E-17"/>
                  <c:y val="0.103821185039803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5B-410C-8C68-04B4BCE1B5F2}"/>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ELETTRICA'!$B$6</c:f>
              <c:numCache>
                <c:formatCode>#,##0</c:formatCode>
                <c:ptCount val="1"/>
                <c:pt idx="0">
                  <c:v>3286718</c:v>
                </c:pt>
              </c:numCache>
            </c:numRef>
          </c:val>
          <c:extLst>
            <c:ext xmlns:c16="http://schemas.microsoft.com/office/drawing/2014/chart" uri="{C3380CC4-5D6E-409C-BE32-E72D297353CC}">
              <c16:uniqueId val="{00000002-DD5B-410C-8C68-04B4BCE1B5F2}"/>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7.4236657917760383E-3"/>
          <c:y val="0.84087641218760778"/>
          <c:w val="0.99257633420822333"/>
          <c:h val="0.13427886731549871"/>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it-IT"/>
              <a:t>E.E. consumata [kWh]</a:t>
            </a:r>
          </a:p>
        </c:rich>
      </c:tx>
      <c:overlay val="0"/>
    </c:title>
    <c:autoTitleDeleted val="0"/>
    <c:plotArea>
      <c:layout/>
      <c:barChart>
        <c:barDir val="col"/>
        <c:grouping val="clustered"/>
        <c:varyColors val="0"/>
        <c:ser>
          <c:idx val="0"/>
          <c:order val="0"/>
          <c:tx>
            <c:v>E.E. consumata 2023</c:v>
          </c:tx>
          <c:spPr>
            <a:solidFill>
              <a:srgbClr val="7030A0"/>
            </a:solidFill>
          </c:spPr>
          <c:invertIfNegative val="0"/>
          <c:dPt>
            <c:idx val="0"/>
            <c:invertIfNegative val="0"/>
            <c:bubble3D val="0"/>
            <c:spPr>
              <a:solidFill>
                <a:srgbClr val="873AC0"/>
              </a:solidFill>
              <a:ln>
                <a:solidFill>
                  <a:srgbClr val="873AC0"/>
                </a:solidFill>
              </a:ln>
            </c:spPr>
            <c:extLst>
              <c:ext xmlns:c16="http://schemas.microsoft.com/office/drawing/2014/chart" uri="{C3380CC4-5D6E-409C-BE32-E72D297353CC}">
                <c16:uniqueId val="{00000002-1DC6-47A8-808C-D39D617E2336}"/>
              </c:ext>
            </c:extLst>
          </c:dPt>
          <c:dLbls>
            <c:dLbl>
              <c:idx val="0"/>
              <c:layout>
                <c:manualLayout>
                  <c:x val="4.7309284447072742E-3"/>
                  <c:y val="0.133531188469634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C6-47A8-808C-D39D617E2336}"/>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ELETTRICA'!$B$7</c:f>
              <c:numCache>
                <c:formatCode>#,##0</c:formatCode>
                <c:ptCount val="1"/>
                <c:pt idx="0">
                  <c:v>2781483.477</c:v>
                </c:pt>
              </c:numCache>
            </c:numRef>
          </c:val>
          <c:extLst>
            <c:ext xmlns:c16="http://schemas.microsoft.com/office/drawing/2014/chart" uri="{C3380CC4-5D6E-409C-BE32-E72D297353CC}">
              <c16:uniqueId val="{00000000-1DC6-47A8-808C-D39D617E2336}"/>
            </c:ext>
          </c:extLst>
        </c:ser>
        <c:ser>
          <c:idx val="1"/>
          <c:order val="1"/>
          <c:tx>
            <c:v>E.E. consumata 2024</c:v>
          </c:tx>
          <c:spPr>
            <a:solidFill>
              <a:srgbClr val="FF7D25"/>
            </a:solidFill>
            <a:ln>
              <a:solidFill>
                <a:srgbClr val="FF7D25"/>
              </a:solidFill>
            </a:ln>
          </c:spPr>
          <c:invertIfNegative val="0"/>
          <c:dLbls>
            <c:dLbl>
              <c:idx val="0"/>
              <c:layout>
                <c:manualLayout>
                  <c:x val="0"/>
                  <c:y val="0.13353118846963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C6-47A8-808C-D39D617E2336}"/>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ELETTRICA'!$B$8</c:f>
              <c:numCache>
                <c:formatCode>#,##0</c:formatCode>
                <c:ptCount val="1"/>
                <c:pt idx="0">
                  <c:v>3391455</c:v>
                </c:pt>
              </c:numCache>
            </c:numRef>
          </c:val>
          <c:extLst>
            <c:ext xmlns:c16="http://schemas.microsoft.com/office/drawing/2014/chart" uri="{C3380CC4-5D6E-409C-BE32-E72D297353CC}">
              <c16:uniqueId val="{00000001-1DC6-47A8-808C-D39D617E2336}"/>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6.3265252694192017E-2"/>
          <c:y val="0.85093812158081039"/>
          <c:w val="0.91243217689631595"/>
          <c:h val="0.13111192681112196"/>
        </c:manualLayout>
      </c:layout>
      <c:overlay val="0"/>
      <c:spPr>
        <a:noFill/>
      </c:sp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it-IT"/>
              <a:t>E.E. consumata [kWh]</a:t>
            </a:r>
          </a:p>
        </c:rich>
      </c:tx>
      <c:overlay val="0"/>
    </c:title>
    <c:autoTitleDeleted val="0"/>
    <c:plotArea>
      <c:layout/>
      <c:barChart>
        <c:barDir val="col"/>
        <c:grouping val="clustered"/>
        <c:varyColors val="0"/>
        <c:ser>
          <c:idx val="0"/>
          <c:order val="0"/>
          <c:tx>
            <c:v>E.E. consumata 2020</c:v>
          </c:tx>
          <c:spPr>
            <a:solidFill>
              <a:srgbClr val="D20000"/>
            </a:solidFill>
            <a:ln>
              <a:solidFill>
                <a:srgbClr val="D20000"/>
              </a:solidFill>
            </a:ln>
          </c:spPr>
          <c:invertIfNegative val="0"/>
          <c:dLbls>
            <c:dLbl>
              <c:idx val="0"/>
              <c:layout>
                <c:manualLayout>
                  <c:x val="0"/>
                  <c:y val="8.6384950978536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6C-4877-BB7F-5B65B7CA8E75}"/>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ELETTRICA'!$B$4</c:f>
              <c:numCache>
                <c:formatCode>#,##0</c:formatCode>
                <c:ptCount val="1"/>
                <c:pt idx="0">
                  <c:v>3455531</c:v>
                </c:pt>
              </c:numCache>
            </c:numRef>
          </c:val>
          <c:extLst>
            <c:ext xmlns:c16="http://schemas.microsoft.com/office/drawing/2014/chart" uri="{C3380CC4-5D6E-409C-BE32-E72D297353CC}">
              <c16:uniqueId val="{00000000-366C-4877-BB7F-5B65B7CA8E75}"/>
            </c:ext>
          </c:extLst>
        </c:ser>
        <c:ser>
          <c:idx val="1"/>
          <c:order val="1"/>
          <c:tx>
            <c:v>E.E. consumata 2021</c:v>
          </c:tx>
          <c:spPr>
            <a:solidFill>
              <a:schemeClr val="accent1"/>
            </a:solidFill>
            <a:ln>
              <a:solidFill>
                <a:schemeClr val="accent1"/>
              </a:solidFill>
            </a:ln>
          </c:spPr>
          <c:invertIfNegative val="0"/>
          <c:dLbls>
            <c:dLbl>
              <c:idx val="0"/>
              <c:layout>
                <c:manualLayout>
                  <c:x val="-6.6696212996994236E-17"/>
                  <c:y val="9.3896685846235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6C-4877-BB7F-5B65B7CA8E75}"/>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ELETTRICA'!$B$5</c:f>
              <c:numCache>
                <c:formatCode>#,##0</c:formatCode>
                <c:ptCount val="1"/>
                <c:pt idx="0">
                  <c:v>4146430</c:v>
                </c:pt>
              </c:numCache>
            </c:numRef>
          </c:val>
          <c:extLst>
            <c:ext xmlns:c16="http://schemas.microsoft.com/office/drawing/2014/chart" uri="{C3380CC4-5D6E-409C-BE32-E72D297353CC}">
              <c16:uniqueId val="{00000001-366C-4877-BB7F-5B65B7CA8E75}"/>
            </c:ext>
          </c:extLst>
        </c:ser>
        <c:ser>
          <c:idx val="2"/>
          <c:order val="2"/>
          <c:tx>
            <c:v>E.E. consumata 2022</c:v>
          </c:tx>
          <c:spPr>
            <a:solidFill>
              <a:schemeClr val="accent6"/>
            </a:solidFill>
            <a:ln>
              <a:solidFill>
                <a:schemeClr val="accent6"/>
              </a:solidFill>
            </a:ln>
          </c:spPr>
          <c:invertIfNegative val="0"/>
          <c:dLbls>
            <c:dLbl>
              <c:idx val="0"/>
              <c:layout>
                <c:manualLayout>
                  <c:x val="0"/>
                  <c:y val="9.014081841238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6C-4877-BB7F-5B65B7CA8E75}"/>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ELETTRICA'!$B$6</c:f>
              <c:numCache>
                <c:formatCode>#,##0</c:formatCode>
                <c:ptCount val="1"/>
                <c:pt idx="0">
                  <c:v>3286718</c:v>
                </c:pt>
              </c:numCache>
            </c:numRef>
          </c:val>
          <c:extLst>
            <c:ext xmlns:c16="http://schemas.microsoft.com/office/drawing/2014/chart" uri="{C3380CC4-5D6E-409C-BE32-E72D297353CC}">
              <c16:uniqueId val="{00000002-366C-4877-BB7F-5B65B7CA8E75}"/>
            </c:ext>
          </c:extLst>
        </c:ser>
        <c:ser>
          <c:idx val="3"/>
          <c:order val="3"/>
          <c:tx>
            <c:v>E.E. consumata 2023</c:v>
          </c:tx>
          <c:spPr>
            <a:solidFill>
              <a:srgbClr val="873AC0"/>
            </a:solidFill>
            <a:ln>
              <a:solidFill>
                <a:srgbClr val="873AC0"/>
              </a:solidFill>
            </a:ln>
          </c:spPr>
          <c:invertIfNegative val="0"/>
          <c:dLbls>
            <c:dLbl>
              <c:idx val="0"/>
              <c:layout>
                <c:manualLayout>
                  <c:x val="0"/>
                  <c:y val="9.7652553280084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6C-4877-BB7F-5B65B7CA8E75}"/>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ENERGIA ELETTRICA'!$B$7</c:f>
              <c:numCache>
                <c:formatCode>#,##0</c:formatCode>
                <c:ptCount val="1"/>
                <c:pt idx="0">
                  <c:v>2781483.477</c:v>
                </c:pt>
              </c:numCache>
            </c:numRef>
          </c:val>
          <c:extLst>
            <c:ext xmlns:c16="http://schemas.microsoft.com/office/drawing/2014/chart" uri="{C3380CC4-5D6E-409C-BE32-E72D297353CC}">
              <c16:uniqueId val="{00000004-366C-4877-BB7F-5B65B7CA8E75}"/>
            </c:ext>
          </c:extLst>
        </c:ser>
        <c:ser>
          <c:idx val="4"/>
          <c:order val="4"/>
          <c:tx>
            <c:v>E.E. consumata 2024</c:v>
          </c:tx>
          <c:invertIfNegative val="0"/>
          <c:dPt>
            <c:idx val="0"/>
            <c:invertIfNegative val="0"/>
            <c:bubble3D val="0"/>
            <c:spPr>
              <a:solidFill>
                <a:srgbClr val="FF7D25"/>
              </a:solidFill>
              <a:ln>
                <a:solidFill>
                  <a:srgbClr val="FF7D25"/>
                </a:solidFill>
              </a:ln>
            </c:spPr>
            <c:extLst>
              <c:ext xmlns:c16="http://schemas.microsoft.com/office/drawing/2014/chart" uri="{C3380CC4-5D6E-409C-BE32-E72D297353CC}">
                <c16:uniqueId val="{00000005-366C-4877-BB7F-5B65B7CA8E75}"/>
              </c:ext>
            </c:extLst>
          </c:dPt>
          <c:dLbls>
            <c:dLbl>
              <c:idx val="0"/>
              <c:layout>
                <c:manualLayout>
                  <c:x val="0"/>
                  <c:y val="9.014081841238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6C-4877-BB7F-5B65B7CA8E75}"/>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ELETTRICA'!$B$8</c:f>
              <c:numCache>
                <c:formatCode>#,##0</c:formatCode>
                <c:ptCount val="1"/>
                <c:pt idx="0">
                  <c:v>3391455</c:v>
                </c:pt>
              </c:numCache>
            </c:numRef>
          </c:val>
          <c:extLst>
            <c:ext xmlns:c16="http://schemas.microsoft.com/office/drawing/2014/chart" uri="{C3380CC4-5D6E-409C-BE32-E72D297353CC}">
              <c16:uniqueId val="{00000006-366C-4877-BB7F-5B65B7CA8E75}"/>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6.3265252694192017E-2"/>
          <c:y val="0.85093812158081039"/>
          <c:w val="0.91243217689631595"/>
          <c:h val="0.13111192681112196"/>
        </c:manualLayout>
      </c:layout>
      <c:overlay val="0"/>
      <c:spPr>
        <a:noFill/>
      </c:sp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it-IT"/>
              <a:t>Costo E.E. [</a:t>
            </a:r>
            <a:r>
              <a:rPr lang="it-IT">
                <a:latin typeface="Times New Roman"/>
                <a:cs typeface="Times New Roman"/>
              </a:rPr>
              <a:t>€]</a:t>
            </a:r>
            <a:endParaRPr lang="it-IT"/>
          </a:p>
        </c:rich>
      </c:tx>
      <c:overlay val="0"/>
    </c:title>
    <c:autoTitleDeleted val="0"/>
    <c:plotArea>
      <c:layout/>
      <c:barChart>
        <c:barDir val="col"/>
        <c:grouping val="clustered"/>
        <c:varyColors val="0"/>
        <c:ser>
          <c:idx val="0"/>
          <c:order val="0"/>
          <c:tx>
            <c:v>Costo E.E. 2020</c:v>
          </c:tx>
          <c:spPr>
            <a:solidFill>
              <a:srgbClr val="D20000"/>
            </a:solidFill>
            <a:ln>
              <a:solidFill>
                <a:srgbClr val="D20000"/>
              </a:solidFill>
            </a:ln>
          </c:spPr>
          <c:invertIfNegative val="0"/>
          <c:dLbls>
            <c:dLbl>
              <c:idx val="0"/>
              <c:layout>
                <c:manualLayout>
                  <c:x val="0"/>
                  <c:y val="9.8814229249011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70-43D2-A5E2-1CA685F8B61B}"/>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ELETTRICA'!$C$4</c:f>
              <c:numCache>
                <c:formatCode>#,##0.00</c:formatCode>
                <c:ptCount val="1"/>
                <c:pt idx="0">
                  <c:v>456874.17999999993</c:v>
                </c:pt>
              </c:numCache>
            </c:numRef>
          </c:val>
          <c:extLst>
            <c:ext xmlns:c16="http://schemas.microsoft.com/office/drawing/2014/chart" uri="{C3380CC4-5D6E-409C-BE32-E72D297353CC}">
              <c16:uniqueId val="{00000000-2B70-43D2-A5E2-1CA685F8B61B}"/>
            </c:ext>
          </c:extLst>
        </c:ser>
        <c:ser>
          <c:idx val="1"/>
          <c:order val="1"/>
          <c:tx>
            <c:v>Costo E.E. 2021</c:v>
          </c:tx>
          <c:spPr>
            <a:solidFill>
              <a:schemeClr val="accent1"/>
            </a:solidFill>
            <a:ln>
              <a:solidFill>
                <a:schemeClr val="accent1"/>
              </a:solidFill>
            </a:ln>
          </c:spPr>
          <c:invertIfNegative val="0"/>
          <c:dLbls>
            <c:dLbl>
              <c:idx val="0"/>
              <c:layout>
                <c:manualLayout>
                  <c:x val="2.6990553306342779E-3"/>
                  <c:y val="9.8814229249011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70-43D2-A5E2-1CA685F8B61B}"/>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ELETTRICA'!$C$5</c:f>
              <c:numCache>
                <c:formatCode>#,##0.00</c:formatCode>
                <c:ptCount val="1"/>
                <c:pt idx="0">
                  <c:v>897971.01</c:v>
                </c:pt>
              </c:numCache>
            </c:numRef>
          </c:val>
          <c:extLst>
            <c:ext xmlns:c16="http://schemas.microsoft.com/office/drawing/2014/chart" uri="{C3380CC4-5D6E-409C-BE32-E72D297353CC}">
              <c16:uniqueId val="{00000001-2B70-43D2-A5E2-1CA685F8B61B}"/>
            </c:ext>
          </c:extLst>
        </c:ser>
        <c:ser>
          <c:idx val="2"/>
          <c:order val="2"/>
          <c:tx>
            <c:v>Costo E.E. 2022</c:v>
          </c:tx>
          <c:spPr>
            <a:solidFill>
              <a:schemeClr val="accent6"/>
            </a:solidFill>
            <a:ln>
              <a:solidFill>
                <a:schemeClr val="accent6"/>
              </a:solidFill>
            </a:ln>
          </c:spPr>
          <c:invertIfNegative val="0"/>
          <c:dLbls>
            <c:dLbl>
              <c:idx val="0"/>
              <c:layout>
                <c:manualLayout>
                  <c:x val="-9.8964218880155408E-17"/>
                  <c:y val="9.4861660079051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70-43D2-A5E2-1CA685F8B61B}"/>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ELETTRICA'!$C$6</c:f>
              <c:numCache>
                <c:formatCode>#,##0.00</c:formatCode>
                <c:ptCount val="1"/>
                <c:pt idx="0">
                  <c:v>1427223.1</c:v>
                </c:pt>
              </c:numCache>
            </c:numRef>
          </c:val>
          <c:extLst>
            <c:ext xmlns:c16="http://schemas.microsoft.com/office/drawing/2014/chart" uri="{C3380CC4-5D6E-409C-BE32-E72D297353CC}">
              <c16:uniqueId val="{00000002-2B70-43D2-A5E2-1CA685F8B61B}"/>
            </c:ext>
          </c:extLst>
        </c:ser>
        <c:dLbls>
          <c:showLegendKey val="0"/>
          <c:showVal val="1"/>
          <c:showCatName val="0"/>
          <c:showSerName val="0"/>
          <c:showPercent val="0"/>
          <c:showBubbleSize val="0"/>
        </c:dLbls>
        <c:gapWidth val="75"/>
        <c:overlap val="-25"/>
        <c:axId val="156110336"/>
        <c:axId val="123197632"/>
      </c:barChart>
      <c:catAx>
        <c:axId val="156110336"/>
        <c:scaling>
          <c:orientation val="minMax"/>
        </c:scaling>
        <c:delete val="1"/>
        <c:axPos val="b"/>
        <c:numFmt formatCode="General" sourceLinked="0"/>
        <c:majorTickMark val="none"/>
        <c:minorTickMark val="none"/>
        <c:tickLblPos val="none"/>
        <c:crossAx val="123197632"/>
        <c:crosses val="autoZero"/>
        <c:auto val="1"/>
        <c:lblAlgn val="ctr"/>
        <c:lblOffset val="100"/>
        <c:noMultiLvlLbl val="0"/>
      </c:catAx>
      <c:valAx>
        <c:axId val="123197632"/>
        <c:scaling>
          <c:orientation val="minMax"/>
        </c:scaling>
        <c:delete val="0"/>
        <c:axPos val="l"/>
        <c:majorGridlines/>
        <c:numFmt formatCode="#,##0" sourceLinked="0"/>
        <c:majorTickMark val="none"/>
        <c:minorTickMark val="none"/>
        <c:tickLblPos val="nextTo"/>
        <c:crossAx val="156110336"/>
        <c:crosses val="autoZero"/>
        <c:crossBetween val="between"/>
      </c:valAx>
    </c:plotArea>
    <c:legend>
      <c:legendPos val="b"/>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22" l="0.70000000000000062" r="0.70000000000000062" t="0.750000000000001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Costo E.E. [</a:t>
            </a:r>
            <a:r>
              <a:rPr lang="it-IT">
                <a:latin typeface="Times New Roman"/>
                <a:cs typeface="Times New Roman"/>
              </a:rPr>
              <a:t>€]</a:t>
            </a:r>
            <a:endParaRPr lang="it-IT"/>
          </a:p>
        </c:rich>
      </c:tx>
      <c:overlay val="0"/>
    </c:title>
    <c:autoTitleDeleted val="0"/>
    <c:plotArea>
      <c:layout/>
      <c:barChart>
        <c:barDir val="col"/>
        <c:grouping val="clustered"/>
        <c:varyColors val="0"/>
        <c:ser>
          <c:idx val="0"/>
          <c:order val="0"/>
          <c:tx>
            <c:v>Costo E.E. 2023</c:v>
          </c:tx>
          <c:spPr>
            <a:solidFill>
              <a:srgbClr val="873AC0"/>
            </a:solidFill>
            <a:ln>
              <a:solidFill>
                <a:srgbClr val="873AC0"/>
              </a:solidFill>
            </a:ln>
          </c:spPr>
          <c:invertIfNegative val="0"/>
          <c:dLbls>
            <c:dLbl>
              <c:idx val="0"/>
              <c:layout>
                <c:manualLayout>
                  <c:x val="0"/>
                  <c:y val="0.108180311877308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98-459B-9B2E-35B8E1D64A67}"/>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ELETTRICA'!$C$7</c:f>
              <c:numCache>
                <c:formatCode>#,##0.00</c:formatCode>
                <c:ptCount val="1"/>
                <c:pt idx="0">
                  <c:v>887352.42</c:v>
                </c:pt>
              </c:numCache>
            </c:numRef>
          </c:val>
          <c:extLst>
            <c:ext xmlns:c16="http://schemas.microsoft.com/office/drawing/2014/chart" uri="{C3380CC4-5D6E-409C-BE32-E72D297353CC}">
              <c16:uniqueId val="{00000000-E898-459B-9B2E-35B8E1D64A67}"/>
            </c:ext>
          </c:extLst>
        </c:ser>
        <c:ser>
          <c:idx val="1"/>
          <c:order val="1"/>
          <c:tx>
            <c:v>Costo E.E. 2024</c:v>
          </c:tx>
          <c:spPr>
            <a:solidFill>
              <a:srgbClr val="FF6600"/>
            </a:solidFill>
            <a:ln>
              <a:solidFill>
                <a:srgbClr val="FF6600"/>
              </a:solidFill>
            </a:ln>
          </c:spPr>
          <c:invertIfNegative val="0"/>
          <c:dLbls>
            <c:dLbl>
              <c:idx val="0"/>
              <c:layout>
                <c:manualLayout>
                  <c:x val="-8.4826457873566055E-17"/>
                  <c:y val="0.10417363365963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98-459B-9B2E-35B8E1D64A67}"/>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ELETTRICA'!$C$8</c:f>
              <c:numCache>
                <c:formatCode>#,##0.00</c:formatCode>
                <c:ptCount val="1"/>
                <c:pt idx="0">
                  <c:v>862055.51</c:v>
                </c:pt>
              </c:numCache>
            </c:numRef>
          </c:val>
          <c:extLst>
            <c:ext xmlns:c16="http://schemas.microsoft.com/office/drawing/2014/chart" uri="{C3380CC4-5D6E-409C-BE32-E72D297353CC}">
              <c16:uniqueId val="{00000001-E898-459B-9B2E-35B8E1D64A67}"/>
            </c:ext>
          </c:extLst>
        </c:ser>
        <c:dLbls>
          <c:showLegendKey val="0"/>
          <c:showVal val="1"/>
          <c:showCatName val="0"/>
          <c:showSerName val="0"/>
          <c:showPercent val="0"/>
          <c:showBubbleSize val="0"/>
        </c:dLbls>
        <c:gapWidth val="75"/>
        <c:overlap val="-25"/>
        <c:axId val="174320128"/>
        <c:axId val="133295488"/>
      </c:barChart>
      <c:catAx>
        <c:axId val="174320128"/>
        <c:scaling>
          <c:orientation val="minMax"/>
        </c:scaling>
        <c:delete val="1"/>
        <c:axPos val="b"/>
        <c:numFmt formatCode="General" sourceLinked="0"/>
        <c:majorTickMark val="none"/>
        <c:minorTickMark val="none"/>
        <c:tickLblPos val="none"/>
        <c:crossAx val="133295488"/>
        <c:crosses val="autoZero"/>
        <c:auto val="1"/>
        <c:lblAlgn val="ctr"/>
        <c:lblOffset val="100"/>
        <c:noMultiLvlLbl val="0"/>
      </c:catAx>
      <c:valAx>
        <c:axId val="133295488"/>
        <c:scaling>
          <c:orientation val="minMax"/>
        </c:scaling>
        <c:delete val="0"/>
        <c:axPos val="l"/>
        <c:majorGridlines/>
        <c:numFmt formatCode="#,##0" sourceLinked="0"/>
        <c:majorTickMark val="none"/>
        <c:minorTickMark val="none"/>
        <c:tickLblPos val="nextTo"/>
        <c:crossAx val="174320128"/>
        <c:crosses val="autoZero"/>
        <c:crossBetween val="between"/>
        <c:majorUnit val="5000"/>
      </c:valAx>
    </c:plotArea>
    <c:legend>
      <c:legendPos val="b"/>
      <c:layout>
        <c:manualLayout>
          <c:xMode val="edge"/>
          <c:yMode val="edge"/>
          <c:x val="6.7728199104780784E-2"/>
          <c:y val="0.92058499892577561"/>
          <c:w val="0.91605378285473593"/>
          <c:h val="5.8665723418664058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22" l="0.70000000000000062" r="0.70000000000000062" t="0.750000000000001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Costo E.E. [</a:t>
            </a:r>
            <a:r>
              <a:rPr lang="it-IT">
                <a:latin typeface="Times New Roman"/>
                <a:cs typeface="Times New Roman"/>
              </a:rPr>
              <a:t>€]</a:t>
            </a:r>
            <a:endParaRPr lang="it-IT"/>
          </a:p>
        </c:rich>
      </c:tx>
      <c:overlay val="0"/>
    </c:title>
    <c:autoTitleDeleted val="0"/>
    <c:plotArea>
      <c:layout/>
      <c:barChart>
        <c:barDir val="col"/>
        <c:grouping val="clustered"/>
        <c:varyColors val="0"/>
        <c:ser>
          <c:idx val="0"/>
          <c:order val="0"/>
          <c:tx>
            <c:v>Costo E.E. 2020</c:v>
          </c:tx>
          <c:spPr>
            <a:solidFill>
              <a:srgbClr val="D20000"/>
            </a:solidFill>
            <a:ln>
              <a:solidFill>
                <a:srgbClr val="D20000"/>
              </a:solidFill>
            </a:ln>
          </c:spPr>
          <c:invertIfNegative val="0"/>
          <c:dLbls>
            <c:dLbl>
              <c:idx val="0"/>
              <c:layout>
                <c:manualLayout>
                  <c:x val="1.8143334053352259E-3"/>
                  <c:y val="8.6384976525821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51-4BCE-AAB5-A9518EC998E9}"/>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ELETTRICA'!$C$4</c:f>
              <c:numCache>
                <c:formatCode>#,##0.00</c:formatCode>
                <c:ptCount val="1"/>
                <c:pt idx="0">
                  <c:v>456874.17999999993</c:v>
                </c:pt>
              </c:numCache>
            </c:numRef>
          </c:val>
          <c:extLst>
            <c:ext xmlns:c16="http://schemas.microsoft.com/office/drawing/2014/chart" uri="{C3380CC4-5D6E-409C-BE32-E72D297353CC}">
              <c16:uniqueId val="{00000000-0F51-4BCE-AAB5-A9518EC998E9}"/>
            </c:ext>
          </c:extLst>
        </c:ser>
        <c:ser>
          <c:idx val="1"/>
          <c:order val="1"/>
          <c:tx>
            <c:v>Costo E.E. 2021</c:v>
          </c:tx>
          <c:spPr>
            <a:solidFill>
              <a:srgbClr val="4472C4"/>
            </a:solidFill>
            <a:ln>
              <a:solidFill>
                <a:srgbClr val="4472C4"/>
              </a:solidFill>
            </a:ln>
          </c:spPr>
          <c:invertIfNegative val="0"/>
          <c:dLbls>
            <c:dLbl>
              <c:idx val="0"/>
              <c:layout>
                <c:manualLayout>
                  <c:x val="1.8143334053352259E-3"/>
                  <c:y val="9.7652582159624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51-4BCE-AAB5-A9518EC998E9}"/>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ELETTRICA'!$C$5</c:f>
              <c:numCache>
                <c:formatCode>#,##0.00</c:formatCode>
                <c:ptCount val="1"/>
                <c:pt idx="0">
                  <c:v>897971.01</c:v>
                </c:pt>
              </c:numCache>
            </c:numRef>
          </c:val>
          <c:extLst>
            <c:ext xmlns:c16="http://schemas.microsoft.com/office/drawing/2014/chart" uri="{C3380CC4-5D6E-409C-BE32-E72D297353CC}">
              <c16:uniqueId val="{00000001-0F51-4BCE-AAB5-A9518EC998E9}"/>
            </c:ext>
          </c:extLst>
        </c:ser>
        <c:ser>
          <c:idx val="2"/>
          <c:order val="2"/>
          <c:tx>
            <c:v>Costo E.E. 2022</c:v>
          </c:tx>
          <c:spPr>
            <a:solidFill>
              <a:srgbClr val="70AD47"/>
            </a:solidFill>
            <a:ln>
              <a:solidFill>
                <a:srgbClr val="70AD47"/>
              </a:solidFill>
            </a:ln>
          </c:spPr>
          <c:invertIfNegative val="0"/>
          <c:dLbls>
            <c:dLbl>
              <c:idx val="0"/>
              <c:layout>
                <c:manualLayout>
                  <c:x val="0"/>
                  <c:y val="9.0140845070422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51-4BCE-AAB5-A9518EC998E9}"/>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'CONSUMO ENERGIA ELETTRICA'!$C$6</c:f>
              <c:numCache>
                <c:formatCode>#,##0.00</c:formatCode>
                <c:ptCount val="1"/>
                <c:pt idx="0">
                  <c:v>1427223.1</c:v>
                </c:pt>
              </c:numCache>
            </c:numRef>
          </c:val>
          <c:extLst>
            <c:ext xmlns:c16="http://schemas.microsoft.com/office/drawing/2014/chart" uri="{C3380CC4-5D6E-409C-BE32-E72D297353CC}">
              <c16:uniqueId val="{00000002-0F51-4BCE-AAB5-A9518EC998E9}"/>
            </c:ext>
          </c:extLst>
        </c:ser>
        <c:ser>
          <c:idx val="3"/>
          <c:order val="3"/>
          <c:tx>
            <c:v>Costo E.E. 2023</c:v>
          </c:tx>
          <c:spPr>
            <a:solidFill>
              <a:srgbClr val="873AC0"/>
            </a:solidFill>
            <a:ln>
              <a:solidFill>
                <a:srgbClr val="873AC0"/>
              </a:solidFill>
            </a:ln>
          </c:spPr>
          <c:invertIfNegative val="0"/>
          <c:dLbls>
            <c:dLbl>
              <c:idx val="0"/>
              <c:layout>
                <c:manualLayout>
                  <c:x val="0"/>
                  <c:y val="9.7652582159624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51-4BCE-AAB5-A9518EC998E9}"/>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ENERGIA ELETTRICA'!$C$7</c:f>
              <c:numCache>
                <c:formatCode>#,##0.00</c:formatCode>
                <c:ptCount val="1"/>
                <c:pt idx="0">
                  <c:v>887352.42</c:v>
                </c:pt>
              </c:numCache>
            </c:numRef>
          </c:val>
          <c:extLst>
            <c:ext xmlns:c16="http://schemas.microsoft.com/office/drawing/2014/chart" uri="{C3380CC4-5D6E-409C-BE32-E72D297353CC}">
              <c16:uniqueId val="{00000004-0F51-4BCE-AAB5-A9518EC998E9}"/>
            </c:ext>
          </c:extLst>
        </c:ser>
        <c:ser>
          <c:idx val="4"/>
          <c:order val="4"/>
          <c:tx>
            <c:v>Costo E.E. 2024</c:v>
          </c:tx>
          <c:spPr>
            <a:solidFill>
              <a:srgbClr val="FF6600"/>
            </a:solidFill>
            <a:ln>
              <a:solidFill>
                <a:srgbClr val="FF6600"/>
              </a:solidFill>
            </a:ln>
          </c:spPr>
          <c:invertIfNegative val="0"/>
          <c:dLbls>
            <c:dLbl>
              <c:idx val="0"/>
              <c:layout>
                <c:manualLayout>
                  <c:x val="3.6286668106704518E-3"/>
                  <c:y val="9.01408450704224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51-4BCE-AAB5-A9518EC998E9}"/>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ENERGIA ELETTRICA'!$C$8</c:f>
              <c:numCache>
                <c:formatCode>#,##0.00</c:formatCode>
                <c:ptCount val="1"/>
                <c:pt idx="0">
                  <c:v>862055.51</c:v>
                </c:pt>
              </c:numCache>
            </c:numRef>
          </c:val>
          <c:extLst>
            <c:ext xmlns:c16="http://schemas.microsoft.com/office/drawing/2014/chart" uri="{C3380CC4-5D6E-409C-BE32-E72D297353CC}">
              <c16:uniqueId val="{00000006-0F51-4BCE-AAB5-A9518EC998E9}"/>
            </c:ext>
          </c:extLst>
        </c:ser>
        <c:dLbls>
          <c:showLegendKey val="0"/>
          <c:showVal val="1"/>
          <c:showCatName val="0"/>
          <c:showSerName val="0"/>
          <c:showPercent val="0"/>
          <c:showBubbleSize val="0"/>
        </c:dLbls>
        <c:gapWidth val="75"/>
        <c:overlap val="-25"/>
        <c:axId val="174320128"/>
        <c:axId val="133295488"/>
      </c:barChart>
      <c:catAx>
        <c:axId val="174320128"/>
        <c:scaling>
          <c:orientation val="minMax"/>
        </c:scaling>
        <c:delete val="1"/>
        <c:axPos val="b"/>
        <c:numFmt formatCode="General" sourceLinked="0"/>
        <c:majorTickMark val="none"/>
        <c:minorTickMark val="none"/>
        <c:tickLblPos val="none"/>
        <c:crossAx val="133295488"/>
        <c:crosses val="autoZero"/>
        <c:auto val="1"/>
        <c:lblAlgn val="ctr"/>
        <c:lblOffset val="100"/>
        <c:noMultiLvlLbl val="0"/>
      </c:catAx>
      <c:valAx>
        <c:axId val="133295488"/>
        <c:scaling>
          <c:orientation val="minMax"/>
        </c:scaling>
        <c:delete val="0"/>
        <c:axPos val="l"/>
        <c:majorGridlines/>
        <c:numFmt formatCode="#,##0" sourceLinked="0"/>
        <c:majorTickMark val="none"/>
        <c:minorTickMark val="none"/>
        <c:tickLblPos val="nextTo"/>
        <c:crossAx val="174320128"/>
        <c:crosses val="autoZero"/>
        <c:crossBetween val="between"/>
      </c:valAx>
    </c:plotArea>
    <c:legend>
      <c:legendPos val="b"/>
      <c:layout>
        <c:manualLayout>
          <c:xMode val="edge"/>
          <c:yMode val="edge"/>
          <c:x val="6.7728199104780784E-2"/>
          <c:y val="0.92058499892577561"/>
          <c:w val="0.91605378285473593"/>
          <c:h val="5.8665723418664058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22" l="0.70000000000000062" r="0.70000000000000062" t="0.7500000000000012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Gas metano consumato [Smc]</a:t>
            </a:r>
          </a:p>
        </c:rich>
      </c:tx>
      <c:overlay val="0"/>
    </c:title>
    <c:autoTitleDeleted val="0"/>
    <c:plotArea>
      <c:layout/>
      <c:barChart>
        <c:barDir val="col"/>
        <c:grouping val="clustered"/>
        <c:varyColors val="0"/>
        <c:ser>
          <c:idx val="0"/>
          <c:order val="0"/>
          <c:tx>
            <c:v>Gas metano consumato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METANO'!$B$4</c:f>
              <c:numCache>
                <c:formatCode>#,##0</c:formatCode>
                <c:ptCount val="1"/>
                <c:pt idx="0">
                  <c:v>1145030</c:v>
                </c:pt>
              </c:numCache>
            </c:numRef>
          </c:val>
          <c:extLst>
            <c:ext xmlns:c16="http://schemas.microsoft.com/office/drawing/2014/chart" uri="{C3380CC4-5D6E-409C-BE32-E72D297353CC}">
              <c16:uniqueId val="{00000000-E840-4CBB-8011-FDFB2B86F2A8}"/>
            </c:ext>
          </c:extLst>
        </c:ser>
        <c:ser>
          <c:idx val="1"/>
          <c:order val="1"/>
          <c:tx>
            <c:v>Gas metano consumato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METANO'!$B$5</c:f>
              <c:numCache>
                <c:formatCode>#,##0</c:formatCode>
                <c:ptCount val="1"/>
                <c:pt idx="0">
                  <c:v>890901</c:v>
                </c:pt>
              </c:numCache>
            </c:numRef>
          </c:val>
          <c:extLst>
            <c:ext xmlns:c16="http://schemas.microsoft.com/office/drawing/2014/chart" uri="{C3380CC4-5D6E-409C-BE32-E72D297353CC}">
              <c16:uniqueId val="{00000001-E840-4CBB-8011-FDFB2B86F2A8}"/>
            </c:ext>
          </c:extLst>
        </c:ser>
        <c:ser>
          <c:idx val="2"/>
          <c:order val="2"/>
          <c:tx>
            <c:v>Gas metano consumato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METANO'!$B$6</c:f>
              <c:numCache>
                <c:formatCode>#,##0</c:formatCode>
                <c:ptCount val="1"/>
                <c:pt idx="0">
                  <c:v>341724</c:v>
                </c:pt>
              </c:numCache>
            </c:numRef>
          </c:val>
          <c:extLst>
            <c:ext xmlns:c16="http://schemas.microsoft.com/office/drawing/2014/chart" uri="{C3380CC4-5D6E-409C-BE32-E72D297353CC}">
              <c16:uniqueId val="{00000002-E840-4CBB-8011-FDFB2B86F2A8}"/>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4.1344087059820352E-2"/>
          <c:y val="0.85476518473504837"/>
          <c:w val="0.95649063520977018"/>
          <c:h val="0.11309423778588429"/>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Costo Gas metano [</a:t>
            </a:r>
            <a:r>
              <a:rPr lang="it-IT">
                <a:latin typeface="Times New Roman"/>
                <a:cs typeface="Times New Roman"/>
              </a:rPr>
              <a:t>€]</a:t>
            </a:r>
            <a:endParaRPr lang="it-IT"/>
          </a:p>
        </c:rich>
      </c:tx>
      <c:overlay val="0"/>
    </c:title>
    <c:autoTitleDeleted val="0"/>
    <c:plotArea>
      <c:layout/>
      <c:barChart>
        <c:barDir val="col"/>
        <c:grouping val="clustered"/>
        <c:varyColors val="0"/>
        <c:ser>
          <c:idx val="0"/>
          <c:order val="0"/>
          <c:tx>
            <c:v>Costo Gas metano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METANO'!$C$4</c:f>
              <c:numCache>
                <c:formatCode>#,##0.00</c:formatCode>
                <c:ptCount val="1"/>
                <c:pt idx="0">
                  <c:v>416687.02</c:v>
                </c:pt>
              </c:numCache>
            </c:numRef>
          </c:val>
          <c:extLst>
            <c:ext xmlns:c16="http://schemas.microsoft.com/office/drawing/2014/chart" uri="{C3380CC4-5D6E-409C-BE32-E72D297353CC}">
              <c16:uniqueId val="{00000000-FE55-4564-A988-097885E2EEAD}"/>
            </c:ext>
          </c:extLst>
        </c:ser>
        <c:ser>
          <c:idx val="1"/>
          <c:order val="1"/>
          <c:tx>
            <c:v>Costo Gas metano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METANO'!$C$5</c:f>
              <c:numCache>
                <c:formatCode>#,##0.00</c:formatCode>
                <c:ptCount val="1"/>
                <c:pt idx="0">
                  <c:v>535387.17999999993</c:v>
                </c:pt>
              </c:numCache>
            </c:numRef>
          </c:val>
          <c:extLst>
            <c:ext xmlns:c16="http://schemas.microsoft.com/office/drawing/2014/chart" uri="{C3380CC4-5D6E-409C-BE32-E72D297353CC}">
              <c16:uniqueId val="{00000001-FE55-4564-A988-097885E2EEAD}"/>
            </c:ext>
          </c:extLst>
        </c:ser>
        <c:ser>
          <c:idx val="2"/>
          <c:order val="2"/>
          <c:tx>
            <c:v>Costo Gas metano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METANO'!$C$6</c:f>
              <c:numCache>
                <c:formatCode>#,##0.00</c:formatCode>
                <c:ptCount val="1"/>
                <c:pt idx="0">
                  <c:v>557741.78</c:v>
                </c:pt>
              </c:numCache>
            </c:numRef>
          </c:val>
          <c:extLst>
            <c:ext xmlns:c16="http://schemas.microsoft.com/office/drawing/2014/chart" uri="{C3380CC4-5D6E-409C-BE32-E72D297353CC}">
              <c16:uniqueId val="{00000002-FE55-4564-A988-097885E2EEAD}"/>
            </c:ext>
          </c:extLst>
        </c:ser>
        <c:dLbls>
          <c:showLegendKey val="0"/>
          <c:showVal val="1"/>
          <c:showCatName val="0"/>
          <c:showSerName val="0"/>
          <c:showPercent val="0"/>
          <c:showBubbleSize val="0"/>
        </c:dLbls>
        <c:gapWidth val="75"/>
        <c:overlap val="-25"/>
        <c:axId val="156110336"/>
        <c:axId val="123197632"/>
      </c:barChart>
      <c:catAx>
        <c:axId val="156110336"/>
        <c:scaling>
          <c:orientation val="minMax"/>
        </c:scaling>
        <c:delete val="1"/>
        <c:axPos val="b"/>
        <c:numFmt formatCode="General" sourceLinked="0"/>
        <c:majorTickMark val="none"/>
        <c:minorTickMark val="none"/>
        <c:tickLblPos val="none"/>
        <c:crossAx val="123197632"/>
        <c:crosses val="autoZero"/>
        <c:auto val="1"/>
        <c:lblAlgn val="ctr"/>
        <c:lblOffset val="100"/>
        <c:noMultiLvlLbl val="0"/>
      </c:catAx>
      <c:valAx>
        <c:axId val="123197632"/>
        <c:scaling>
          <c:orientation val="minMax"/>
        </c:scaling>
        <c:delete val="0"/>
        <c:axPos val="l"/>
        <c:majorGridlines/>
        <c:numFmt formatCode="#,##0" sourceLinked="0"/>
        <c:majorTickMark val="none"/>
        <c:minorTickMark val="none"/>
        <c:tickLblPos val="nextTo"/>
        <c:crossAx val="156110336"/>
        <c:crosses val="autoZero"/>
        <c:crossBetween val="between"/>
      </c:valAx>
    </c:plotArea>
    <c:legend>
      <c:legendPos val="b"/>
      <c:layout>
        <c:manualLayout>
          <c:xMode val="edge"/>
          <c:yMode val="edge"/>
          <c:x val="6.4927548086737064E-2"/>
          <c:y val="0.86499606299212595"/>
          <c:w val="0.93250164236022226"/>
          <c:h val="9.390813648293965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22" l="0.70000000000000062" r="0.70000000000000062" t="0.7500000000000012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GM [Smc/kg]</a:t>
            </a:r>
          </a:p>
        </c:rich>
      </c:tx>
      <c:overlay val="0"/>
    </c:title>
    <c:autoTitleDeleted val="0"/>
    <c:plotArea>
      <c:layout/>
      <c:barChart>
        <c:barDir val="col"/>
        <c:grouping val="clustered"/>
        <c:varyColors val="0"/>
        <c:ser>
          <c:idx val="0"/>
          <c:order val="0"/>
          <c:tx>
            <c:v>GM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METANO'!$E$45</c:f>
              <c:numCache>
                <c:formatCode>#,##0.000</c:formatCode>
                <c:ptCount val="1"/>
                <c:pt idx="0">
                  <c:v>0.1076298037823788</c:v>
                </c:pt>
              </c:numCache>
            </c:numRef>
          </c:val>
          <c:extLst>
            <c:ext xmlns:c16="http://schemas.microsoft.com/office/drawing/2014/chart" uri="{C3380CC4-5D6E-409C-BE32-E72D297353CC}">
              <c16:uniqueId val="{00000000-40AD-4CFB-9983-652913E723CE}"/>
            </c:ext>
          </c:extLst>
        </c:ser>
        <c:ser>
          <c:idx val="1"/>
          <c:order val="1"/>
          <c:tx>
            <c:v>GM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METANO'!$E$46</c:f>
              <c:numCache>
                <c:formatCode>#,##0.000</c:formatCode>
                <c:ptCount val="1"/>
                <c:pt idx="0">
                  <c:v>5.9104034527491342E-2</c:v>
                </c:pt>
              </c:numCache>
            </c:numRef>
          </c:val>
          <c:extLst>
            <c:ext xmlns:c16="http://schemas.microsoft.com/office/drawing/2014/chart" uri="{C3380CC4-5D6E-409C-BE32-E72D297353CC}">
              <c16:uniqueId val="{00000001-40AD-4CFB-9983-652913E723CE}"/>
            </c:ext>
          </c:extLst>
        </c:ser>
        <c:ser>
          <c:idx val="2"/>
          <c:order val="2"/>
          <c:tx>
            <c:v>GM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METANO'!$E$47</c:f>
              <c:numCache>
                <c:formatCode>#,##0.000</c:formatCode>
                <c:ptCount val="1"/>
                <c:pt idx="0">
                  <c:v>6.4417715682397153E-2</c:v>
                </c:pt>
              </c:numCache>
            </c:numRef>
          </c:val>
          <c:extLst>
            <c:ext xmlns:c16="http://schemas.microsoft.com/office/drawing/2014/chart" uri="{C3380CC4-5D6E-409C-BE32-E72D297353CC}">
              <c16:uniqueId val="{00000002-40AD-4CFB-9983-652913E723CE}"/>
            </c:ext>
          </c:extLst>
        </c:ser>
        <c:ser>
          <c:idx val="3"/>
          <c:order val="3"/>
          <c:tx>
            <c:v>GM 2023</c:v>
          </c:tx>
          <c:spPr>
            <a:solidFill>
              <a:srgbClr val="873AC0"/>
            </a:solidFill>
            <a:ln>
              <a:solidFill>
                <a:srgbClr val="873AC0"/>
              </a:solidFill>
            </a:ln>
          </c:spPr>
          <c:invertIfNegative val="0"/>
          <c:dLbls>
            <c:dLbl>
              <c:idx val="0"/>
              <c:layout>
                <c:manualLayout>
                  <c:x val="2.2647786310661783E-3"/>
                  <c:y val="0.200238202095636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93-4E9B-A5D7-3BECFCF811D0}"/>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GAS METANO'!$E$48</c:f>
              <c:numCache>
                <c:formatCode>#,##0.000</c:formatCode>
                <c:ptCount val="1"/>
                <c:pt idx="0">
                  <c:v>3.6701397850923072E-2</c:v>
                </c:pt>
              </c:numCache>
            </c:numRef>
          </c:val>
          <c:extLst>
            <c:ext xmlns:c16="http://schemas.microsoft.com/office/drawing/2014/chart" uri="{C3380CC4-5D6E-409C-BE32-E72D297353CC}">
              <c16:uniqueId val="{00000000-6B93-4E9B-A5D7-3BECFCF811D0}"/>
            </c:ext>
          </c:extLst>
        </c:ser>
        <c:ser>
          <c:idx val="4"/>
          <c:order val="4"/>
          <c:tx>
            <c:v>GM 2024</c:v>
          </c:tx>
          <c:spPr>
            <a:solidFill>
              <a:srgbClr val="FF6600"/>
            </a:solidFill>
            <a:ln>
              <a:solidFill>
                <a:srgbClr val="FF6600"/>
              </a:solidFill>
            </a:ln>
          </c:spPr>
          <c:invertIfNegative val="0"/>
          <c:dLbls>
            <c:dLbl>
              <c:idx val="0"/>
              <c:layout>
                <c:manualLayout>
                  <c:x val="0"/>
                  <c:y val="7.94702263024198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6E-4D81-BF87-18B0FCC3C29C}"/>
                </c:ext>
              </c:extLst>
            </c:dLbl>
            <c:spPr>
              <a:noFill/>
              <a:ln>
                <a:noFill/>
              </a:ln>
              <a:effectLst/>
            </c:spPr>
            <c:txPr>
              <a:bodyPr wrap="square" lIns="38100" tIns="19050" rIns="38100" bIns="19050" anchor="ctr" anchorCtr="0">
                <a:spAutoFit/>
              </a:bodyPr>
              <a:lstStyle/>
              <a:p>
                <a:pPr algn="ctr">
                  <a:defRPr lang="en-US" sz="11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GAS METANO'!$E$49</c:f>
              <c:numCache>
                <c:formatCode>#,##0.000</c:formatCode>
                <c:ptCount val="1"/>
                <c:pt idx="0">
                  <c:v>4.6033287709532938E-2</c:v>
                </c:pt>
              </c:numCache>
            </c:numRef>
          </c:val>
          <c:extLst>
            <c:ext xmlns:c16="http://schemas.microsoft.com/office/drawing/2014/chart" uri="{C3380CC4-5D6E-409C-BE32-E72D297353CC}">
              <c16:uniqueId val="{00000000-156E-4D81-BF87-18B0FCC3C29C}"/>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0" sourceLinked="1"/>
        <c:majorTickMark val="none"/>
        <c:minorTickMark val="none"/>
        <c:tickLblPos val="nextTo"/>
        <c:crossAx val="156107264"/>
        <c:crosses val="autoZero"/>
        <c:crossBetween val="between"/>
      </c:valAx>
    </c:plotArea>
    <c:legend>
      <c:legendPos val="b"/>
      <c:layout>
        <c:manualLayout>
          <c:xMode val="edge"/>
          <c:yMode val="edge"/>
          <c:x val="0.13270341207349082"/>
          <c:y val="0.90454687546079193"/>
          <c:w val="0.79962930559605971"/>
          <c:h val="7.4897038082785999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Gas metano consumato [Smc]</a:t>
            </a:r>
          </a:p>
        </c:rich>
      </c:tx>
      <c:overlay val="0"/>
    </c:title>
    <c:autoTitleDeleted val="0"/>
    <c:plotArea>
      <c:layout/>
      <c:barChart>
        <c:barDir val="col"/>
        <c:grouping val="clustered"/>
        <c:varyColors val="0"/>
        <c:ser>
          <c:idx val="0"/>
          <c:order val="0"/>
          <c:tx>
            <c:v>Gas metano consumato 2023</c:v>
          </c:tx>
          <c:spPr>
            <a:solidFill>
              <a:srgbClr val="873AC0"/>
            </a:solidFill>
            <a:ln>
              <a:solidFill>
                <a:srgbClr val="873AC0"/>
              </a:solidFill>
            </a:ln>
          </c:spPr>
          <c:invertIfNegative val="0"/>
          <c:dLbls>
            <c:dLbl>
              <c:idx val="0"/>
              <c:layout>
                <c:manualLayout>
                  <c:x val="9.5671886831877402E-17"/>
                  <c:y val="0.10185188898071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6F-43C8-A827-886CD93DA5EB}"/>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METANO'!$B$7</c:f>
              <c:numCache>
                <c:formatCode>#,##0</c:formatCode>
                <c:ptCount val="1"/>
                <c:pt idx="0">
                  <c:v>216136</c:v>
                </c:pt>
              </c:numCache>
            </c:numRef>
          </c:val>
          <c:extLst>
            <c:ext xmlns:c16="http://schemas.microsoft.com/office/drawing/2014/chart" uri="{C3380CC4-5D6E-409C-BE32-E72D297353CC}">
              <c16:uniqueId val="{00000000-A60A-4F1E-9882-C9F4C5818080}"/>
            </c:ext>
          </c:extLst>
        </c:ser>
        <c:ser>
          <c:idx val="1"/>
          <c:order val="1"/>
          <c:tx>
            <c:v>Gas metano consumato 2024</c:v>
          </c:tx>
          <c:spPr>
            <a:solidFill>
              <a:srgbClr val="FF6600"/>
            </a:solidFill>
            <a:ln>
              <a:solidFill>
                <a:srgbClr val="FF6600"/>
              </a:solidFill>
            </a:ln>
          </c:spPr>
          <c:invertIfNegative val="0"/>
          <c:dLbls>
            <c:dLbl>
              <c:idx val="0"/>
              <c:layout>
                <c:manualLayout>
                  <c:x val="0"/>
                  <c:y val="0.12500004556723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0A-4F1E-9882-C9F4C5818080}"/>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METANO'!$B$8</c:f>
              <c:numCache>
                <c:formatCode>#,##0</c:formatCode>
                <c:ptCount val="1"/>
                <c:pt idx="0">
                  <c:v>302289</c:v>
                </c:pt>
              </c:numCache>
            </c:numRef>
          </c:val>
          <c:extLst>
            <c:ext xmlns:c16="http://schemas.microsoft.com/office/drawing/2014/chart" uri="{C3380CC4-5D6E-409C-BE32-E72D297353CC}">
              <c16:uniqueId val="{00000001-A60A-4F1E-9882-C9F4C5818080}"/>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0.15615167750983405"/>
          <c:y val="0.87328371000426874"/>
          <c:w val="0.78771032820424736"/>
          <c:h val="7.8537867650141313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Gas metano consumato [Smc]</a:t>
            </a:r>
          </a:p>
        </c:rich>
      </c:tx>
      <c:overlay val="0"/>
    </c:title>
    <c:autoTitleDeleted val="0"/>
    <c:plotArea>
      <c:layout/>
      <c:barChart>
        <c:barDir val="col"/>
        <c:grouping val="clustered"/>
        <c:varyColors val="0"/>
        <c:ser>
          <c:idx val="0"/>
          <c:order val="0"/>
          <c:tx>
            <c:v>Gas metano consumato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METANO'!$B$4</c:f>
              <c:numCache>
                <c:formatCode>#,##0</c:formatCode>
                <c:ptCount val="1"/>
                <c:pt idx="0">
                  <c:v>1145030</c:v>
                </c:pt>
              </c:numCache>
            </c:numRef>
          </c:val>
          <c:extLst>
            <c:ext xmlns:c16="http://schemas.microsoft.com/office/drawing/2014/chart" uri="{C3380CC4-5D6E-409C-BE32-E72D297353CC}">
              <c16:uniqueId val="{00000000-BEC7-45BE-9A86-D836A7A75D92}"/>
            </c:ext>
          </c:extLst>
        </c:ser>
        <c:ser>
          <c:idx val="1"/>
          <c:order val="1"/>
          <c:tx>
            <c:v>Gas metano consumato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METANO'!$B$5</c:f>
              <c:numCache>
                <c:formatCode>#,##0</c:formatCode>
                <c:ptCount val="1"/>
                <c:pt idx="0">
                  <c:v>890901</c:v>
                </c:pt>
              </c:numCache>
            </c:numRef>
          </c:val>
          <c:extLst>
            <c:ext xmlns:c16="http://schemas.microsoft.com/office/drawing/2014/chart" uri="{C3380CC4-5D6E-409C-BE32-E72D297353CC}">
              <c16:uniqueId val="{00000001-BEC7-45BE-9A86-D836A7A75D92}"/>
            </c:ext>
          </c:extLst>
        </c:ser>
        <c:ser>
          <c:idx val="2"/>
          <c:order val="2"/>
          <c:tx>
            <c:v>Gas metano consumato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METANO'!$B$6</c:f>
              <c:numCache>
                <c:formatCode>#,##0</c:formatCode>
                <c:ptCount val="1"/>
                <c:pt idx="0">
                  <c:v>341724</c:v>
                </c:pt>
              </c:numCache>
            </c:numRef>
          </c:val>
          <c:extLst>
            <c:ext xmlns:c16="http://schemas.microsoft.com/office/drawing/2014/chart" uri="{C3380CC4-5D6E-409C-BE32-E72D297353CC}">
              <c16:uniqueId val="{00000002-BEC7-45BE-9A86-D836A7A75D92}"/>
            </c:ext>
          </c:extLst>
        </c:ser>
        <c:ser>
          <c:idx val="3"/>
          <c:order val="3"/>
          <c:tx>
            <c:v>Gas metano consumato 2023</c:v>
          </c:tx>
          <c:spPr>
            <a:solidFill>
              <a:srgbClr val="873AC0"/>
            </a:solidFill>
            <a:ln>
              <a:solidFill>
                <a:srgbClr val="873AC0"/>
              </a:solidFill>
            </a:ln>
          </c:spPr>
          <c:invertIfNegative val="0"/>
          <c:dLbls>
            <c:dLbl>
              <c:idx val="0"/>
              <c:layout>
                <c:manualLayout>
                  <c:x val="9.5671886831877402E-17"/>
                  <c:y val="0.10185188898071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C7-45BE-9A86-D836A7A75D92}"/>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GAS METANO'!$B$7</c:f>
              <c:numCache>
                <c:formatCode>#,##0</c:formatCode>
                <c:ptCount val="1"/>
                <c:pt idx="0">
                  <c:v>216136</c:v>
                </c:pt>
              </c:numCache>
            </c:numRef>
          </c:val>
          <c:extLst>
            <c:ext xmlns:c16="http://schemas.microsoft.com/office/drawing/2014/chart" uri="{C3380CC4-5D6E-409C-BE32-E72D297353CC}">
              <c16:uniqueId val="{00000004-BEC7-45BE-9A86-D836A7A75D92}"/>
            </c:ext>
          </c:extLst>
        </c:ser>
        <c:ser>
          <c:idx val="4"/>
          <c:order val="4"/>
          <c:tx>
            <c:v>Gas metano consumato 2024</c:v>
          </c:tx>
          <c:spPr>
            <a:solidFill>
              <a:srgbClr val="FF6600"/>
            </a:solidFill>
            <a:ln>
              <a:solidFill>
                <a:srgbClr val="FF6600"/>
              </a:solidFill>
            </a:ln>
          </c:spPr>
          <c:invertIfNegative val="0"/>
          <c:dLbls>
            <c:dLbl>
              <c:idx val="0"/>
              <c:layout>
                <c:manualLayout>
                  <c:x val="0"/>
                  <c:y val="9.7560975609756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C7-45BE-9A86-D836A7A75D92}"/>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GAS METANO'!$B$8</c:f>
              <c:numCache>
                <c:formatCode>#,##0</c:formatCode>
                <c:ptCount val="1"/>
                <c:pt idx="0">
                  <c:v>302289</c:v>
                </c:pt>
              </c:numCache>
            </c:numRef>
          </c:val>
          <c:extLst>
            <c:ext xmlns:c16="http://schemas.microsoft.com/office/drawing/2014/chart" uri="{C3380CC4-5D6E-409C-BE32-E72D297353CC}">
              <c16:uniqueId val="{00000005-BEC7-45BE-9A86-D836A7A75D92}"/>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0"/>
          <c:y val="0.83500448114717363"/>
          <c:w val="1"/>
          <c:h val="0.13182254657192241"/>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Costo Gas metano [</a:t>
            </a:r>
            <a:r>
              <a:rPr lang="it-IT">
                <a:latin typeface="Times New Roman"/>
                <a:cs typeface="Times New Roman"/>
              </a:rPr>
              <a:t>€]</a:t>
            </a:r>
            <a:endParaRPr lang="it-IT"/>
          </a:p>
        </c:rich>
      </c:tx>
      <c:overlay val="0"/>
    </c:title>
    <c:autoTitleDeleted val="0"/>
    <c:plotArea>
      <c:layout/>
      <c:barChart>
        <c:barDir val="col"/>
        <c:grouping val="clustered"/>
        <c:varyColors val="0"/>
        <c:ser>
          <c:idx val="0"/>
          <c:order val="0"/>
          <c:tx>
            <c:v>Costo Gas metano 2023</c:v>
          </c:tx>
          <c:spPr>
            <a:solidFill>
              <a:srgbClr val="873AC0"/>
            </a:solidFill>
            <a:ln>
              <a:solidFill>
                <a:srgbClr val="873AC0"/>
              </a:solidFill>
            </a:ln>
          </c:spPr>
          <c:invertIfNegative val="0"/>
          <c:dLbls>
            <c:dLbl>
              <c:idx val="0"/>
              <c:layout>
                <c:manualLayout>
                  <c:x val="0"/>
                  <c:y val="0.15673523622047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FE-435C-AA51-674FAADBC39E}"/>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METANO'!$C$7</c:f>
              <c:numCache>
                <c:formatCode>#,##0.00</c:formatCode>
                <c:ptCount val="1"/>
                <c:pt idx="0">
                  <c:v>200097.25</c:v>
                </c:pt>
              </c:numCache>
            </c:numRef>
          </c:val>
          <c:extLst>
            <c:ext xmlns:c16="http://schemas.microsoft.com/office/drawing/2014/chart" uri="{C3380CC4-5D6E-409C-BE32-E72D297353CC}">
              <c16:uniqueId val="{00000000-B54F-4F8B-87A4-7BF9F21BD103}"/>
            </c:ext>
          </c:extLst>
        </c:ser>
        <c:ser>
          <c:idx val="1"/>
          <c:order val="1"/>
          <c:tx>
            <c:v>Costo Gas metano 2024</c:v>
          </c:tx>
          <c:spPr>
            <a:solidFill>
              <a:srgbClr val="FF6600"/>
            </a:solidFill>
            <a:ln>
              <a:solidFill>
                <a:srgbClr val="FF6600"/>
              </a:solidFill>
            </a:ln>
          </c:spPr>
          <c:invertIfNegative val="0"/>
          <c:dLbls>
            <c:dLbl>
              <c:idx val="0"/>
              <c:layout>
                <c:manualLayout>
                  <c:x val="0"/>
                  <c:y val="0.125541125541125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F-4F8B-87A4-7BF9F21BD103}"/>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METANO'!$C$8</c:f>
              <c:numCache>
                <c:formatCode>#,##0.00</c:formatCode>
                <c:ptCount val="1"/>
                <c:pt idx="0">
                  <c:v>230987.04</c:v>
                </c:pt>
              </c:numCache>
            </c:numRef>
          </c:val>
          <c:extLst>
            <c:ext xmlns:c16="http://schemas.microsoft.com/office/drawing/2014/chart" uri="{C3380CC4-5D6E-409C-BE32-E72D297353CC}">
              <c16:uniqueId val="{00000001-B54F-4F8B-87A4-7BF9F21BD103}"/>
            </c:ext>
          </c:extLst>
        </c:ser>
        <c:dLbls>
          <c:showLegendKey val="0"/>
          <c:showVal val="1"/>
          <c:showCatName val="0"/>
          <c:showSerName val="0"/>
          <c:showPercent val="0"/>
          <c:showBubbleSize val="0"/>
        </c:dLbls>
        <c:gapWidth val="75"/>
        <c:overlap val="-25"/>
        <c:axId val="156110336"/>
        <c:axId val="123197632"/>
      </c:barChart>
      <c:catAx>
        <c:axId val="156110336"/>
        <c:scaling>
          <c:orientation val="minMax"/>
        </c:scaling>
        <c:delete val="1"/>
        <c:axPos val="b"/>
        <c:numFmt formatCode="General" sourceLinked="0"/>
        <c:majorTickMark val="none"/>
        <c:minorTickMark val="none"/>
        <c:tickLblPos val="none"/>
        <c:crossAx val="123197632"/>
        <c:crosses val="autoZero"/>
        <c:auto val="1"/>
        <c:lblAlgn val="ctr"/>
        <c:lblOffset val="100"/>
        <c:noMultiLvlLbl val="0"/>
      </c:catAx>
      <c:valAx>
        <c:axId val="123197632"/>
        <c:scaling>
          <c:orientation val="minMax"/>
        </c:scaling>
        <c:delete val="0"/>
        <c:axPos val="l"/>
        <c:majorGridlines/>
        <c:numFmt formatCode="#,##0" sourceLinked="0"/>
        <c:majorTickMark val="none"/>
        <c:minorTickMark val="none"/>
        <c:tickLblPos val="nextTo"/>
        <c:crossAx val="156110336"/>
        <c:crosses val="autoZero"/>
        <c:crossBetween val="between"/>
      </c:valAx>
    </c:plotArea>
    <c:legend>
      <c:legendPos val="b"/>
      <c:layout>
        <c:manualLayout>
          <c:xMode val="edge"/>
          <c:yMode val="edge"/>
          <c:x val="0.20179894179894181"/>
          <c:y val="0.8805262978491325"/>
          <c:w val="0.67172999208432282"/>
          <c:h val="7.3437979343491153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22" l="0.70000000000000062" r="0.70000000000000062" t="0.75000000000000122"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Costo Gas metano [</a:t>
            </a:r>
            <a:r>
              <a:rPr lang="it-IT">
                <a:latin typeface="Times New Roman"/>
                <a:cs typeface="Times New Roman"/>
              </a:rPr>
              <a:t>€]</a:t>
            </a:r>
            <a:endParaRPr lang="it-IT"/>
          </a:p>
        </c:rich>
      </c:tx>
      <c:overlay val="0"/>
    </c:title>
    <c:autoTitleDeleted val="0"/>
    <c:plotArea>
      <c:layout/>
      <c:barChart>
        <c:barDir val="col"/>
        <c:grouping val="clustered"/>
        <c:varyColors val="0"/>
        <c:ser>
          <c:idx val="0"/>
          <c:order val="0"/>
          <c:tx>
            <c:v>Costo Gas metano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METANO'!$C$4</c:f>
              <c:numCache>
                <c:formatCode>#,##0.00</c:formatCode>
                <c:ptCount val="1"/>
                <c:pt idx="0">
                  <c:v>416687.02</c:v>
                </c:pt>
              </c:numCache>
            </c:numRef>
          </c:val>
          <c:extLst>
            <c:ext xmlns:c16="http://schemas.microsoft.com/office/drawing/2014/chart" uri="{C3380CC4-5D6E-409C-BE32-E72D297353CC}">
              <c16:uniqueId val="{00000000-23FB-45C6-B640-E066625F0C13}"/>
            </c:ext>
          </c:extLst>
        </c:ser>
        <c:ser>
          <c:idx val="1"/>
          <c:order val="1"/>
          <c:tx>
            <c:v>Costo Gas metano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METANO'!$C$5</c:f>
              <c:numCache>
                <c:formatCode>#,##0.00</c:formatCode>
                <c:ptCount val="1"/>
                <c:pt idx="0">
                  <c:v>535387.17999999993</c:v>
                </c:pt>
              </c:numCache>
            </c:numRef>
          </c:val>
          <c:extLst>
            <c:ext xmlns:c16="http://schemas.microsoft.com/office/drawing/2014/chart" uri="{C3380CC4-5D6E-409C-BE32-E72D297353CC}">
              <c16:uniqueId val="{00000001-23FB-45C6-B640-E066625F0C13}"/>
            </c:ext>
          </c:extLst>
        </c:ser>
        <c:ser>
          <c:idx val="2"/>
          <c:order val="2"/>
          <c:tx>
            <c:v>Costo Gas metano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'CONSUMO GAS METANO'!$C$6</c:f>
              <c:numCache>
                <c:formatCode>#,##0.00</c:formatCode>
                <c:ptCount val="1"/>
                <c:pt idx="0">
                  <c:v>557741.78</c:v>
                </c:pt>
              </c:numCache>
            </c:numRef>
          </c:val>
          <c:extLst>
            <c:ext xmlns:c16="http://schemas.microsoft.com/office/drawing/2014/chart" uri="{C3380CC4-5D6E-409C-BE32-E72D297353CC}">
              <c16:uniqueId val="{00000002-23FB-45C6-B640-E066625F0C13}"/>
            </c:ext>
          </c:extLst>
        </c:ser>
        <c:ser>
          <c:idx val="3"/>
          <c:order val="3"/>
          <c:tx>
            <c:v>Costo Gas metano 2023</c:v>
          </c:tx>
          <c:spPr>
            <a:solidFill>
              <a:srgbClr val="873AC0"/>
            </a:solidFill>
            <a:ln>
              <a:solidFill>
                <a:srgbClr val="873AC0"/>
              </a:solidFill>
            </a:ln>
          </c:spPr>
          <c:invertIfNegative val="0"/>
          <c:dLbls>
            <c:dLbl>
              <c:idx val="0"/>
              <c:layout>
                <c:manualLayout>
                  <c:x val="0"/>
                  <c:y val="0.15673523622047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FB-45C6-B640-E066625F0C13}"/>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GAS METANO'!$C$7</c:f>
              <c:numCache>
                <c:formatCode>#,##0.00</c:formatCode>
                <c:ptCount val="1"/>
                <c:pt idx="0">
                  <c:v>200097.25</c:v>
                </c:pt>
              </c:numCache>
            </c:numRef>
          </c:val>
          <c:extLst>
            <c:ext xmlns:c16="http://schemas.microsoft.com/office/drawing/2014/chart" uri="{C3380CC4-5D6E-409C-BE32-E72D297353CC}">
              <c16:uniqueId val="{00000004-23FB-45C6-B640-E066625F0C13}"/>
            </c:ext>
          </c:extLst>
        </c:ser>
        <c:ser>
          <c:idx val="4"/>
          <c:order val="4"/>
          <c:tx>
            <c:v>Costo Gas metano 2024</c:v>
          </c:tx>
          <c:spPr>
            <a:solidFill>
              <a:srgbClr val="FF6600"/>
            </a:solidFill>
            <a:ln>
              <a:solidFill>
                <a:srgbClr val="FF6600"/>
              </a:solidFill>
            </a:ln>
          </c:spPr>
          <c:invertIfNegative val="0"/>
          <c:dLbls>
            <c:dLbl>
              <c:idx val="0"/>
              <c:layout>
                <c:manualLayout>
                  <c:x val="0"/>
                  <c:y val="0.11392405063291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FB-45C6-B640-E066625F0C13}"/>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'CONSUMO GAS METANO'!$C$8</c:f>
              <c:numCache>
                <c:formatCode>#,##0.00</c:formatCode>
                <c:ptCount val="1"/>
                <c:pt idx="0">
                  <c:v>230987.04</c:v>
                </c:pt>
              </c:numCache>
            </c:numRef>
          </c:val>
          <c:extLst>
            <c:ext xmlns:c16="http://schemas.microsoft.com/office/drawing/2014/chart" uri="{C3380CC4-5D6E-409C-BE32-E72D297353CC}">
              <c16:uniqueId val="{00000005-23FB-45C6-B640-E066625F0C13}"/>
            </c:ext>
          </c:extLst>
        </c:ser>
        <c:dLbls>
          <c:showLegendKey val="0"/>
          <c:showVal val="1"/>
          <c:showCatName val="0"/>
          <c:showSerName val="0"/>
          <c:showPercent val="0"/>
          <c:showBubbleSize val="0"/>
        </c:dLbls>
        <c:gapWidth val="75"/>
        <c:overlap val="-25"/>
        <c:axId val="156110336"/>
        <c:axId val="123197632"/>
      </c:barChart>
      <c:catAx>
        <c:axId val="156110336"/>
        <c:scaling>
          <c:orientation val="minMax"/>
        </c:scaling>
        <c:delete val="1"/>
        <c:axPos val="b"/>
        <c:numFmt formatCode="General" sourceLinked="0"/>
        <c:majorTickMark val="none"/>
        <c:minorTickMark val="none"/>
        <c:tickLblPos val="none"/>
        <c:crossAx val="123197632"/>
        <c:crosses val="autoZero"/>
        <c:auto val="1"/>
        <c:lblAlgn val="ctr"/>
        <c:lblOffset val="100"/>
        <c:noMultiLvlLbl val="0"/>
      </c:catAx>
      <c:valAx>
        <c:axId val="123197632"/>
        <c:scaling>
          <c:orientation val="minMax"/>
        </c:scaling>
        <c:delete val="0"/>
        <c:axPos val="l"/>
        <c:majorGridlines/>
        <c:numFmt formatCode="#,##0" sourceLinked="0"/>
        <c:majorTickMark val="none"/>
        <c:minorTickMark val="none"/>
        <c:tickLblPos val="nextTo"/>
        <c:crossAx val="156110336"/>
        <c:crosses val="autoZero"/>
        <c:crossBetween val="between"/>
      </c:valAx>
    </c:plotArea>
    <c:legend>
      <c:legendPos val="b"/>
      <c:layout>
        <c:manualLayout>
          <c:xMode val="edge"/>
          <c:yMode val="edge"/>
          <c:x val="3.4478056421767052E-2"/>
          <c:y val="0.89416259676401211"/>
          <c:w val="0.94875992377397722"/>
          <c:h val="7.1578789993023029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22" l="0.70000000000000062" r="0.70000000000000062" t="0.75000000000000122"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Acqua</a:t>
            </a:r>
            <a:r>
              <a:rPr lang="it-IT" baseline="0"/>
              <a:t> </a:t>
            </a:r>
            <a:r>
              <a:rPr lang="it-IT"/>
              <a:t>consumata [mc]</a:t>
            </a:r>
          </a:p>
        </c:rich>
      </c:tx>
      <c:overlay val="0"/>
    </c:title>
    <c:autoTitleDeleted val="0"/>
    <c:plotArea>
      <c:layout>
        <c:manualLayout>
          <c:layoutTarget val="inner"/>
          <c:xMode val="edge"/>
          <c:yMode val="edge"/>
          <c:x val="8.2739621051018258E-2"/>
          <c:y val="0.16544715447154471"/>
          <c:w val="0.8958491867348698"/>
          <c:h val="0.69133858267716519"/>
        </c:manualLayout>
      </c:layout>
      <c:barChart>
        <c:barDir val="col"/>
        <c:grouping val="clustered"/>
        <c:varyColors val="0"/>
        <c:ser>
          <c:idx val="0"/>
          <c:order val="0"/>
          <c:tx>
            <c:v>Acqua consumata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05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IDRICI'!$B$4</c:f>
              <c:numCache>
                <c:formatCode>#,##0</c:formatCode>
                <c:ptCount val="1"/>
                <c:pt idx="0">
                  <c:v>46496</c:v>
                </c:pt>
              </c:numCache>
            </c:numRef>
          </c:val>
          <c:extLst>
            <c:ext xmlns:c16="http://schemas.microsoft.com/office/drawing/2014/chart" uri="{C3380CC4-5D6E-409C-BE32-E72D297353CC}">
              <c16:uniqueId val="{00000000-ADB6-41AF-A4F3-DD2E9E074AEC}"/>
            </c:ext>
          </c:extLst>
        </c:ser>
        <c:ser>
          <c:idx val="1"/>
          <c:order val="1"/>
          <c:tx>
            <c:v>Acqua consumata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05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IDRICI'!$B$5</c:f>
              <c:numCache>
                <c:formatCode>#,##0</c:formatCode>
                <c:ptCount val="1"/>
                <c:pt idx="0">
                  <c:v>48315</c:v>
                </c:pt>
              </c:numCache>
            </c:numRef>
          </c:val>
          <c:extLst>
            <c:ext xmlns:c16="http://schemas.microsoft.com/office/drawing/2014/chart" uri="{C3380CC4-5D6E-409C-BE32-E72D297353CC}">
              <c16:uniqueId val="{00000001-ADB6-41AF-A4F3-DD2E9E074AEC}"/>
            </c:ext>
          </c:extLst>
        </c:ser>
        <c:ser>
          <c:idx val="2"/>
          <c:order val="2"/>
          <c:tx>
            <c:v>Acqua consumata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05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IDRICI'!$B$6</c:f>
              <c:numCache>
                <c:formatCode>#,##0</c:formatCode>
                <c:ptCount val="1"/>
                <c:pt idx="0">
                  <c:v>15719</c:v>
                </c:pt>
              </c:numCache>
            </c:numRef>
          </c:val>
          <c:extLst>
            <c:ext xmlns:c16="http://schemas.microsoft.com/office/drawing/2014/chart" uri="{C3380CC4-5D6E-409C-BE32-E72D297353CC}">
              <c16:uniqueId val="{00000002-ADB6-41AF-A4F3-DD2E9E074AEC}"/>
            </c:ext>
          </c:extLst>
        </c:ser>
        <c:ser>
          <c:idx val="3"/>
          <c:order val="3"/>
          <c:tx>
            <c:v>Acqua consumata 2023</c:v>
          </c:tx>
          <c:spPr>
            <a:solidFill>
              <a:srgbClr val="873AC0"/>
            </a:solidFill>
            <a:ln>
              <a:solidFill>
                <a:srgbClr val="873AC0"/>
              </a:solidFill>
            </a:ln>
          </c:spPr>
          <c:invertIfNegative val="0"/>
          <c:dLbls>
            <c:dLbl>
              <c:idx val="0"/>
              <c:layout>
                <c:manualLayout>
                  <c:x val="0"/>
                  <c:y val="9.30833966766662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11-4BA4-A82F-B20D5D501F08}"/>
                </c:ext>
              </c:extLst>
            </c:dLbl>
            <c:spPr>
              <a:noFill/>
              <a:ln>
                <a:noFill/>
              </a:ln>
              <a:effectLst/>
            </c:spPr>
            <c:txPr>
              <a:bodyPr wrap="square" lIns="38100" tIns="19050" rIns="38100" bIns="19050" anchor="ctr">
                <a:spAutoFit/>
              </a:bodyPr>
              <a:lstStyle/>
              <a:p>
                <a:pPr>
                  <a:defRPr sz="105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'CONSUMI IDRICI'!$B$7</c:f>
              <c:numCache>
                <c:formatCode>#,##0</c:formatCode>
                <c:ptCount val="1"/>
                <c:pt idx="0">
                  <c:v>8622</c:v>
                </c:pt>
              </c:numCache>
            </c:numRef>
          </c:val>
          <c:extLst>
            <c:ext xmlns:c16="http://schemas.microsoft.com/office/drawing/2014/chart" uri="{C3380CC4-5D6E-409C-BE32-E72D297353CC}">
              <c16:uniqueId val="{00000000-2211-4BA4-A82F-B20D5D501F08}"/>
            </c:ext>
          </c:extLst>
        </c:ser>
        <c:ser>
          <c:idx val="4"/>
          <c:order val="4"/>
          <c:tx>
            <c:v>Acqua consumata 2024</c:v>
          </c:tx>
          <c:spPr>
            <a:solidFill>
              <a:srgbClr val="FF6600"/>
            </a:solidFill>
            <a:ln>
              <a:solidFill>
                <a:srgbClr val="FF6600"/>
              </a:solidFill>
            </a:ln>
          </c:spPr>
          <c:invertIfNegative val="0"/>
          <c:dLbls>
            <c:dLbl>
              <c:idx val="0"/>
              <c:layout>
                <c:manualLayout>
                  <c:x val="0"/>
                  <c:y val="0.100840346399721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5-4968-A476-42BF4700D7A0}"/>
                </c:ext>
              </c:extLst>
            </c:dLbl>
            <c:spPr>
              <a:noFill/>
              <a:ln>
                <a:noFill/>
              </a:ln>
              <a:effectLst/>
            </c:spPr>
            <c:txPr>
              <a:bodyPr wrap="square" lIns="38100" tIns="19050" rIns="38100" bIns="19050" anchor="ctr" anchorCtr="0">
                <a:spAutoFit/>
              </a:bodyPr>
              <a:lstStyle/>
              <a:p>
                <a:pPr algn="ctr" rtl="0">
                  <a:defRPr lang="en-US" sz="1050" b="1" i="0" u="none" strike="noStrike" kern="1200" baseline="0">
                    <a:solidFill>
                      <a:sysClr val="windowText" lastClr="000000"/>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'CONSUMI IDRICI'!$B$8</c:f>
              <c:numCache>
                <c:formatCode>#,##0</c:formatCode>
                <c:ptCount val="1"/>
                <c:pt idx="0">
                  <c:v>13089</c:v>
                </c:pt>
              </c:numCache>
            </c:numRef>
          </c:val>
          <c:extLst>
            <c:ext xmlns:c16="http://schemas.microsoft.com/office/drawing/2014/chart" uri="{C3380CC4-5D6E-409C-BE32-E72D297353CC}">
              <c16:uniqueId val="{00000000-ADE5-4968-A476-42BF4700D7A0}"/>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2.7463494070540453E-2"/>
          <c:y val="0.85732315472761023"/>
          <c:w val="0.95671521351801847"/>
          <c:h val="0.11646021677315167"/>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ACQ [mc/ton]</a:t>
            </a:r>
          </a:p>
        </c:rich>
      </c:tx>
      <c:overlay val="0"/>
    </c:title>
    <c:autoTitleDeleted val="0"/>
    <c:plotArea>
      <c:layout/>
      <c:barChart>
        <c:barDir val="col"/>
        <c:grouping val="clustered"/>
        <c:varyColors val="0"/>
        <c:ser>
          <c:idx val="0"/>
          <c:order val="0"/>
          <c:tx>
            <c:v>ACQ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IDRICI'!$D$22</c:f>
              <c:numCache>
                <c:formatCode>#,##0.00</c:formatCode>
                <c:ptCount val="1"/>
                <c:pt idx="0">
                  <c:v>1.7632157755024649</c:v>
                </c:pt>
              </c:numCache>
            </c:numRef>
          </c:val>
          <c:extLst>
            <c:ext xmlns:c16="http://schemas.microsoft.com/office/drawing/2014/chart" uri="{C3380CC4-5D6E-409C-BE32-E72D297353CC}">
              <c16:uniqueId val="{00000000-E21E-4F7A-9116-D9DB7AC98F08}"/>
            </c:ext>
          </c:extLst>
        </c:ser>
        <c:ser>
          <c:idx val="1"/>
          <c:order val="1"/>
          <c:tx>
            <c:v>ACQ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IDRICI'!$D$23</c:f>
              <c:numCache>
                <c:formatCode>#,##0.00</c:formatCode>
                <c:ptCount val="1"/>
                <c:pt idx="0">
                  <c:v>1.2013576348310415</c:v>
                </c:pt>
              </c:numCache>
            </c:numRef>
          </c:val>
          <c:extLst>
            <c:ext xmlns:c16="http://schemas.microsoft.com/office/drawing/2014/chart" uri="{C3380CC4-5D6E-409C-BE32-E72D297353CC}">
              <c16:uniqueId val="{00000001-E21E-4F7A-9116-D9DB7AC98F08}"/>
            </c:ext>
          </c:extLst>
        </c:ser>
        <c:ser>
          <c:idx val="2"/>
          <c:order val="2"/>
          <c:tx>
            <c:v>ACQ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IDRICI'!$D$24</c:f>
              <c:numCache>
                <c:formatCode>#,##0.00</c:formatCode>
                <c:ptCount val="1"/>
                <c:pt idx="0">
                  <c:v>1.2198510010864505</c:v>
                </c:pt>
              </c:numCache>
            </c:numRef>
          </c:val>
          <c:extLst>
            <c:ext xmlns:c16="http://schemas.microsoft.com/office/drawing/2014/chart" uri="{C3380CC4-5D6E-409C-BE32-E72D297353CC}">
              <c16:uniqueId val="{00000002-E21E-4F7A-9116-D9DB7AC98F08}"/>
            </c:ext>
          </c:extLst>
        </c:ser>
        <c:ser>
          <c:idx val="3"/>
          <c:order val="3"/>
          <c:tx>
            <c:v>ACQ 2023</c:v>
          </c:tx>
          <c:spPr>
            <a:solidFill>
              <a:srgbClr val="873AC0"/>
            </a:solidFill>
            <a:ln>
              <a:solidFill>
                <a:srgbClr val="873AC0"/>
              </a:solidFill>
            </a:ln>
          </c:spPr>
          <c:invertIfNegative val="0"/>
          <c:dLbls>
            <c:dLbl>
              <c:idx val="0"/>
              <c:layout>
                <c:manualLayout>
                  <c:x val="0"/>
                  <c:y val="0.235055724417426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54-4791-8402-ACEB19EA3032}"/>
                </c:ext>
              </c:extLst>
            </c:dLbl>
            <c:spPr>
              <a:noFill/>
              <a:ln>
                <a:noFill/>
              </a:ln>
              <a:effectLst/>
            </c:spPr>
            <c:txPr>
              <a:bodyPr wrap="square" lIns="38100" tIns="19050" rIns="38100" bIns="19050" anchor="ctr">
                <a:spAutoFit/>
              </a:bodyPr>
              <a:lstStyle/>
              <a:p>
                <a:pPr>
                  <a:defRPr sz="105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'CONSUMI IDRICI'!$D$25</c:f>
              <c:numCache>
                <c:formatCode>#,##0.00</c:formatCode>
                <c:ptCount val="1"/>
                <c:pt idx="0">
                  <c:v>1.0413043478260871</c:v>
                </c:pt>
              </c:numCache>
            </c:numRef>
          </c:val>
          <c:extLst>
            <c:ext xmlns:c16="http://schemas.microsoft.com/office/drawing/2014/chart" uri="{C3380CC4-5D6E-409C-BE32-E72D297353CC}">
              <c16:uniqueId val="{00000000-4354-4791-8402-ACEB19EA3032}"/>
            </c:ext>
          </c:extLst>
        </c:ser>
        <c:ser>
          <c:idx val="4"/>
          <c:order val="4"/>
          <c:tx>
            <c:v>ACQ 2024</c:v>
          </c:tx>
          <c:spPr>
            <a:solidFill>
              <a:srgbClr val="FF6600"/>
            </a:solidFill>
            <a:ln>
              <a:solidFill>
                <a:srgbClr val="FF6600"/>
              </a:solidFill>
            </a:ln>
          </c:spPr>
          <c:invertIfNegative val="0"/>
          <c:dLbls>
            <c:dLbl>
              <c:idx val="0"/>
              <c:layout>
                <c:manualLayout>
                  <c:x val="-9.9164957660845386E-17"/>
                  <c:y val="0.133738601823708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EF-4A98-9BA7-F9530F4BD411}"/>
                </c:ext>
              </c:extLst>
            </c:dLbl>
            <c:spPr>
              <a:noFill/>
              <a:ln>
                <a:noFill/>
              </a:ln>
              <a:effectLst/>
            </c:spPr>
            <c:txPr>
              <a:bodyPr wrap="square" lIns="38100" tIns="19050" rIns="38100" bIns="19050" anchor="ctr" anchorCtr="0">
                <a:spAutoFit/>
              </a:bodyPr>
              <a:lstStyle/>
              <a:p>
                <a:pPr algn="ctr">
                  <a:defRPr lang="en-US" sz="105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'CONSUMI IDRICI'!$D$26</c:f>
              <c:numCache>
                <c:formatCode>#,##0.00</c:formatCode>
                <c:ptCount val="1"/>
                <c:pt idx="0">
                  <c:v>0.78461815130080326</c:v>
                </c:pt>
              </c:numCache>
            </c:numRef>
          </c:val>
          <c:extLst>
            <c:ext xmlns:c16="http://schemas.microsoft.com/office/drawing/2014/chart" uri="{C3380CC4-5D6E-409C-BE32-E72D297353CC}">
              <c16:uniqueId val="{00000000-6EEF-4A98-9BA7-F9530F4BD411}"/>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 sourceLinked="1"/>
        <c:majorTickMark val="none"/>
        <c:minorTickMark val="none"/>
        <c:tickLblPos val="nextTo"/>
        <c:crossAx val="156107264"/>
        <c:crosses val="autoZero"/>
        <c:crossBetween val="between"/>
      </c:valAx>
    </c:plotArea>
    <c:legend>
      <c:legendPos val="b"/>
      <c:layout>
        <c:manualLayout>
          <c:xMode val="edge"/>
          <c:yMode val="edge"/>
          <c:x val="0.10749122891078777"/>
          <c:y val="0.89461742814063139"/>
          <c:w val="0.86941144527319481"/>
          <c:h val="6.8750448747098097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Acqua</a:t>
            </a:r>
            <a:r>
              <a:rPr lang="it-IT" baseline="0"/>
              <a:t> </a:t>
            </a:r>
            <a:r>
              <a:rPr lang="it-IT"/>
              <a:t>consumata [mc]</a:t>
            </a:r>
          </a:p>
        </c:rich>
      </c:tx>
      <c:overlay val="0"/>
    </c:title>
    <c:autoTitleDeleted val="0"/>
    <c:plotArea>
      <c:layout/>
      <c:barChart>
        <c:barDir val="col"/>
        <c:grouping val="clustered"/>
        <c:varyColors val="0"/>
        <c:ser>
          <c:idx val="0"/>
          <c:order val="0"/>
          <c:tx>
            <c:v>Acqua consumata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05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IDRICI'!$B$4</c:f>
              <c:numCache>
                <c:formatCode>#,##0</c:formatCode>
                <c:ptCount val="1"/>
                <c:pt idx="0">
                  <c:v>46496</c:v>
                </c:pt>
              </c:numCache>
            </c:numRef>
          </c:val>
          <c:extLst>
            <c:ext xmlns:c16="http://schemas.microsoft.com/office/drawing/2014/chart" uri="{C3380CC4-5D6E-409C-BE32-E72D297353CC}">
              <c16:uniqueId val="{00000000-7A78-413E-ABBB-985D583C6FB6}"/>
            </c:ext>
          </c:extLst>
        </c:ser>
        <c:ser>
          <c:idx val="1"/>
          <c:order val="1"/>
          <c:tx>
            <c:v>Acqua consumata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05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IDRICI'!$B$5</c:f>
              <c:numCache>
                <c:formatCode>#,##0</c:formatCode>
                <c:ptCount val="1"/>
                <c:pt idx="0">
                  <c:v>48315</c:v>
                </c:pt>
              </c:numCache>
            </c:numRef>
          </c:val>
          <c:extLst>
            <c:ext xmlns:c16="http://schemas.microsoft.com/office/drawing/2014/chart" uri="{C3380CC4-5D6E-409C-BE32-E72D297353CC}">
              <c16:uniqueId val="{00000001-7A78-413E-ABBB-985D583C6FB6}"/>
            </c:ext>
          </c:extLst>
        </c:ser>
        <c:ser>
          <c:idx val="2"/>
          <c:order val="2"/>
          <c:tx>
            <c:v>Acqua consumata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05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IDRICI'!$B$6</c:f>
              <c:numCache>
                <c:formatCode>#,##0</c:formatCode>
                <c:ptCount val="1"/>
                <c:pt idx="0">
                  <c:v>15719</c:v>
                </c:pt>
              </c:numCache>
            </c:numRef>
          </c:val>
          <c:extLst>
            <c:ext xmlns:c16="http://schemas.microsoft.com/office/drawing/2014/chart" uri="{C3380CC4-5D6E-409C-BE32-E72D297353CC}">
              <c16:uniqueId val="{00000002-7A78-413E-ABBB-985D583C6FB6}"/>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2.7463494070540447E-2"/>
          <c:y val="0.83699808488851524"/>
          <c:w val="0.95671521351801847"/>
          <c:h val="0.11646021677315167"/>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Acqua</a:t>
            </a:r>
            <a:r>
              <a:rPr lang="it-IT" baseline="0"/>
              <a:t> </a:t>
            </a:r>
            <a:r>
              <a:rPr lang="it-IT"/>
              <a:t>consumata [mc]</a:t>
            </a:r>
          </a:p>
        </c:rich>
      </c:tx>
      <c:overlay val="0"/>
    </c:title>
    <c:autoTitleDeleted val="0"/>
    <c:plotArea>
      <c:layout/>
      <c:barChart>
        <c:barDir val="col"/>
        <c:grouping val="clustered"/>
        <c:varyColors val="0"/>
        <c:ser>
          <c:idx val="0"/>
          <c:order val="0"/>
          <c:tx>
            <c:v>Acqua consumata 2023</c:v>
          </c:tx>
          <c:invertIfNegative val="0"/>
          <c:dPt>
            <c:idx val="0"/>
            <c:invertIfNegative val="0"/>
            <c:bubble3D val="0"/>
            <c:spPr>
              <a:solidFill>
                <a:srgbClr val="873AC0"/>
              </a:solidFill>
              <a:ln>
                <a:solidFill>
                  <a:srgbClr val="873AC0"/>
                </a:solidFill>
              </a:ln>
            </c:spPr>
            <c:extLst>
              <c:ext xmlns:c16="http://schemas.microsoft.com/office/drawing/2014/chart" uri="{C3380CC4-5D6E-409C-BE32-E72D297353CC}">
                <c16:uniqueId val="{00000003-EFF4-471F-836A-E213B1B688B1}"/>
              </c:ext>
            </c:extLst>
          </c:dPt>
          <c:dLbls>
            <c:dLbl>
              <c:idx val="0"/>
              <c:layout>
                <c:manualLayout>
                  <c:x val="-3.1974420463629681E-3"/>
                  <c:y val="0.137022397891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F4-471F-836A-E213B1B688B1}"/>
                </c:ext>
              </c:extLst>
            </c:dLbl>
            <c:spPr>
              <a:noFill/>
              <a:ln>
                <a:noFill/>
              </a:ln>
              <a:effectLst/>
            </c:spPr>
            <c:txPr>
              <a:bodyPr wrap="square" lIns="38100" tIns="19050" rIns="38100" bIns="19050" anchor="ctr">
                <a:spAutoFit/>
              </a:bodyPr>
              <a:lstStyle/>
              <a:p>
                <a:pPr>
                  <a:defRPr sz="105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IDRICI'!$B$7</c:f>
              <c:numCache>
                <c:formatCode>#,##0</c:formatCode>
                <c:ptCount val="1"/>
                <c:pt idx="0">
                  <c:v>8622</c:v>
                </c:pt>
              </c:numCache>
            </c:numRef>
          </c:val>
          <c:extLst>
            <c:ext xmlns:c16="http://schemas.microsoft.com/office/drawing/2014/chart" uri="{C3380CC4-5D6E-409C-BE32-E72D297353CC}">
              <c16:uniqueId val="{00000000-EFF4-471F-836A-E213B1B688B1}"/>
            </c:ext>
          </c:extLst>
        </c:ser>
        <c:ser>
          <c:idx val="1"/>
          <c:order val="1"/>
          <c:tx>
            <c:v>Acqua consumata 2024</c:v>
          </c:tx>
          <c:spPr>
            <a:solidFill>
              <a:srgbClr val="FF6600"/>
            </a:solidFill>
            <a:ln>
              <a:solidFill>
                <a:srgbClr val="FF6600"/>
              </a:solidFill>
            </a:ln>
          </c:spPr>
          <c:invertIfNegative val="0"/>
          <c:dLbls>
            <c:dLbl>
              <c:idx val="0"/>
              <c:layout>
                <c:manualLayout>
                  <c:x val="0"/>
                  <c:y val="0.14229249011857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F4-471F-836A-E213B1B688B1}"/>
                </c:ext>
              </c:extLst>
            </c:dLbl>
            <c:spPr>
              <a:noFill/>
              <a:ln>
                <a:noFill/>
              </a:ln>
              <a:effectLst/>
            </c:spPr>
            <c:txPr>
              <a:bodyPr wrap="square" lIns="38100" tIns="19050" rIns="38100" bIns="19050" anchor="ctr">
                <a:spAutoFit/>
              </a:bodyPr>
              <a:lstStyle/>
              <a:p>
                <a:pPr>
                  <a:defRPr sz="105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'CONSUMI IDRICI'!$B$8</c:f>
              <c:numCache>
                <c:formatCode>#,##0</c:formatCode>
                <c:ptCount val="1"/>
                <c:pt idx="0">
                  <c:v>13089</c:v>
                </c:pt>
              </c:numCache>
            </c:numRef>
          </c:val>
          <c:extLst>
            <c:ext xmlns:c16="http://schemas.microsoft.com/office/drawing/2014/chart" uri="{C3380CC4-5D6E-409C-BE32-E72D297353CC}">
              <c16:uniqueId val="{00000001-EFF4-471F-836A-E213B1B688B1}"/>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2.7463494070540447E-2"/>
          <c:y val="0.83699808488851524"/>
          <c:w val="0.95671521351801847"/>
          <c:h val="0.11646021677315167"/>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Acqua</a:t>
            </a:r>
            <a:r>
              <a:rPr lang="it-IT" baseline="0"/>
              <a:t> </a:t>
            </a:r>
            <a:r>
              <a:rPr lang="it-IT"/>
              <a:t>reflua</a:t>
            </a:r>
            <a:r>
              <a:rPr lang="it-IT" baseline="0"/>
              <a:t> scaricata</a:t>
            </a:r>
            <a:r>
              <a:rPr lang="it-IT"/>
              <a:t> [mc]</a:t>
            </a:r>
          </a:p>
        </c:rich>
      </c:tx>
      <c:overlay val="0"/>
    </c:title>
    <c:autoTitleDeleted val="0"/>
    <c:plotArea>
      <c:layout/>
      <c:barChart>
        <c:barDir val="col"/>
        <c:grouping val="clustered"/>
        <c:varyColors val="0"/>
        <c:ser>
          <c:idx val="0"/>
          <c:order val="0"/>
          <c:tx>
            <c:v>Acqua reflua scaricata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DEPURATORE'!$B$4</c:f>
              <c:numCache>
                <c:formatCode>#,##0</c:formatCode>
                <c:ptCount val="1"/>
                <c:pt idx="0">
                  <c:v>32923</c:v>
                </c:pt>
              </c:numCache>
            </c:numRef>
          </c:val>
          <c:extLst>
            <c:ext xmlns:c16="http://schemas.microsoft.com/office/drawing/2014/chart" uri="{C3380CC4-5D6E-409C-BE32-E72D297353CC}">
              <c16:uniqueId val="{00000000-CCB0-4290-8A80-760C71098A33}"/>
            </c:ext>
          </c:extLst>
        </c:ser>
        <c:ser>
          <c:idx val="1"/>
          <c:order val="1"/>
          <c:tx>
            <c:v>Acqua reflua scaricata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DEPURATORE'!$B$5</c:f>
              <c:numCache>
                <c:formatCode>#,##0</c:formatCode>
                <c:ptCount val="1"/>
                <c:pt idx="0">
                  <c:v>37755</c:v>
                </c:pt>
              </c:numCache>
            </c:numRef>
          </c:val>
          <c:extLst>
            <c:ext xmlns:c16="http://schemas.microsoft.com/office/drawing/2014/chart" uri="{C3380CC4-5D6E-409C-BE32-E72D297353CC}">
              <c16:uniqueId val="{00000001-CCB0-4290-8A80-760C71098A33}"/>
            </c:ext>
          </c:extLst>
        </c:ser>
        <c:ser>
          <c:idx val="2"/>
          <c:order val="2"/>
          <c:tx>
            <c:v>Acqua reflua scaricata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DEPURATORE'!$B$6</c:f>
              <c:numCache>
                <c:formatCode>#,##0</c:formatCode>
                <c:ptCount val="1"/>
                <c:pt idx="0">
                  <c:v>9082</c:v>
                </c:pt>
              </c:numCache>
            </c:numRef>
          </c:val>
          <c:extLst>
            <c:ext xmlns:c16="http://schemas.microsoft.com/office/drawing/2014/chart" uri="{C3380CC4-5D6E-409C-BE32-E72D297353CC}">
              <c16:uniqueId val="{00000002-CCB0-4290-8A80-760C71098A33}"/>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5.3215007063816988E-2"/>
          <c:y val="0.88467187182093698"/>
          <c:w val="0.9312730162615197"/>
          <c:h val="8.967568621786165E-2"/>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REF [mc/ton]</a:t>
            </a:r>
          </a:p>
        </c:rich>
      </c:tx>
      <c:overlay val="0"/>
    </c:title>
    <c:autoTitleDeleted val="0"/>
    <c:plotArea>
      <c:layout/>
      <c:barChart>
        <c:barDir val="col"/>
        <c:grouping val="clustered"/>
        <c:varyColors val="0"/>
        <c:ser>
          <c:idx val="0"/>
          <c:order val="0"/>
          <c:tx>
            <c:v>REF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DEPURATORE'!$E$20</c:f>
              <c:numCache>
                <c:formatCode>#,##0.00</c:formatCode>
                <c:ptCount val="1"/>
                <c:pt idx="0">
                  <c:v>1.2485020857034508</c:v>
                </c:pt>
              </c:numCache>
            </c:numRef>
          </c:val>
          <c:extLst>
            <c:ext xmlns:c16="http://schemas.microsoft.com/office/drawing/2014/chart" uri="{C3380CC4-5D6E-409C-BE32-E72D297353CC}">
              <c16:uniqueId val="{00000000-1825-4A2E-8C91-C78952114C55}"/>
            </c:ext>
          </c:extLst>
        </c:ser>
        <c:ser>
          <c:idx val="1"/>
          <c:order val="1"/>
          <c:tx>
            <c:v>REF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sz="1100"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DEPURATORE'!$E$21</c:f>
              <c:numCache>
                <c:formatCode>#,##0.00</c:formatCode>
                <c:ptCount val="1"/>
                <c:pt idx="0">
                  <c:v>0.93878210706914988</c:v>
                </c:pt>
              </c:numCache>
            </c:numRef>
          </c:val>
          <c:extLst>
            <c:ext xmlns:c16="http://schemas.microsoft.com/office/drawing/2014/chart" uri="{C3380CC4-5D6E-409C-BE32-E72D297353CC}">
              <c16:uniqueId val="{00000001-1825-4A2E-8C91-C78952114C55}"/>
            </c:ext>
          </c:extLst>
        </c:ser>
        <c:ser>
          <c:idx val="2"/>
          <c:order val="2"/>
          <c:tx>
            <c:v>REF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sz="1100" b="1" i="0"/>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DEPURATORE'!$E$22</c:f>
              <c:numCache>
                <c:formatCode>#,##0.00</c:formatCode>
                <c:ptCount val="1"/>
                <c:pt idx="0">
                  <c:v>0.70479590252987734</c:v>
                </c:pt>
              </c:numCache>
            </c:numRef>
          </c:val>
          <c:extLst>
            <c:ext xmlns:c16="http://schemas.microsoft.com/office/drawing/2014/chart" uri="{C3380CC4-5D6E-409C-BE32-E72D297353CC}">
              <c16:uniqueId val="{00000002-1825-4A2E-8C91-C78952114C55}"/>
            </c:ext>
          </c:extLst>
        </c:ser>
        <c:ser>
          <c:idx val="3"/>
          <c:order val="3"/>
          <c:tx>
            <c:v>REF 2023</c:v>
          </c:tx>
          <c:spPr>
            <a:solidFill>
              <a:srgbClr val="873AC0"/>
            </a:solidFill>
            <a:ln>
              <a:solidFill>
                <a:srgbClr val="873AC0"/>
              </a:solidFill>
            </a:ln>
          </c:spPr>
          <c:invertIfNegative val="0"/>
          <c:dLbls>
            <c:dLbl>
              <c:idx val="0"/>
              <c:layout>
                <c:manualLayout>
                  <c:x val="-1.0536276751464822E-16"/>
                  <c:y val="0.11611611611611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47-4F40-986E-5FCFF7549175}"/>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'SCARICO DEL DEPURATORE'!$E$23</c:f>
              <c:numCache>
                <c:formatCode>#,##0.00</c:formatCode>
                <c:ptCount val="1"/>
                <c:pt idx="0">
                  <c:v>0.29758454106280191</c:v>
                </c:pt>
              </c:numCache>
            </c:numRef>
          </c:val>
          <c:extLst>
            <c:ext xmlns:c16="http://schemas.microsoft.com/office/drawing/2014/chart" uri="{C3380CC4-5D6E-409C-BE32-E72D297353CC}">
              <c16:uniqueId val="{00000000-4447-4F40-986E-5FCFF7549175}"/>
            </c:ext>
          </c:extLst>
        </c:ser>
        <c:ser>
          <c:idx val="4"/>
          <c:order val="4"/>
          <c:tx>
            <c:v>REF 2024</c:v>
          </c:tx>
          <c:spPr>
            <a:solidFill>
              <a:srgbClr val="FF6600"/>
            </a:solidFill>
            <a:ln>
              <a:solidFill>
                <a:srgbClr val="FF6600"/>
              </a:solidFill>
            </a:ln>
          </c:spPr>
          <c:invertIfNegative val="0"/>
          <c:dLbls>
            <c:dLbl>
              <c:idx val="0"/>
              <c:layout>
                <c:manualLayout>
                  <c:x val="0"/>
                  <c:y val="8.4084084084083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6F-4732-AA37-B95532CE733E}"/>
                </c:ext>
              </c:extLst>
            </c:dLbl>
            <c:spPr>
              <a:noFill/>
              <a:ln>
                <a:noFill/>
              </a:ln>
              <a:effectLst/>
            </c:spPr>
            <c:txPr>
              <a:bodyPr wrap="square" lIns="38100" tIns="19050" rIns="38100" bIns="19050" anchor="ctr" anchorCtr="0">
                <a:spAutoFit/>
              </a:bodyPr>
              <a:lstStyle/>
              <a:p>
                <a:pPr algn="ctr" rtl="0">
                  <a:defRPr lang="en-US" sz="1100" b="1" i="0" u="none" strike="noStrike" kern="1200" baseline="0">
                    <a:solidFill>
                      <a:sysClr val="windowText" lastClr="000000"/>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'SCARICO DEL DEPURATORE'!$E$24</c:f>
              <c:numCache>
                <c:formatCode>#,##0.00</c:formatCode>
                <c:ptCount val="1"/>
                <c:pt idx="0">
                  <c:v>0.18157295288334732</c:v>
                </c:pt>
              </c:numCache>
            </c:numRef>
          </c:val>
          <c:extLst>
            <c:ext xmlns:c16="http://schemas.microsoft.com/office/drawing/2014/chart" uri="{C3380CC4-5D6E-409C-BE32-E72D297353CC}">
              <c16:uniqueId val="{00000001-696F-4732-AA37-B95532CE733E}"/>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 sourceLinked="1"/>
        <c:majorTickMark val="none"/>
        <c:minorTickMark val="none"/>
        <c:tickLblPos val="nextTo"/>
        <c:crossAx val="156107264"/>
        <c:crosses val="autoZero"/>
        <c:crossBetween val="between"/>
      </c:valAx>
    </c:plotArea>
    <c:legend>
      <c:legendPos val="b"/>
      <c:layout>
        <c:manualLayout>
          <c:xMode val="edge"/>
          <c:yMode val="edge"/>
          <c:x val="0.11087202461761245"/>
          <c:y val="0.90494053108226336"/>
          <c:w val="0.87599103991311422"/>
          <c:h val="6.7924617530916748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Andamento principali parametri</a:t>
            </a:r>
          </a:p>
        </c:rich>
      </c:tx>
      <c:overlay val="0"/>
    </c:title>
    <c:autoTitleDeleted val="0"/>
    <c:plotArea>
      <c:layout/>
      <c:lineChart>
        <c:grouping val="standard"/>
        <c:varyColors val="0"/>
        <c:ser>
          <c:idx val="0"/>
          <c:order val="0"/>
          <c:tx>
            <c:v>COD</c:v>
          </c:tx>
          <c:dLbls>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'SCARICO DEL DEPURATORE'!$B$32:$B$36</c:f>
              <c:numCache>
                <c:formatCode>#,##0</c:formatCode>
                <c:ptCount val="5"/>
                <c:pt idx="0">
                  <c:v>140</c:v>
                </c:pt>
                <c:pt idx="1">
                  <c:v>120</c:v>
                </c:pt>
                <c:pt idx="2">
                  <c:v>290</c:v>
                </c:pt>
                <c:pt idx="3">
                  <c:v>280</c:v>
                </c:pt>
                <c:pt idx="4">
                  <c:v>64</c:v>
                </c:pt>
              </c:numCache>
            </c:numRef>
          </c:val>
          <c:smooth val="0"/>
          <c:extLst>
            <c:ext xmlns:c16="http://schemas.microsoft.com/office/drawing/2014/chart" uri="{C3380CC4-5D6E-409C-BE32-E72D297353CC}">
              <c16:uniqueId val="{00000000-98FA-421B-9229-1FA11295B8C6}"/>
            </c:ext>
          </c:extLst>
        </c:ser>
        <c:ser>
          <c:idx val="1"/>
          <c:order val="1"/>
          <c:tx>
            <c:v>BOD</c:v>
          </c:tx>
          <c:dLbls>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'SCARICO DEL DEPURATORE'!$C$32:$C$36</c:f>
              <c:numCache>
                <c:formatCode>#,##0</c:formatCode>
                <c:ptCount val="5"/>
                <c:pt idx="0">
                  <c:v>78</c:v>
                </c:pt>
                <c:pt idx="1">
                  <c:v>50</c:v>
                </c:pt>
                <c:pt idx="2">
                  <c:v>108</c:v>
                </c:pt>
                <c:pt idx="3">
                  <c:v>152</c:v>
                </c:pt>
                <c:pt idx="4">
                  <c:v>21</c:v>
                </c:pt>
              </c:numCache>
            </c:numRef>
          </c:val>
          <c:smooth val="0"/>
          <c:extLst>
            <c:ext xmlns:c16="http://schemas.microsoft.com/office/drawing/2014/chart" uri="{C3380CC4-5D6E-409C-BE32-E72D297353CC}">
              <c16:uniqueId val="{00000001-98FA-421B-9229-1FA11295B8C6}"/>
            </c:ext>
          </c:extLst>
        </c:ser>
        <c:ser>
          <c:idx val="2"/>
          <c:order val="2"/>
          <c:tx>
            <c:v>SST</c:v>
          </c:tx>
          <c:dLbls>
            <c:spPr>
              <a:noFill/>
              <a:ln>
                <a:noFill/>
              </a:ln>
              <a:effectLst/>
            </c:spPr>
            <c:txPr>
              <a:bodyPr wrap="square" lIns="38100" tIns="19050" rIns="38100" bIns="19050" anchor="ctr">
                <a:spAutoFit/>
              </a:bodyPr>
              <a:lstStyle/>
              <a:p>
                <a:pPr>
                  <a:defRPr sz="1100" b="1" i="0"/>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'SCARICO DEL DEPURATORE'!$D$32:$D$36</c:f>
              <c:numCache>
                <c:formatCode>#,##0</c:formatCode>
                <c:ptCount val="5"/>
                <c:pt idx="0">
                  <c:v>100</c:v>
                </c:pt>
                <c:pt idx="1">
                  <c:v>90</c:v>
                </c:pt>
                <c:pt idx="2">
                  <c:v>90</c:v>
                </c:pt>
                <c:pt idx="3">
                  <c:v>106</c:v>
                </c:pt>
                <c:pt idx="4">
                  <c:v>96</c:v>
                </c:pt>
              </c:numCache>
            </c:numRef>
          </c:val>
          <c:smooth val="0"/>
          <c:extLst>
            <c:ext xmlns:c16="http://schemas.microsoft.com/office/drawing/2014/chart" uri="{C3380CC4-5D6E-409C-BE32-E72D297353CC}">
              <c16:uniqueId val="{00000002-98FA-421B-9229-1FA11295B8C6}"/>
            </c:ext>
          </c:extLst>
        </c:ser>
        <c:dLbls>
          <c:showLegendKey val="0"/>
          <c:showVal val="1"/>
          <c:showCatName val="0"/>
          <c:showSerName val="0"/>
          <c:showPercent val="0"/>
          <c:showBubbleSize val="0"/>
        </c:dLbls>
        <c:marker val="1"/>
        <c:smooth val="0"/>
        <c:axId val="156107264"/>
        <c:axId val="133296640"/>
      </c:line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Andamento principali parametri</a:t>
            </a:r>
          </a:p>
        </c:rich>
      </c:tx>
      <c:overlay val="0"/>
    </c:title>
    <c:autoTitleDeleted val="0"/>
    <c:plotArea>
      <c:layout/>
      <c:lineChart>
        <c:grouping val="standard"/>
        <c:varyColors val="0"/>
        <c:ser>
          <c:idx val="0"/>
          <c:order val="0"/>
          <c:tx>
            <c:v>COD</c:v>
          </c:tx>
          <c:dLbls>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'SCARICO DEL DEPURATORE'!$B$47:$B$51</c:f>
              <c:numCache>
                <c:formatCode>#,##0</c:formatCode>
                <c:ptCount val="5"/>
                <c:pt idx="0">
                  <c:v>37</c:v>
                </c:pt>
                <c:pt idx="1">
                  <c:v>50.5</c:v>
                </c:pt>
                <c:pt idx="2">
                  <c:v>49</c:v>
                </c:pt>
                <c:pt idx="3">
                  <c:v>61</c:v>
                </c:pt>
                <c:pt idx="4">
                  <c:v>59</c:v>
                </c:pt>
              </c:numCache>
            </c:numRef>
          </c:val>
          <c:smooth val="0"/>
          <c:extLst>
            <c:ext xmlns:c16="http://schemas.microsoft.com/office/drawing/2014/chart" uri="{C3380CC4-5D6E-409C-BE32-E72D297353CC}">
              <c16:uniqueId val="{00000000-08D1-4D16-A0FD-731A6CCBFF19}"/>
            </c:ext>
          </c:extLst>
        </c:ser>
        <c:ser>
          <c:idx val="1"/>
          <c:order val="1"/>
          <c:tx>
            <c:v>BOD</c:v>
          </c:tx>
          <c:dLbls>
            <c:dLbl>
              <c:idx val="4"/>
              <c:layout>
                <c:manualLayout>
                  <c:x val="-2.6767791307338927E-3"/>
                  <c:y val="1.56504743818986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56-4903-A275-63F8F387B65F}"/>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'SCARICO DEL DEPURATORE'!$C$47:$C$51</c:f>
              <c:numCache>
                <c:formatCode>#,##0</c:formatCode>
                <c:ptCount val="5"/>
                <c:pt idx="0">
                  <c:v>70</c:v>
                </c:pt>
                <c:pt idx="1">
                  <c:v>76</c:v>
                </c:pt>
                <c:pt idx="2">
                  <c:v>40</c:v>
                </c:pt>
                <c:pt idx="3">
                  <c:v>39</c:v>
                </c:pt>
                <c:pt idx="4">
                  <c:v>36</c:v>
                </c:pt>
              </c:numCache>
            </c:numRef>
          </c:val>
          <c:smooth val="0"/>
          <c:extLst>
            <c:ext xmlns:c16="http://schemas.microsoft.com/office/drawing/2014/chart" uri="{C3380CC4-5D6E-409C-BE32-E72D297353CC}">
              <c16:uniqueId val="{00000001-08D1-4D16-A0FD-731A6CCBFF19}"/>
            </c:ext>
          </c:extLst>
        </c:ser>
        <c:ser>
          <c:idx val="2"/>
          <c:order val="2"/>
          <c:tx>
            <c:v>SST</c:v>
          </c:tx>
          <c:dLbls>
            <c:spPr>
              <a:noFill/>
              <a:ln>
                <a:noFill/>
              </a:ln>
              <a:effectLst/>
            </c:spPr>
            <c:txPr>
              <a:bodyPr wrap="square" lIns="38100" tIns="19050" rIns="38100" bIns="19050" anchor="ctr">
                <a:spAutoFit/>
              </a:bodyPr>
              <a:lstStyle/>
              <a:p>
                <a:pPr>
                  <a:defRPr sz="1100" b="1" i="0"/>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'SCARICO DEL DEPURATORE'!$D$47:$D$51</c:f>
              <c:numCache>
                <c:formatCode>#,##0</c:formatCode>
                <c:ptCount val="5"/>
                <c:pt idx="0">
                  <c:v>62.5</c:v>
                </c:pt>
                <c:pt idx="1">
                  <c:v>68</c:v>
                </c:pt>
                <c:pt idx="2">
                  <c:v>43</c:v>
                </c:pt>
                <c:pt idx="3">
                  <c:v>45</c:v>
                </c:pt>
                <c:pt idx="4">
                  <c:v>46</c:v>
                </c:pt>
              </c:numCache>
            </c:numRef>
          </c:val>
          <c:smooth val="0"/>
          <c:extLst>
            <c:ext xmlns:c16="http://schemas.microsoft.com/office/drawing/2014/chart" uri="{C3380CC4-5D6E-409C-BE32-E72D297353CC}">
              <c16:uniqueId val="{00000002-08D1-4D16-A0FD-731A6CCBFF19}"/>
            </c:ext>
          </c:extLst>
        </c:ser>
        <c:dLbls>
          <c:showLegendKey val="0"/>
          <c:showVal val="1"/>
          <c:showCatName val="0"/>
          <c:showSerName val="0"/>
          <c:showPercent val="0"/>
          <c:showBubbleSize val="0"/>
        </c:dLbls>
        <c:marker val="1"/>
        <c:smooth val="0"/>
        <c:axId val="156107264"/>
        <c:axId val="133296640"/>
      </c:line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Acqua</a:t>
            </a:r>
            <a:r>
              <a:rPr lang="it-IT" baseline="0"/>
              <a:t> </a:t>
            </a:r>
            <a:r>
              <a:rPr lang="it-IT"/>
              <a:t>reflua</a:t>
            </a:r>
            <a:r>
              <a:rPr lang="it-IT" baseline="0"/>
              <a:t> scaricata</a:t>
            </a:r>
            <a:r>
              <a:rPr lang="it-IT"/>
              <a:t> [mc]</a:t>
            </a:r>
          </a:p>
        </c:rich>
      </c:tx>
      <c:overlay val="0"/>
    </c:title>
    <c:autoTitleDeleted val="0"/>
    <c:plotArea>
      <c:layout/>
      <c:barChart>
        <c:barDir val="col"/>
        <c:grouping val="clustered"/>
        <c:varyColors val="0"/>
        <c:ser>
          <c:idx val="0"/>
          <c:order val="0"/>
          <c:tx>
            <c:v>Acqua reflua scaricata 2023</c:v>
          </c:tx>
          <c:spPr>
            <a:solidFill>
              <a:srgbClr val="873AC0"/>
            </a:solidFill>
            <a:ln>
              <a:solidFill>
                <a:srgbClr val="873AC0"/>
              </a:solidFill>
            </a:ln>
          </c:spPr>
          <c:invertIfNegative val="0"/>
          <c:dLbls>
            <c:dLbl>
              <c:idx val="0"/>
              <c:layout>
                <c:manualLayout>
                  <c:x val="-5.3872076724018302E-3"/>
                  <c:y val="0.145985457396194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DB-4D73-912E-BF02CDB0FFFA}"/>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DEPURATORE'!$B$7</c:f>
              <c:numCache>
                <c:formatCode>#,##0</c:formatCode>
                <c:ptCount val="1"/>
                <c:pt idx="0">
                  <c:v>2464</c:v>
                </c:pt>
              </c:numCache>
            </c:numRef>
          </c:val>
          <c:extLst>
            <c:ext xmlns:c16="http://schemas.microsoft.com/office/drawing/2014/chart" uri="{C3380CC4-5D6E-409C-BE32-E72D297353CC}">
              <c16:uniqueId val="{00000000-05D0-48EC-9DA1-9D0F667735A9}"/>
            </c:ext>
          </c:extLst>
        </c:ser>
        <c:ser>
          <c:idx val="1"/>
          <c:order val="1"/>
          <c:tx>
            <c:v>Acqua reflua scaricata 2024</c:v>
          </c:tx>
          <c:spPr>
            <a:solidFill>
              <a:srgbClr val="FF6600"/>
            </a:solidFill>
            <a:ln>
              <a:solidFill>
                <a:srgbClr val="FF6600"/>
              </a:solidFill>
            </a:ln>
          </c:spPr>
          <c:invertIfNegative val="0"/>
          <c:dLbls>
            <c:dLbl>
              <c:idx val="0"/>
              <c:layout>
                <c:manualLayout>
                  <c:x val="-9.8764333060029241E-17"/>
                  <c:y val="0.155717821222607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D0-48EC-9DA1-9D0F667735A9}"/>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DEPURATORE'!$B$8</c:f>
              <c:numCache>
                <c:formatCode>#,##0</c:formatCode>
                <c:ptCount val="1"/>
                <c:pt idx="0">
                  <c:v>3029</c:v>
                </c:pt>
              </c:numCache>
            </c:numRef>
          </c:val>
          <c:extLst>
            <c:ext xmlns:c16="http://schemas.microsoft.com/office/drawing/2014/chart" uri="{C3380CC4-5D6E-409C-BE32-E72D297353CC}">
              <c16:uniqueId val="{00000001-05D0-48EC-9DA1-9D0F667735A9}"/>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0.11516789529643746"/>
          <c:y val="0.87007332608131738"/>
          <c:w val="0.82891607048588589"/>
          <c:h val="8.967568621786165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Acqua</a:t>
            </a:r>
            <a:r>
              <a:rPr lang="it-IT" baseline="0"/>
              <a:t> </a:t>
            </a:r>
            <a:r>
              <a:rPr lang="it-IT"/>
              <a:t>reflua</a:t>
            </a:r>
            <a:r>
              <a:rPr lang="it-IT" baseline="0"/>
              <a:t> scaricata</a:t>
            </a:r>
            <a:r>
              <a:rPr lang="it-IT"/>
              <a:t> [mc]</a:t>
            </a:r>
          </a:p>
        </c:rich>
      </c:tx>
      <c:overlay val="0"/>
    </c:title>
    <c:autoTitleDeleted val="0"/>
    <c:plotArea>
      <c:layout/>
      <c:barChart>
        <c:barDir val="col"/>
        <c:grouping val="clustered"/>
        <c:varyColors val="0"/>
        <c:ser>
          <c:idx val="0"/>
          <c:order val="0"/>
          <c:tx>
            <c:v>Acqua reflua scaricata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DEPURATORE'!$B$4</c:f>
              <c:numCache>
                <c:formatCode>#,##0</c:formatCode>
                <c:ptCount val="1"/>
                <c:pt idx="0">
                  <c:v>32923</c:v>
                </c:pt>
              </c:numCache>
            </c:numRef>
          </c:val>
          <c:extLst>
            <c:ext xmlns:c16="http://schemas.microsoft.com/office/drawing/2014/chart" uri="{C3380CC4-5D6E-409C-BE32-E72D297353CC}">
              <c16:uniqueId val="{00000000-0B42-4269-B061-1E29959E34E4}"/>
            </c:ext>
          </c:extLst>
        </c:ser>
        <c:ser>
          <c:idx val="1"/>
          <c:order val="1"/>
          <c:tx>
            <c:v>Acqua reflua scaricata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DEPURATORE'!$B$5</c:f>
              <c:numCache>
                <c:formatCode>#,##0</c:formatCode>
                <c:ptCount val="1"/>
                <c:pt idx="0">
                  <c:v>37755</c:v>
                </c:pt>
              </c:numCache>
            </c:numRef>
          </c:val>
          <c:extLst>
            <c:ext xmlns:c16="http://schemas.microsoft.com/office/drawing/2014/chart" uri="{C3380CC4-5D6E-409C-BE32-E72D297353CC}">
              <c16:uniqueId val="{00000001-0B42-4269-B061-1E29959E34E4}"/>
            </c:ext>
          </c:extLst>
        </c:ser>
        <c:ser>
          <c:idx val="2"/>
          <c:order val="2"/>
          <c:tx>
            <c:v>Acqua reflua scaricata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DEPURATORE'!$B$6</c:f>
              <c:numCache>
                <c:formatCode>#,##0</c:formatCode>
                <c:ptCount val="1"/>
                <c:pt idx="0">
                  <c:v>9082</c:v>
                </c:pt>
              </c:numCache>
            </c:numRef>
          </c:val>
          <c:extLst>
            <c:ext xmlns:c16="http://schemas.microsoft.com/office/drawing/2014/chart" uri="{C3380CC4-5D6E-409C-BE32-E72D297353CC}">
              <c16:uniqueId val="{00000002-0B42-4269-B061-1E29959E34E4}"/>
            </c:ext>
          </c:extLst>
        </c:ser>
        <c:ser>
          <c:idx val="3"/>
          <c:order val="3"/>
          <c:tx>
            <c:v>Acqua reflua scaricata 2023</c:v>
          </c:tx>
          <c:spPr>
            <a:solidFill>
              <a:srgbClr val="873AC0"/>
            </a:solidFill>
            <a:ln>
              <a:solidFill>
                <a:srgbClr val="873AC0"/>
              </a:solidFill>
            </a:ln>
          </c:spPr>
          <c:invertIfNegative val="0"/>
          <c:dLbls>
            <c:dLbl>
              <c:idx val="0"/>
              <c:layout>
                <c:manualLayout>
                  <c:x val="8.5988289925296949E-3"/>
                  <c:y val="-1.45985457396195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42-4269-B061-1E29959E34E4}"/>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'SCARICO DEL DEPURATORE'!$B$7</c:f>
              <c:numCache>
                <c:formatCode>#,##0</c:formatCode>
                <c:ptCount val="1"/>
                <c:pt idx="0">
                  <c:v>2464</c:v>
                </c:pt>
              </c:numCache>
            </c:numRef>
          </c:val>
          <c:extLst>
            <c:ext xmlns:c16="http://schemas.microsoft.com/office/drawing/2014/chart" uri="{C3380CC4-5D6E-409C-BE32-E72D297353CC}">
              <c16:uniqueId val="{00000004-0B42-4269-B061-1E29959E34E4}"/>
            </c:ext>
          </c:extLst>
        </c:ser>
        <c:ser>
          <c:idx val="4"/>
          <c:order val="4"/>
          <c:tx>
            <c:v>Acqua reflua scaricata 2024</c:v>
          </c:tx>
          <c:spPr>
            <a:solidFill>
              <a:srgbClr val="FF6600"/>
            </a:solidFill>
            <a:ln>
              <a:solidFill>
                <a:srgbClr val="FF6600"/>
              </a:solidFill>
            </a:ln>
          </c:spPr>
          <c:invertIfNegative val="0"/>
          <c:dLbls>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'SCARICO DEL DEPURATORE'!$B$8</c:f>
              <c:numCache>
                <c:formatCode>#,##0</c:formatCode>
                <c:ptCount val="1"/>
                <c:pt idx="0">
                  <c:v>3029</c:v>
                </c:pt>
              </c:numCache>
            </c:numRef>
          </c:val>
          <c:extLst>
            <c:ext xmlns:c16="http://schemas.microsoft.com/office/drawing/2014/chart" uri="{C3380CC4-5D6E-409C-BE32-E72D297353CC}">
              <c16:uniqueId val="{00000005-0B42-4269-B061-1E29959E34E4}"/>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4.2241632163517021E-2"/>
          <c:y val="0.8979501063944294"/>
          <c:w val="0.93504988034762493"/>
          <c:h val="8.1019399388956512E-2"/>
        </c:manualLayout>
      </c:layout>
      <c:overlay val="0"/>
      <c:txPr>
        <a:bodyPr/>
        <a:lstStyle/>
        <a:p>
          <a:pPr>
            <a:defRPr sz="8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sz="1600"/>
              <a:t>Andamento principali parametri E12</a:t>
            </a:r>
          </a:p>
        </c:rich>
      </c:tx>
      <c:overlay val="0"/>
    </c:title>
    <c:autoTitleDeleted val="0"/>
    <c:plotArea>
      <c:layout/>
      <c:lineChart>
        <c:grouping val="standard"/>
        <c:varyColors val="0"/>
        <c:ser>
          <c:idx val="0"/>
          <c:order val="0"/>
          <c:tx>
            <c:v>NOx</c:v>
          </c:tx>
          <c:dLbls>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ATMOSFERA'!$B$42:$B$46</c:f>
              <c:numCache>
                <c:formatCode>#,##0</c:formatCode>
                <c:ptCount val="5"/>
                <c:pt idx="0">
                  <c:v>74</c:v>
                </c:pt>
                <c:pt idx="1">
                  <c:v>76</c:v>
                </c:pt>
                <c:pt idx="2">
                  <c:v>59</c:v>
                </c:pt>
                <c:pt idx="3">
                  <c:v>15</c:v>
                </c:pt>
                <c:pt idx="4">
                  <c:v>254</c:v>
                </c:pt>
              </c:numCache>
            </c:numRef>
          </c:val>
          <c:smooth val="0"/>
          <c:extLst>
            <c:ext xmlns:c16="http://schemas.microsoft.com/office/drawing/2014/chart" uri="{C3380CC4-5D6E-409C-BE32-E72D297353CC}">
              <c16:uniqueId val="{00000000-9F1E-4D71-80A7-E20A8F660A0F}"/>
            </c:ext>
          </c:extLst>
        </c:ser>
        <c:ser>
          <c:idx val="1"/>
          <c:order val="1"/>
          <c:tx>
            <c:v>CO</c:v>
          </c:tx>
          <c:dLbls>
            <c:dLbl>
              <c:idx val="0"/>
              <c:layout>
                <c:manualLayout>
                  <c:x val="-5.3535582614677855E-2"/>
                  <c:y val="4.6126556631593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1E-4D71-80A7-E20A8F660A0F}"/>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ATMOSFERA'!$C$42:$C$46</c:f>
              <c:numCache>
                <c:formatCode>#,##0</c:formatCode>
                <c:ptCount val="5"/>
                <c:pt idx="0">
                  <c:v>65</c:v>
                </c:pt>
                <c:pt idx="1">
                  <c:v>69</c:v>
                </c:pt>
                <c:pt idx="2">
                  <c:v>74</c:v>
                </c:pt>
                <c:pt idx="3">
                  <c:v>82</c:v>
                </c:pt>
                <c:pt idx="4">
                  <c:v>345</c:v>
                </c:pt>
              </c:numCache>
            </c:numRef>
          </c:val>
          <c:smooth val="0"/>
          <c:extLst>
            <c:ext xmlns:c16="http://schemas.microsoft.com/office/drawing/2014/chart" uri="{C3380CC4-5D6E-409C-BE32-E72D297353CC}">
              <c16:uniqueId val="{00000001-9F1E-4D71-80A7-E20A8F660A0F}"/>
            </c:ext>
          </c:extLst>
        </c:ser>
        <c:ser>
          <c:idx val="2"/>
          <c:order val="2"/>
          <c:tx>
            <c:v>HCl</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'EMISSIONI IN ATMOSFERA'!$D$42:$D$46</c:f>
              <c:numCache>
                <c:formatCode>#,##0</c:formatCode>
                <c:ptCount val="5"/>
                <c:pt idx="0">
                  <c:v>0</c:v>
                </c:pt>
                <c:pt idx="1">
                  <c:v>0</c:v>
                </c:pt>
                <c:pt idx="2">
                  <c:v>1.2</c:v>
                </c:pt>
                <c:pt idx="3">
                  <c:v>4</c:v>
                </c:pt>
                <c:pt idx="4" formatCode="#,##0.0">
                  <c:v>6.2</c:v>
                </c:pt>
              </c:numCache>
            </c:numRef>
          </c:val>
          <c:smooth val="0"/>
          <c:extLst>
            <c:ext xmlns:c16="http://schemas.microsoft.com/office/drawing/2014/chart" uri="{C3380CC4-5D6E-409C-BE32-E72D297353CC}">
              <c16:uniqueId val="{00000000-ACDB-4C13-B090-67ACC94CD78D}"/>
            </c:ext>
          </c:extLst>
        </c:ser>
        <c:ser>
          <c:idx val="3"/>
          <c:order val="3"/>
          <c:tx>
            <c:v>SOV</c:v>
          </c:tx>
          <c:dLbls>
            <c:dLbl>
              <c:idx val="0"/>
              <c:layout>
                <c:manualLayout>
                  <c:x val="-1.7937219730941732E-2"/>
                  <c:y val="-6.535947712418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EA-4612-B546-36724BEDC40C}"/>
                </c:ext>
              </c:extLst>
            </c:dLbl>
            <c:dLbl>
              <c:idx val="1"/>
              <c:layout>
                <c:manualLayout>
                  <c:x val="-1.7937219730941815E-2"/>
                  <c:y val="-5.2287581699346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EA-4612-B546-36724BEDC40C}"/>
                </c:ext>
              </c:extLst>
            </c:dLbl>
            <c:dLbl>
              <c:idx val="3"/>
              <c:layout>
                <c:manualLayout>
                  <c:x val="-1.4947683109118086E-2"/>
                  <c:y val="-4.35729847494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AE-4F12-97F0-FCC86403332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'EMISSIONI IN ATMOSFERA'!$E$42:$E$46</c:f>
              <c:numCache>
                <c:formatCode>#,##0.0</c:formatCode>
                <c:ptCount val="5"/>
                <c:pt idx="0">
                  <c:v>3.6</c:v>
                </c:pt>
                <c:pt idx="1">
                  <c:v>3.1</c:v>
                </c:pt>
                <c:pt idx="2" formatCode="#,##0">
                  <c:v>2</c:v>
                </c:pt>
                <c:pt idx="3" formatCode="#,##0">
                  <c:v>3</c:v>
                </c:pt>
                <c:pt idx="4" formatCode="#,##0">
                  <c:v>2</c:v>
                </c:pt>
              </c:numCache>
            </c:numRef>
          </c:val>
          <c:smooth val="0"/>
          <c:extLst>
            <c:ext xmlns:c16="http://schemas.microsoft.com/office/drawing/2014/chart" uri="{C3380CC4-5D6E-409C-BE32-E72D297353CC}">
              <c16:uniqueId val="{00000001-ACDB-4C13-B090-67ACC94CD78D}"/>
            </c:ext>
          </c:extLst>
        </c:ser>
        <c:dLbls>
          <c:showLegendKey val="0"/>
          <c:showVal val="1"/>
          <c:showCatName val="0"/>
          <c:showSerName val="0"/>
          <c:showPercent val="0"/>
          <c:showBubbleSize val="0"/>
        </c:dLbls>
        <c:marker val="1"/>
        <c:smooth val="0"/>
        <c:axId val="156107264"/>
        <c:axId val="133296640"/>
      </c:line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sz="1600"/>
              <a:t>Andamento principali parametri E13</a:t>
            </a:r>
          </a:p>
        </c:rich>
      </c:tx>
      <c:overlay val="0"/>
    </c:title>
    <c:autoTitleDeleted val="0"/>
    <c:plotArea>
      <c:layout/>
      <c:lineChart>
        <c:grouping val="standard"/>
        <c:varyColors val="0"/>
        <c:ser>
          <c:idx val="0"/>
          <c:order val="0"/>
          <c:tx>
            <c:v>NOx</c:v>
          </c:tx>
          <c:dLbls>
            <c:dLbl>
              <c:idx val="0"/>
              <c:layout>
                <c:manualLayout>
                  <c:x val="-6.0882800608827448E-3"/>
                  <c:y val="5.797101449275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28-42EE-A19B-6802EB520EC9}"/>
                </c:ext>
              </c:extLst>
            </c:dLbl>
            <c:dLbl>
              <c:idx val="1"/>
              <c:layout>
                <c:manualLayout>
                  <c:x val="9.1324200913240894E-3"/>
                  <c:y val="-2.89855072463768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28-42EE-A19B-6802EB520EC9}"/>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ATMOSFERA'!$B$57:$B$61</c:f>
              <c:numCache>
                <c:formatCode>#,##0</c:formatCode>
                <c:ptCount val="5"/>
                <c:pt idx="0">
                  <c:v>100</c:v>
                </c:pt>
                <c:pt idx="1">
                  <c:v>97</c:v>
                </c:pt>
                <c:pt idx="2">
                  <c:v>69</c:v>
                </c:pt>
                <c:pt idx="3">
                  <c:v>66</c:v>
                </c:pt>
                <c:pt idx="4">
                  <c:v>309</c:v>
                </c:pt>
              </c:numCache>
            </c:numRef>
          </c:val>
          <c:smooth val="0"/>
          <c:extLst>
            <c:ext xmlns:c16="http://schemas.microsoft.com/office/drawing/2014/chart" uri="{C3380CC4-5D6E-409C-BE32-E72D297353CC}">
              <c16:uniqueId val="{00000000-E228-42EE-A19B-6802EB520EC9}"/>
            </c:ext>
          </c:extLst>
        </c:ser>
        <c:dLbls>
          <c:showLegendKey val="0"/>
          <c:showVal val="1"/>
          <c:showCatName val="0"/>
          <c:showSerName val="0"/>
          <c:showPercent val="0"/>
          <c:showBubbleSize val="0"/>
        </c:dLbls>
        <c:marker val="1"/>
        <c:smooth val="0"/>
        <c:axId val="156107264"/>
        <c:axId val="133296640"/>
      </c:line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Gas metano consumato [Smc]</a:t>
            </a:r>
          </a:p>
        </c:rich>
      </c:tx>
      <c:overlay val="0"/>
    </c:title>
    <c:autoTitleDeleted val="0"/>
    <c:plotArea>
      <c:layout/>
      <c:barChart>
        <c:barDir val="col"/>
        <c:grouping val="clustered"/>
        <c:varyColors val="0"/>
        <c:ser>
          <c:idx val="0"/>
          <c:order val="0"/>
          <c:tx>
            <c:v>Gas metano consumato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ATMOSFERA'!$B$4</c:f>
              <c:numCache>
                <c:formatCode>#,##0</c:formatCode>
                <c:ptCount val="1"/>
                <c:pt idx="0">
                  <c:v>1145030</c:v>
                </c:pt>
              </c:numCache>
            </c:numRef>
          </c:val>
          <c:extLst>
            <c:ext xmlns:c16="http://schemas.microsoft.com/office/drawing/2014/chart" uri="{C3380CC4-5D6E-409C-BE32-E72D297353CC}">
              <c16:uniqueId val="{00000000-A14B-41C0-9C83-7B8785D1FB32}"/>
            </c:ext>
          </c:extLst>
        </c:ser>
        <c:ser>
          <c:idx val="1"/>
          <c:order val="1"/>
          <c:tx>
            <c:v>Gas metano consumato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ATMOSFERA'!$B$5</c:f>
              <c:numCache>
                <c:formatCode>#,##0</c:formatCode>
                <c:ptCount val="1"/>
                <c:pt idx="0">
                  <c:v>890901</c:v>
                </c:pt>
              </c:numCache>
            </c:numRef>
          </c:val>
          <c:extLst>
            <c:ext xmlns:c16="http://schemas.microsoft.com/office/drawing/2014/chart" uri="{C3380CC4-5D6E-409C-BE32-E72D297353CC}">
              <c16:uniqueId val="{00000001-A14B-41C0-9C83-7B8785D1FB32}"/>
            </c:ext>
          </c:extLst>
        </c:ser>
        <c:ser>
          <c:idx val="2"/>
          <c:order val="2"/>
          <c:tx>
            <c:v>Gas metano consumato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ATMOSFERA'!$B$6</c:f>
              <c:numCache>
                <c:formatCode>#,##0</c:formatCode>
                <c:ptCount val="1"/>
                <c:pt idx="0">
                  <c:v>341724</c:v>
                </c:pt>
              </c:numCache>
            </c:numRef>
          </c:val>
          <c:extLst>
            <c:ext xmlns:c16="http://schemas.microsoft.com/office/drawing/2014/chart" uri="{C3380CC4-5D6E-409C-BE32-E72D297353CC}">
              <c16:uniqueId val="{00000002-A14B-41C0-9C83-7B8785D1FB32}"/>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4.1344087059820352E-2"/>
          <c:y val="0.85476518473504837"/>
          <c:w val="0.95649063520977018"/>
          <c:h val="0.11309423778588429"/>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Gas metano consumato [Smc]</a:t>
            </a:r>
          </a:p>
        </c:rich>
      </c:tx>
      <c:overlay val="0"/>
    </c:title>
    <c:autoTitleDeleted val="0"/>
    <c:plotArea>
      <c:layout/>
      <c:barChart>
        <c:barDir val="col"/>
        <c:grouping val="clustered"/>
        <c:varyColors val="0"/>
        <c:ser>
          <c:idx val="0"/>
          <c:order val="0"/>
          <c:tx>
            <c:v>Gas metano consumato 2023</c:v>
          </c:tx>
          <c:spPr>
            <a:solidFill>
              <a:srgbClr val="873AC0"/>
            </a:solidFill>
            <a:ln>
              <a:solidFill>
                <a:srgbClr val="873AC0"/>
              </a:solidFill>
            </a:ln>
          </c:spPr>
          <c:invertIfNegative val="0"/>
          <c:dLbls>
            <c:dLbl>
              <c:idx val="0"/>
              <c:layout>
                <c:manualLayout>
                  <c:x val="9.5671886831877402E-17"/>
                  <c:y val="0.10185188898071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29-4034-9F4F-95C21AE6050C}"/>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ATMOSFERA'!$B$7</c:f>
              <c:numCache>
                <c:formatCode>#,##0</c:formatCode>
                <c:ptCount val="1"/>
                <c:pt idx="0">
                  <c:v>216136</c:v>
                </c:pt>
              </c:numCache>
            </c:numRef>
          </c:val>
          <c:extLst>
            <c:ext xmlns:c16="http://schemas.microsoft.com/office/drawing/2014/chart" uri="{C3380CC4-5D6E-409C-BE32-E72D297353CC}">
              <c16:uniqueId val="{00000001-BB29-4034-9F4F-95C21AE6050C}"/>
            </c:ext>
          </c:extLst>
        </c:ser>
        <c:ser>
          <c:idx val="1"/>
          <c:order val="1"/>
          <c:tx>
            <c:v>Gas metano consumato 2024</c:v>
          </c:tx>
          <c:spPr>
            <a:solidFill>
              <a:srgbClr val="FF6600"/>
            </a:solidFill>
            <a:ln>
              <a:solidFill>
                <a:srgbClr val="FF6600"/>
              </a:solidFill>
            </a:ln>
          </c:spPr>
          <c:invertIfNegative val="0"/>
          <c:dLbls>
            <c:dLbl>
              <c:idx val="0"/>
              <c:layout>
                <c:manualLayout>
                  <c:x val="0"/>
                  <c:y val="0.12500004556723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29-4034-9F4F-95C21AE6050C}"/>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ATMOSFERA'!$B$8</c:f>
              <c:numCache>
                <c:formatCode>#,##0</c:formatCode>
                <c:ptCount val="1"/>
                <c:pt idx="0">
                  <c:v>302289</c:v>
                </c:pt>
              </c:numCache>
            </c:numRef>
          </c:val>
          <c:extLst>
            <c:ext xmlns:c16="http://schemas.microsoft.com/office/drawing/2014/chart" uri="{C3380CC4-5D6E-409C-BE32-E72D297353CC}">
              <c16:uniqueId val="{00000003-BB29-4034-9F4F-95C21AE6050C}"/>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0.15615167750983405"/>
          <c:y val="0.87328371000426874"/>
          <c:w val="0.78771032820424736"/>
          <c:h val="7.8537867650141313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Gas metano consumato [Smc]</a:t>
            </a:r>
          </a:p>
        </c:rich>
      </c:tx>
      <c:overlay val="0"/>
    </c:title>
    <c:autoTitleDeleted val="0"/>
    <c:plotArea>
      <c:layout/>
      <c:barChart>
        <c:barDir val="col"/>
        <c:grouping val="clustered"/>
        <c:varyColors val="0"/>
        <c:ser>
          <c:idx val="0"/>
          <c:order val="0"/>
          <c:tx>
            <c:v>Gas metano consumato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ATMOSFERA'!$B$4</c:f>
              <c:numCache>
                <c:formatCode>#,##0</c:formatCode>
                <c:ptCount val="1"/>
                <c:pt idx="0">
                  <c:v>1145030</c:v>
                </c:pt>
              </c:numCache>
            </c:numRef>
          </c:val>
          <c:extLst>
            <c:ext xmlns:c16="http://schemas.microsoft.com/office/drawing/2014/chart" uri="{C3380CC4-5D6E-409C-BE32-E72D297353CC}">
              <c16:uniqueId val="{00000000-DA45-4E0D-8053-DE0B58495052}"/>
            </c:ext>
          </c:extLst>
        </c:ser>
        <c:ser>
          <c:idx val="1"/>
          <c:order val="1"/>
          <c:tx>
            <c:v>Gas metano consumato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ATMOSFERA'!$B$5</c:f>
              <c:numCache>
                <c:formatCode>#,##0</c:formatCode>
                <c:ptCount val="1"/>
                <c:pt idx="0">
                  <c:v>890901</c:v>
                </c:pt>
              </c:numCache>
            </c:numRef>
          </c:val>
          <c:extLst>
            <c:ext xmlns:c16="http://schemas.microsoft.com/office/drawing/2014/chart" uri="{C3380CC4-5D6E-409C-BE32-E72D297353CC}">
              <c16:uniqueId val="{00000001-DA45-4E0D-8053-DE0B58495052}"/>
            </c:ext>
          </c:extLst>
        </c:ser>
        <c:ser>
          <c:idx val="2"/>
          <c:order val="2"/>
          <c:tx>
            <c:v>Gas metano consumato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'EMISSIONI IN ATMOSFERA'!$B$6</c:f>
              <c:numCache>
                <c:formatCode>#,##0</c:formatCode>
                <c:ptCount val="1"/>
                <c:pt idx="0">
                  <c:v>341724</c:v>
                </c:pt>
              </c:numCache>
            </c:numRef>
          </c:val>
          <c:extLst>
            <c:ext xmlns:c16="http://schemas.microsoft.com/office/drawing/2014/chart" uri="{C3380CC4-5D6E-409C-BE32-E72D297353CC}">
              <c16:uniqueId val="{00000002-DA45-4E0D-8053-DE0B58495052}"/>
            </c:ext>
          </c:extLst>
        </c:ser>
        <c:ser>
          <c:idx val="3"/>
          <c:order val="3"/>
          <c:tx>
            <c:v>Gas metano consumato 2023</c:v>
          </c:tx>
          <c:spPr>
            <a:solidFill>
              <a:srgbClr val="873AC0"/>
            </a:solidFill>
            <a:ln>
              <a:solidFill>
                <a:srgbClr val="873AC0"/>
              </a:solidFill>
            </a:ln>
          </c:spPr>
          <c:invertIfNegative val="0"/>
          <c:dLbls>
            <c:dLbl>
              <c:idx val="0"/>
              <c:layout>
                <c:manualLayout>
                  <c:x val="9.5671886831877402E-17"/>
                  <c:y val="0.10185188898071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45-4E0D-8053-DE0B58495052}"/>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'EMISSIONI IN ATMOSFERA'!$B$7</c:f>
              <c:numCache>
                <c:formatCode>#,##0</c:formatCode>
                <c:ptCount val="1"/>
                <c:pt idx="0">
                  <c:v>216136</c:v>
                </c:pt>
              </c:numCache>
            </c:numRef>
          </c:val>
          <c:extLst>
            <c:ext xmlns:c16="http://schemas.microsoft.com/office/drawing/2014/chart" uri="{C3380CC4-5D6E-409C-BE32-E72D297353CC}">
              <c16:uniqueId val="{00000004-DA45-4E0D-8053-DE0B58495052}"/>
            </c:ext>
          </c:extLst>
        </c:ser>
        <c:ser>
          <c:idx val="4"/>
          <c:order val="4"/>
          <c:tx>
            <c:v>Gas metano consumato 2024</c:v>
          </c:tx>
          <c:spPr>
            <a:solidFill>
              <a:srgbClr val="FF6600"/>
            </a:solidFill>
            <a:ln>
              <a:solidFill>
                <a:srgbClr val="FF6600"/>
              </a:solidFill>
            </a:ln>
          </c:spPr>
          <c:invertIfNegative val="0"/>
          <c:dLbls>
            <c:dLbl>
              <c:idx val="0"/>
              <c:layout>
                <c:manualLayout>
                  <c:x val="0"/>
                  <c:y val="9.7560975609756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45-4E0D-8053-DE0B58495052}"/>
                </c:ext>
              </c:extLst>
            </c:dLbl>
            <c:spPr>
              <a:noFill/>
              <a:ln>
                <a:noFill/>
              </a:ln>
              <a:effectLst/>
            </c:spPr>
            <c:txPr>
              <a:bodyPr wrap="square" lIns="38100" tIns="19050" rIns="38100" bIns="19050" anchor="ctr" anchorCtr="0">
                <a:spAutoFit/>
              </a:bodyPr>
              <a:lstStyle/>
              <a:p>
                <a:pPr algn="ctr">
                  <a:defRPr lang="en-US" sz="1000" b="1" i="0" u="none" strike="noStrike" kern="1200" baseline="0">
                    <a:solidFill>
                      <a:schemeClr val="tx1"/>
                    </a:solidFill>
                    <a:latin typeface="Times New Roman" pitchFamily="18" charset="0"/>
                    <a:ea typeface="+mn-ea"/>
                    <a:cs typeface="Times New Roman" pitchFamily="18"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'EMISSIONI IN ATMOSFERA'!$B$8</c:f>
              <c:numCache>
                <c:formatCode>#,##0</c:formatCode>
                <c:ptCount val="1"/>
                <c:pt idx="0">
                  <c:v>302289</c:v>
                </c:pt>
              </c:numCache>
            </c:numRef>
          </c:val>
          <c:extLst>
            <c:ext xmlns:c16="http://schemas.microsoft.com/office/drawing/2014/chart" uri="{C3380CC4-5D6E-409C-BE32-E72D297353CC}">
              <c16:uniqueId val="{00000006-DA45-4E0D-8053-DE0B58495052}"/>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 sourceLinked="1"/>
        <c:majorTickMark val="none"/>
        <c:minorTickMark val="none"/>
        <c:tickLblPos val="nextTo"/>
        <c:crossAx val="156107264"/>
        <c:crosses val="autoZero"/>
        <c:crossBetween val="between"/>
      </c:valAx>
    </c:plotArea>
    <c:legend>
      <c:legendPos val="b"/>
      <c:layout>
        <c:manualLayout>
          <c:xMode val="edge"/>
          <c:yMode val="edge"/>
          <c:x val="0"/>
          <c:y val="0.83500448114717363"/>
          <c:w val="1"/>
          <c:h val="0.13182254657192241"/>
        </c:manualLayout>
      </c:layout>
      <c:overlay val="0"/>
      <c:txPr>
        <a:bodyPr/>
        <a:lstStyle/>
        <a:p>
          <a:pPr>
            <a:defRPr sz="900"/>
          </a:pPr>
          <a:endParaRPr lang="it-IT"/>
        </a:p>
      </c:txPr>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RUM lav [dBA/ora]</a:t>
            </a:r>
          </a:p>
        </c:rich>
      </c:tx>
      <c:overlay val="0"/>
    </c:title>
    <c:autoTitleDeleted val="0"/>
    <c:plotArea>
      <c:layout/>
      <c:barChart>
        <c:barDir val="col"/>
        <c:grouping val="clustered"/>
        <c:varyColors val="0"/>
        <c:ser>
          <c:idx val="0"/>
          <c:order val="0"/>
          <c:tx>
            <c:v>RUM lav 2018</c:v>
          </c:tx>
          <c:spPr>
            <a:solidFill>
              <a:srgbClr val="D20000"/>
            </a:solidFill>
            <a:ln>
              <a:solidFill>
                <a:srgbClr val="D20000"/>
              </a:solidFill>
            </a:ln>
          </c:spPr>
          <c:invertIfNegative val="0"/>
          <c:dLbls>
            <c:dLbl>
              <c:idx val="0"/>
              <c:layout>
                <c:manualLayout>
                  <c:x val="-3.0441400304414561E-3"/>
                  <c:y val="0.15140415140415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00-4455-9DE8-5E78D62ED628}"/>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RUMORI!$I$8</c:f>
              <c:numCache>
                <c:formatCode>#,##0.0000</c:formatCode>
                <c:ptCount val="1"/>
                <c:pt idx="0">
                  <c:v>3.8153153153153152E-2</c:v>
                </c:pt>
              </c:numCache>
            </c:numRef>
          </c:val>
          <c:extLst>
            <c:ext xmlns:c16="http://schemas.microsoft.com/office/drawing/2014/chart" uri="{C3380CC4-5D6E-409C-BE32-E72D297353CC}">
              <c16:uniqueId val="{00000000-4D93-4C72-B94D-5131A03DA92E}"/>
            </c:ext>
          </c:extLst>
        </c:ser>
        <c:ser>
          <c:idx val="1"/>
          <c:order val="1"/>
          <c:tx>
            <c:v>RUM lav 2021</c:v>
          </c:tx>
          <c:spPr>
            <a:solidFill>
              <a:srgbClr val="4472C4"/>
            </a:solidFill>
            <a:ln>
              <a:solidFill>
                <a:srgbClr val="4472C4"/>
              </a:solidFill>
            </a:ln>
          </c:spPr>
          <c:invertIfNegative val="0"/>
          <c:dLbls>
            <c:dLbl>
              <c:idx val="0"/>
              <c:layout>
                <c:manualLayout>
                  <c:x val="-5.5808589185841061E-17"/>
                  <c:y val="0.26373626373626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00-4455-9DE8-5E78D62ED628}"/>
                </c:ext>
              </c:extLst>
            </c:dLbl>
            <c:spPr>
              <a:noFill/>
              <a:ln>
                <a:noFill/>
              </a:ln>
              <a:effectLst/>
            </c:spPr>
            <c:txPr>
              <a:bodyPr wrap="square" lIns="38100" tIns="19050" rIns="38100" bIns="19050" anchor="ctr">
                <a:spAutoFit/>
              </a:bodyPr>
              <a:lstStyle/>
              <a:p>
                <a:pPr>
                  <a:defRPr sz="1100"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RUMORI!$I$9</c:f>
              <c:numCache>
                <c:formatCode>#,##0.0000</c:formatCode>
                <c:ptCount val="1"/>
                <c:pt idx="0">
                  <c:v>3.9451672862453532E-2</c:v>
                </c:pt>
              </c:numCache>
            </c:numRef>
          </c:val>
          <c:extLst>
            <c:ext xmlns:c16="http://schemas.microsoft.com/office/drawing/2014/chart" uri="{C3380CC4-5D6E-409C-BE32-E72D297353CC}">
              <c16:uniqueId val="{00000001-4D93-4C72-B94D-5131A03DA92E}"/>
            </c:ext>
          </c:extLst>
        </c:ser>
        <c:ser>
          <c:idx val="2"/>
          <c:order val="2"/>
          <c:tx>
            <c:v>RUM lav 2023</c:v>
          </c:tx>
          <c:spPr>
            <a:solidFill>
              <a:srgbClr val="70AD47"/>
            </a:solidFill>
            <a:ln>
              <a:solidFill>
                <a:srgbClr val="70AD47"/>
              </a:solidFill>
            </a:ln>
          </c:spPr>
          <c:invertIfNegative val="0"/>
          <c:dLbls>
            <c:dLbl>
              <c:idx val="0"/>
              <c:layout>
                <c:manualLayout>
                  <c:x val="3.0441400304414001E-3"/>
                  <c:y val="0.16117216117216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00-4455-9DE8-5E78D62ED628}"/>
                </c:ext>
              </c:extLst>
            </c:dLbl>
            <c:spPr>
              <a:noFill/>
              <a:ln>
                <a:noFill/>
              </a:ln>
              <a:effectLst/>
            </c:spPr>
            <c:txPr>
              <a:bodyPr wrap="square" lIns="38100" tIns="19050" rIns="38100" bIns="19050" anchor="ctr">
                <a:spAutoFit/>
              </a:bodyPr>
              <a:lstStyle/>
              <a:p>
                <a:pPr>
                  <a:defRPr sz="1100" b="1" i="0"/>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kWh consumati</c:v>
              </c:pt>
            </c:strLit>
          </c:cat>
          <c:val>
            <c:numRef>
              <c:f>RUMORI!$I$10</c:f>
              <c:numCache>
                <c:formatCode>#,##0.0000</c:formatCode>
                <c:ptCount val="1"/>
                <c:pt idx="0">
                  <c:v>3.7047101449275359E-2</c:v>
                </c:pt>
              </c:numCache>
            </c:numRef>
          </c:val>
          <c:extLst>
            <c:ext xmlns:c16="http://schemas.microsoft.com/office/drawing/2014/chart" uri="{C3380CC4-5D6E-409C-BE32-E72D297353CC}">
              <c16:uniqueId val="{00000002-4D93-4C72-B94D-5131A03DA92E}"/>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00" sourceLinked="1"/>
        <c:majorTickMark val="none"/>
        <c:minorTickMark val="none"/>
        <c:tickLblPos val="nextTo"/>
        <c:crossAx val="156107264"/>
        <c:crosses val="autoZero"/>
        <c:crossBetween val="between"/>
      </c:valAx>
    </c:plotArea>
    <c:legend>
      <c:legendPos val="b"/>
      <c:layout>
        <c:manualLayout>
          <c:xMode val="edge"/>
          <c:yMode val="edge"/>
          <c:x val="0.16571890842411821"/>
          <c:y val="0.87557298832069785"/>
          <c:w val="0.76676685962199931"/>
          <c:h val="8.2853104900349001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Rifiuti prodotti</a:t>
            </a:r>
            <a:r>
              <a:rPr lang="it-IT" baseline="0"/>
              <a:t> </a:t>
            </a:r>
            <a:r>
              <a:rPr lang="it-IT"/>
              <a:t>[kg]</a:t>
            </a:r>
          </a:p>
        </c:rich>
      </c:tx>
      <c:overlay val="0"/>
    </c:title>
    <c:autoTitleDeleted val="0"/>
    <c:plotArea>
      <c:layout/>
      <c:barChart>
        <c:barDir val="col"/>
        <c:grouping val="clustered"/>
        <c:varyColors val="0"/>
        <c:ser>
          <c:idx val="0"/>
          <c:order val="0"/>
          <c:tx>
            <c:v>Rifiuti 2020</c:v>
          </c:tx>
          <c:spPr>
            <a:solidFill>
              <a:srgbClr val="D20000"/>
            </a:solidFill>
            <a:ln>
              <a:solidFill>
                <a:srgbClr val="D20000"/>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RIFIUTI!$B$4</c:f>
              <c:numCache>
                <c:formatCode>#,##0.00</c:formatCode>
                <c:ptCount val="1"/>
                <c:pt idx="0">
                  <c:v>197231.21</c:v>
                </c:pt>
              </c:numCache>
            </c:numRef>
          </c:val>
          <c:extLst>
            <c:ext xmlns:c16="http://schemas.microsoft.com/office/drawing/2014/chart" uri="{C3380CC4-5D6E-409C-BE32-E72D297353CC}">
              <c16:uniqueId val="{00000000-47EC-4D1C-A544-6DCDDD20D42E}"/>
            </c:ext>
          </c:extLst>
        </c:ser>
        <c:ser>
          <c:idx val="1"/>
          <c:order val="1"/>
          <c:tx>
            <c:v>Rifiuti 2021</c:v>
          </c:tx>
          <c:spPr>
            <a:solidFill>
              <a:srgbClr val="4472C4"/>
            </a:solidFill>
            <a:ln>
              <a:solidFill>
                <a:srgbClr val="4472C4"/>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RIFIUTI!$B$5</c:f>
              <c:numCache>
                <c:formatCode>#,##0.00</c:formatCode>
                <c:ptCount val="1"/>
                <c:pt idx="0">
                  <c:v>69022.73</c:v>
                </c:pt>
              </c:numCache>
            </c:numRef>
          </c:val>
          <c:extLst>
            <c:ext xmlns:c16="http://schemas.microsoft.com/office/drawing/2014/chart" uri="{C3380CC4-5D6E-409C-BE32-E72D297353CC}">
              <c16:uniqueId val="{00000001-47EC-4D1C-A544-6DCDDD20D42E}"/>
            </c:ext>
          </c:extLst>
        </c:ser>
        <c:ser>
          <c:idx val="2"/>
          <c:order val="2"/>
          <c:tx>
            <c:v>Rifiuti 2022</c:v>
          </c:tx>
          <c:spPr>
            <a:solidFill>
              <a:srgbClr val="70AD47"/>
            </a:solidFill>
            <a:ln>
              <a:solidFill>
                <a:srgbClr val="70AD47"/>
              </a:solidFill>
            </a:ln>
          </c:spPr>
          <c:invertIfNegative val="0"/>
          <c:dLbls>
            <c:spPr>
              <a:noFill/>
              <a:ln>
                <a:noFill/>
              </a:ln>
              <a:effectLst/>
            </c:spPr>
            <c:txPr>
              <a:bodyPr wrap="square" lIns="38100" tIns="19050" rIns="38100" bIns="19050" anchor="ctr">
                <a:spAutoFit/>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RIFIUTI!$B$6</c:f>
              <c:numCache>
                <c:formatCode>#,##0.00</c:formatCode>
                <c:ptCount val="1"/>
                <c:pt idx="0">
                  <c:v>32516.18</c:v>
                </c:pt>
              </c:numCache>
            </c:numRef>
          </c:val>
          <c:extLst>
            <c:ext xmlns:c16="http://schemas.microsoft.com/office/drawing/2014/chart" uri="{C3380CC4-5D6E-409C-BE32-E72D297353CC}">
              <c16:uniqueId val="{00000002-47EC-4D1C-A544-6DCDDD20D42E}"/>
            </c:ext>
          </c:extLst>
        </c:ser>
        <c:ser>
          <c:idx val="3"/>
          <c:order val="3"/>
          <c:tx>
            <c:v>Rifiuti 2023</c:v>
          </c:tx>
          <c:spPr>
            <a:solidFill>
              <a:srgbClr val="873AC0"/>
            </a:solidFill>
            <a:ln>
              <a:solidFill>
                <a:srgbClr val="873AC0"/>
              </a:solidFill>
            </a:ln>
          </c:spPr>
          <c:invertIfNegative val="0"/>
          <c:dLbls>
            <c:dLbl>
              <c:idx val="0"/>
              <c:layout>
                <c:manualLayout>
                  <c:x val="-8.9703364301784975E-17"/>
                  <c:y val="9.25926263461017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A6-44D2-8D8C-63AB5289D0F6}"/>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RIFIUTI!$B$7</c:f>
              <c:numCache>
                <c:formatCode>#,##0.00</c:formatCode>
                <c:ptCount val="1"/>
                <c:pt idx="0">
                  <c:v>710.86</c:v>
                </c:pt>
              </c:numCache>
            </c:numRef>
          </c:val>
          <c:extLst>
            <c:ext xmlns:c16="http://schemas.microsoft.com/office/drawing/2014/chart" uri="{C3380CC4-5D6E-409C-BE32-E72D297353CC}">
              <c16:uniqueId val="{00000000-8FA6-44D2-8D8C-63AB5289D0F6}"/>
            </c:ext>
          </c:extLst>
        </c:ser>
        <c:ser>
          <c:idx val="4"/>
          <c:order val="4"/>
          <c:tx>
            <c:v>Rifiuti 2024</c:v>
          </c:tx>
          <c:spPr>
            <a:solidFill>
              <a:srgbClr val="FF6600"/>
            </a:solidFill>
            <a:ln>
              <a:solidFill>
                <a:srgbClr val="FF66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RIFIUTI!$B$8</c:f>
              <c:numCache>
                <c:formatCode>#,##0.00</c:formatCode>
                <c:ptCount val="1"/>
                <c:pt idx="0">
                  <c:v>1714.91</c:v>
                </c:pt>
              </c:numCache>
            </c:numRef>
          </c:val>
          <c:extLst>
            <c:ext xmlns:c16="http://schemas.microsoft.com/office/drawing/2014/chart" uri="{C3380CC4-5D6E-409C-BE32-E72D297353CC}">
              <c16:uniqueId val="{00000000-450E-4D22-A485-84C9A32AB24D}"/>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 sourceLinked="1"/>
        <c:majorTickMark val="none"/>
        <c:minorTickMark val="none"/>
        <c:tickLblPos val="nextTo"/>
        <c:crossAx val="156107264"/>
        <c:crosses val="autoZero"/>
        <c:crossBetween val="between"/>
      </c:valAx>
    </c:plotArea>
    <c:legend>
      <c:legendPos val="b"/>
      <c:layout>
        <c:manualLayout>
          <c:xMode val="edge"/>
          <c:yMode val="edge"/>
          <c:x val="0.12974781569463567"/>
          <c:y val="0.87791334132157384"/>
          <c:w val="0.85999987671263489"/>
          <c:h val="7.8537867650141313E-2"/>
        </c:manualLayout>
      </c:layout>
      <c:overlay val="0"/>
    </c:legend>
    <c:plotVisOnly val="1"/>
    <c:dispBlanksAs val="gap"/>
    <c:showDLblsOverMax val="0"/>
  </c:chart>
  <c:txPr>
    <a:bodyPr/>
    <a:lstStyle/>
    <a:p>
      <a:pPr>
        <a:defRPr>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26"/>
    </mc:Choice>
    <mc:Fallback>
      <c:style val="26"/>
    </mc:Fallback>
  </mc:AlternateContent>
  <c:clrMapOvr bg1="lt1" tx1="dk1" bg2="lt2" tx2="dk2" accent1="accent1" accent2="accent2" accent3="accent3" accent4="accent4" accent5="accent5" accent6="accent6" hlink="hlink" folHlink="folHlink"/>
  <c:chart>
    <c:title>
      <c:tx>
        <c:rich>
          <a:bodyPr/>
          <a:lstStyle/>
          <a:p>
            <a:pPr>
              <a:defRPr/>
            </a:pPr>
            <a:r>
              <a:rPr lang="it-IT"/>
              <a:t>Indicatore RIF [kg/ton]</a:t>
            </a:r>
          </a:p>
        </c:rich>
      </c:tx>
      <c:overlay val="0"/>
    </c:title>
    <c:autoTitleDeleted val="0"/>
    <c:plotArea>
      <c:layout/>
      <c:barChart>
        <c:barDir val="col"/>
        <c:grouping val="clustered"/>
        <c:varyColors val="0"/>
        <c:ser>
          <c:idx val="0"/>
          <c:order val="0"/>
          <c:tx>
            <c:v>RIF 2020</c:v>
          </c:tx>
          <c:spPr>
            <a:solidFill>
              <a:srgbClr val="D20000"/>
            </a:solidFill>
            <a:ln>
              <a:solidFill>
                <a:srgbClr val="D20000"/>
              </a:solidFill>
            </a:ln>
          </c:spPr>
          <c:invertIfNegative val="0"/>
          <c:dLbls>
            <c:spPr>
              <a:noFill/>
              <a:ln>
                <a:noFill/>
              </a:ln>
              <a:effectLst/>
            </c:spPr>
            <c:txPr>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RIFIUTI!$D$20</c:f>
              <c:numCache>
                <c:formatCode>#,##0.00</c:formatCode>
                <c:ptCount val="1"/>
                <c:pt idx="0">
                  <c:v>7.4793784603716338</c:v>
                </c:pt>
              </c:numCache>
            </c:numRef>
          </c:val>
          <c:extLst>
            <c:ext xmlns:c16="http://schemas.microsoft.com/office/drawing/2014/chart" uri="{C3380CC4-5D6E-409C-BE32-E72D297353CC}">
              <c16:uniqueId val="{00000000-FE28-46C7-91FF-8527CBFFDAD7}"/>
            </c:ext>
          </c:extLst>
        </c:ser>
        <c:ser>
          <c:idx val="1"/>
          <c:order val="1"/>
          <c:tx>
            <c:v>RIF 2021</c:v>
          </c:tx>
          <c:spPr>
            <a:solidFill>
              <a:srgbClr val="4472C4"/>
            </a:solidFill>
            <a:ln>
              <a:solidFill>
                <a:srgbClr val="4472C4"/>
              </a:solidFill>
            </a:ln>
          </c:spPr>
          <c:invertIfNegative val="0"/>
          <c:dLbls>
            <c:spPr>
              <a:noFill/>
              <a:ln>
                <a:noFill/>
              </a:ln>
              <a:effectLst/>
            </c:spPr>
            <c:txPr>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RIFIUTI!$D$21</c:f>
              <c:numCache>
                <c:formatCode>#,##0.00</c:formatCode>
                <c:ptCount val="1"/>
                <c:pt idx="0">
                  <c:v>1.716257552776189</c:v>
                </c:pt>
              </c:numCache>
            </c:numRef>
          </c:val>
          <c:extLst>
            <c:ext xmlns:c16="http://schemas.microsoft.com/office/drawing/2014/chart" uri="{C3380CC4-5D6E-409C-BE32-E72D297353CC}">
              <c16:uniqueId val="{00000001-FE28-46C7-91FF-8527CBFFDAD7}"/>
            </c:ext>
          </c:extLst>
        </c:ser>
        <c:ser>
          <c:idx val="2"/>
          <c:order val="2"/>
          <c:tx>
            <c:v>RIF 2022</c:v>
          </c:tx>
          <c:spPr>
            <a:solidFill>
              <a:srgbClr val="70AD47"/>
            </a:solidFill>
            <a:ln>
              <a:solidFill>
                <a:srgbClr val="70AD47"/>
              </a:solidFill>
            </a:ln>
          </c:spPr>
          <c:invertIfNegative val="0"/>
          <c:dLbls>
            <c:spPr>
              <a:noFill/>
              <a:ln>
                <a:noFill/>
              </a:ln>
              <a:effectLst/>
            </c:spPr>
            <c:txPr>
              <a:bodyPr/>
              <a:lstStyle/>
              <a:p>
                <a:pPr>
                  <a:defRPr b="1"/>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RIFIUTI!$D$22</c:f>
              <c:numCache>
                <c:formatCode>#,##0.00</c:formatCode>
                <c:ptCount val="1"/>
                <c:pt idx="0">
                  <c:v>2.5233726524910756</c:v>
                </c:pt>
              </c:numCache>
            </c:numRef>
          </c:val>
          <c:extLst>
            <c:ext xmlns:c16="http://schemas.microsoft.com/office/drawing/2014/chart" uri="{C3380CC4-5D6E-409C-BE32-E72D297353CC}">
              <c16:uniqueId val="{00000002-FE28-46C7-91FF-8527CBFFDAD7}"/>
            </c:ext>
          </c:extLst>
        </c:ser>
        <c:ser>
          <c:idx val="3"/>
          <c:order val="3"/>
          <c:tx>
            <c:v>RIF 2023</c:v>
          </c:tx>
          <c:spPr>
            <a:solidFill>
              <a:srgbClr val="873AC0"/>
            </a:solidFill>
            <a:ln>
              <a:solidFill>
                <a:srgbClr val="873AC0"/>
              </a:solidFill>
            </a:ln>
          </c:spPr>
          <c:invertIfNegative val="0"/>
          <c:dLbls>
            <c:dLbl>
              <c:idx val="0"/>
              <c:layout>
                <c:manualLayout>
                  <c:x val="-3.4013605442176869E-3"/>
                  <c:y val="1.49253731343282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2E-4BAE-B76B-FFE677C5318B}"/>
                </c:ext>
              </c:extLst>
            </c:dLbl>
            <c:spPr>
              <a:noFill/>
              <a:ln>
                <a:noFill/>
              </a:ln>
              <a:effectLst/>
            </c:spPr>
            <c:txPr>
              <a:bodyPr wrap="square" lIns="38100" tIns="19050" rIns="38100" bIns="19050" anchor="ctr">
                <a:spAutoFit/>
              </a:bodyPr>
              <a:lstStyle/>
              <a:p>
                <a:pPr>
                  <a:defRPr b="1"/>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RIFIUTI!$D$23</c:f>
              <c:numCache>
                <c:formatCode>#,##0.00</c:formatCode>
                <c:ptCount val="1"/>
                <c:pt idx="0">
                  <c:v>8.5852657004830926E-2</c:v>
                </c:pt>
              </c:numCache>
            </c:numRef>
          </c:val>
          <c:extLst>
            <c:ext xmlns:c16="http://schemas.microsoft.com/office/drawing/2014/chart" uri="{C3380CC4-5D6E-409C-BE32-E72D297353CC}">
              <c16:uniqueId val="{00000000-5F2E-4BAE-B76B-FFE677C5318B}"/>
            </c:ext>
          </c:extLst>
        </c:ser>
        <c:ser>
          <c:idx val="4"/>
          <c:order val="4"/>
          <c:tx>
            <c:v>RIF 2024</c:v>
          </c:tx>
          <c:spPr>
            <a:solidFill>
              <a:srgbClr val="FF6600"/>
            </a:solidFill>
            <a:ln>
              <a:solidFill>
                <a:srgbClr val="FF66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RIFIUTI!$D$24</c:f>
              <c:numCache>
                <c:formatCode>#,##0.00</c:formatCode>
                <c:ptCount val="1"/>
                <c:pt idx="0">
                  <c:v>0.1028000239779403</c:v>
                </c:pt>
              </c:numCache>
            </c:numRef>
          </c:val>
          <c:extLst>
            <c:ext xmlns:c16="http://schemas.microsoft.com/office/drawing/2014/chart" uri="{C3380CC4-5D6E-409C-BE32-E72D297353CC}">
              <c16:uniqueId val="{00000000-45C4-4A39-BD94-27570FF7C4EA}"/>
            </c:ext>
          </c:extLst>
        </c:ser>
        <c:dLbls>
          <c:showLegendKey val="0"/>
          <c:showVal val="1"/>
          <c:showCatName val="0"/>
          <c:showSerName val="0"/>
          <c:showPercent val="0"/>
          <c:showBubbleSize val="0"/>
        </c:dLbls>
        <c:gapWidth val="75"/>
        <c:overlap val="-25"/>
        <c:axId val="156107264"/>
        <c:axId val="133296640"/>
      </c:barChart>
      <c:catAx>
        <c:axId val="156107264"/>
        <c:scaling>
          <c:orientation val="minMax"/>
        </c:scaling>
        <c:delete val="1"/>
        <c:axPos val="b"/>
        <c:numFmt formatCode="General" sourceLinked="0"/>
        <c:majorTickMark val="none"/>
        <c:minorTickMark val="none"/>
        <c:tickLblPos val="none"/>
        <c:crossAx val="133296640"/>
        <c:crosses val="autoZero"/>
        <c:auto val="1"/>
        <c:lblAlgn val="ctr"/>
        <c:lblOffset val="100"/>
        <c:noMultiLvlLbl val="0"/>
      </c:catAx>
      <c:valAx>
        <c:axId val="133296640"/>
        <c:scaling>
          <c:orientation val="minMax"/>
        </c:scaling>
        <c:delete val="0"/>
        <c:axPos val="l"/>
        <c:majorGridlines/>
        <c:numFmt formatCode="#,##0.00" sourceLinked="1"/>
        <c:majorTickMark val="none"/>
        <c:minorTickMark val="none"/>
        <c:tickLblPos val="nextTo"/>
        <c:crossAx val="156107264"/>
        <c:crosses val="autoZero"/>
        <c:crossBetween val="between"/>
      </c:valAx>
    </c:plotArea>
    <c:legend>
      <c:legendPos val="b"/>
      <c:layout>
        <c:manualLayout>
          <c:xMode val="edge"/>
          <c:yMode val="edge"/>
          <c:x val="8.015827869425067E-2"/>
          <c:y val="0.87528866850121245"/>
          <c:w val="0.8843537618634173"/>
          <c:h val="7.8266081791679154E-2"/>
        </c:manualLayout>
      </c:layout>
      <c:overlay val="0"/>
    </c:legend>
    <c:plotVisOnly val="1"/>
    <c:dispBlanksAs val="gap"/>
    <c:showDLblsOverMax val="0"/>
  </c:chart>
  <c:txPr>
    <a:bodyPr/>
    <a:lstStyle/>
    <a:p>
      <a:pPr>
        <a:defRPr>
          <a:solidFill>
            <a:sysClr val="windowText" lastClr="000000"/>
          </a:solidFill>
          <a:latin typeface="Times New Roman" pitchFamily="18" charset="0"/>
          <a:cs typeface="Times New Roman" pitchFamily="18" charset="0"/>
        </a:defRPr>
      </a:pPr>
      <a:endParaRPr lang="it-IT"/>
    </a:p>
  </c:txPr>
  <c:printSettings>
    <c:headerFooter/>
    <c:pageMargins b="0.750000000000001" l="0.70000000000000062" r="0.70000000000000062" t="0.750000000000001"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7</xdr:col>
      <xdr:colOff>238125</xdr:colOff>
      <xdr:row>38</xdr:row>
      <xdr:rowOff>171450</xdr:rowOff>
    </xdr:from>
    <xdr:to>
      <xdr:col>16</xdr:col>
      <xdr:colOff>114300</xdr:colOff>
      <xdr:row>50</xdr:row>
      <xdr:rowOff>114300</xdr:rowOff>
    </xdr:to>
    <xdr:graphicFrame macro="">
      <xdr:nvGraphicFramePr>
        <xdr:cNvPr id="7" name="Grafico 6">
          <a:extLst>
            <a:ext uri="{FF2B5EF4-FFF2-40B4-BE49-F238E27FC236}">
              <a16:creationId xmlns:a16="http://schemas.microsoft.com/office/drawing/2014/main" id="{7C8924B7-3466-4FEE-831A-EAFD4CD7C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55</xdr:row>
      <xdr:rowOff>47625</xdr:rowOff>
    </xdr:from>
    <xdr:to>
      <xdr:col>16</xdr:col>
      <xdr:colOff>133350</xdr:colOff>
      <xdr:row>67</xdr:row>
      <xdr:rowOff>123825</xdr:rowOff>
    </xdr:to>
    <xdr:graphicFrame macro="">
      <xdr:nvGraphicFramePr>
        <xdr:cNvPr id="2" name="Grafico 1">
          <a:extLst>
            <a:ext uri="{FF2B5EF4-FFF2-40B4-BE49-F238E27FC236}">
              <a16:creationId xmlns:a16="http://schemas.microsoft.com/office/drawing/2014/main" id="{057F610E-20DE-4F44-8346-C1329E206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619125</xdr:colOff>
      <xdr:row>1</xdr:row>
      <xdr:rowOff>26458</xdr:rowOff>
    </xdr:from>
    <xdr:to>
      <xdr:col>10</xdr:col>
      <xdr:colOff>276225</xdr:colOff>
      <xdr:row>14</xdr:row>
      <xdr:rowOff>38100</xdr:rowOff>
    </xdr:to>
    <xdr:graphicFrame macro="">
      <xdr:nvGraphicFramePr>
        <xdr:cNvPr id="5" name="Grafico 4">
          <a:extLst>
            <a:ext uri="{FF2B5EF4-FFF2-40B4-BE49-F238E27FC236}">
              <a16:creationId xmlns:a16="http://schemas.microsoft.com/office/drawing/2014/main" id="{EB0E293D-1C8E-4E22-BAE5-837948430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488951</xdr:colOff>
      <xdr:row>1</xdr:row>
      <xdr:rowOff>51860</xdr:rowOff>
    </xdr:from>
    <xdr:to>
      <xdr:col>18</xdr:col>
      <xdr:colOff>542925</xdr:colOff>
      <xdr:row>14</xdr:row>
      <xdr:rowOff>38101</xdr:rowOff>
    </xdr:to>
    <xdr:graphicFrame macro="">
      <xdr:nvGraphicFramePr>
        <xdr:cNvPr id="6" name="Grafico 5">
          <a:extLst>
            <a:ext uri="{FF2B5EF4-FFF2-40B4-BE49-F238E27FC236}">
              <a16:creationId xmlns:a16="http://schemas.microsoft.com/office/drawing/2014/main" id="{600C95BA-0F6B-4686-8F60-6F8E6DAAC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19050</xdr:colOff>
      <xdr:row>0</xdr:row>
      <xdr:rowOff>66675</xdr:rowOff>
    </xdr:from>
    <xdr:to>
      <xdr:col>31</xdr:col>
      <xdr:colOff>295275</xdr:colOff>
      <xdr:row>15</xdr:row>
      <xdr:rowOff>66676</xdr:rowOff>
    </xdr:to>
    <xdr:graphicFrame macro="">
      <xdr:nvGraphicFramePr>
        <xdr:cNvPr id="9" name="Grafico 8">
          <a:extLst>
            <a:ext uri="{FF2B5EF4-FFF2-40B4-BE49-F238E27FC236}">
              <a16:creationId xmlns:a16="http://schemas.microsoft.com/office/drawing/2014/main" id="{E98981D3-C0BF-4A16-94A5-73FABEAD7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14</xdr:row>
      <xdr:rowOff>292100</xdr:rowOff>
    </xdr:from>
    <xdr:to>
      <xdr:col>10</xdr:col>
      <xdr:colOff>295275</xdr:colOff>
      <xdr:row>29</xdr:row>
      <xdr:rowOff>19050</xdr:rowOff>
    </xdr:to>
    <xdr:graphicFrame macro="">
      <xdr:nvGraphicFramePr>
        <xdr:cNvPr id="10" name="Grafico 9">
          <a:extLst>
            <a:ext uri="{FF2B5EF4-FFF2-40B4-BE49-F238E27FC236}">
              <a16:creationId xmlns:a16="http://schemas.microsoft.com/office/drawing/2014/main" id="{FAD9CF75-6924-438B-8A9E-042811B3B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549274</xdr:colOff>
      <xdr:row>14</xdr:row>
      <xdr:rowOff>297394</xdr:rowOff>
    </xdr:from>
    <xdr:to>
      <xdr:col>18</xdr:col>
      <xdr:colOff>590549</xdr:colOff>
      <xdr:row>29</xdr:row>
      <xdr:rowOff>28575</xdr:rowOff>
    </xdr:to>
    <xdr:graphicFrame macro="">
      <xdr:nvGraphicFramePr>
        <xdr:cNvPr id="11" name="Grafico 10">
          <a:extLst>
            <a:ext uri="{FF2B5EF4-FFF2-40B4-BE49-F238E27FC236}">
              <a16:creationId xmlns:a16="http://schemas.microsoft.com/office/drawing/2014/main" id="{ED8AD21F-DD97-43F5-AA09-31E4DACE0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1059</xdr:colOff>
      <xdr:row>15</xdr:row>
      <xdr:rowOff>123825</xdr:rowOff>
    </xdr:from>
    <xdr:to>
      <xdr:col>31</xdr:col>
      <xdr:colOff>295275</xdr:colOff>
      <xdr:row>32</xdr:row>
      <xdr:rowOff>104775</xdr:rowOff>
    </xdr:to>
    <xdr:graphicFrame macro="">
      <xdr:nvGraphicFramePr>
        <xdr:cNvPr id="12" name="Grafico 11">
          <a:extLst>
            <a:ext uri="{FF2B5EF4-FFF2-40B4-BE49-F238E27FC236}">
              <a16:creationId xmlns:a16="http://schemas.microsoft.com/office/drawing/2014/main" id="{5FEA2152-2A72-4BAA-ADB1-9127EC155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333376</xdr:colOff>
      <xdr:row>0</xdr:row>
      <xdr:rowOff>161925</xdr:rowOff>
    </xdr:from>
    <xdr:to>
      <xdr:col>10</xdr:col>
      <xdr:colOff>352425</xdr:colOff>
      <xdr:row>12</xdr:row>
      <xdr:rowOff>123824</xdr:rowOff>
    </xdr:to>
    <xdr:graphicFrame macro="">
      <xdr:nvGraphicFramePr>
        <xdr:cNvPr id="2" name="Grafico 1">
          <a:extLst>
            <a:ext uri="{FF2B5EF4-FFF2-40B4-BE49-F238E27FC236}">
              <a16:creationId xmlns:a16="http://schemas.microsoft.com/office/drawing/2014/main" id="{91989F59-B43B-43F8-AC3E-8344551DD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304801</xdr:colOff>
      <xdr:row>15</xdr:row>
      <xdr:rowOff>28575</xdr:rowOff>
    </xdr:from>
    <xdr:to>
      <xdr:col>10</xdr:col>
      <xdr:colOff>400050</xdr:colOff>
      <xdr:row>29</xdr:row>
      <xdr:rowOff>152400</xdr:rowOff>
    </xdr:to>
    <xdr:graphicFrame macro="">
      <xdr:nvGraphicFramePr>
        <xdr:cNvPr id="3" name="Grafico 2">
          <a:extLst>
            <a:ext uri="{FF2B5EF4-FFF2-40B4-BE49-F238E27FC236}">
              <a16:creationId xmlns:a16="http://schemas.microsoft.com/office/drawing/2014/main" id="{4D942C8B-0421-4DCC-8F2F-39F78A908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561975</xdr:colOff>
      <xdr:row>37</xdr:row>
      <xdr:rowOff>180976</xdr:rowOff>
    </xdr:from>
    <xdr:to>
      <xdr:col>16</xdr:col>
      <xdr:colOff>314325</xdr:colOff>
      <xdr:row>50</xdr:row>
      <xdr:rowOff>57150</xdr:rowOff>
    </xdr:to>
    <xdr:graphicFrame macro="">
      <xdr:nvGraphicFramePr>
        <xdr:cNvPr id="4" name="Grafico 3">
          <a:extLst>
            <a:ext uri="{FF2B5EF4-FFF2-40B4-BE49-F238E27FC236}">
              <a16:creationId xmlns:a16="http://schemas.microsoft.com/office/drawing/2014/main" id="{FE96F5CA-0FE9-48C0-9551-59588E8FC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600075</xdr:colOff>
      <xdr:row>0</xdr:row>
      <xdr:rowOff>161925</xdr:rowOff>
    </xdr:from>
    <xdr:to>
      <xdr:col>18</xdr:col>
      <xdr:colOff>590549</xdr:colOff>
      <xdr:row>12</xdr:row>
      <xdr:rowOff>123824</xdr:rowOff>
    </xdr:to>
    <xdr:graphicFrame macro="">
      <xdr:nvGraphicFramePr>
        <xdr:cNvPr id="5" name="Grafico 4">
          <a:extLst>
            <a:ext uri="{FF2B5EF4-FFF2-40B4-BE49-F238E27FC236}">
              <a16:creationId xmlns:a16="http://schemas.microsoft.com/office/drawing/2014/main" id="{70B0FE59-13C8-446F-96C5-8E24B1734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266698</xdr:colOff>
      <xdr:row>0</xdr:row>
      <xdr:rowOff>57150</xdr:rowOff>
    </xdr:from>
    <xdr:to>
      <xdr:col>31</xdr:col>
      <xdr:colOff>400050</xdr:colOff>
      <xdr:row>14</xdr:row>
      <xdr:rowOff>0</xdr:rowOff>
    </xdr:to>
    <xdr:graphicFrame macro="">
      <xdr:nvGraphicFramePr>
        <xdr:cNvPr id="6" name="Grafico 5">
          <a:extLst>
            <a:ext uri="{FF2B5EF4-FFF2-40B4-BE49-F238E27FC236}">
              <a16:creationId xmlns:a16="http://schemas.microsoft.com/office/drawing/2014/main" id="{952F6B8D-FE97-4C82-B19F-EBBD41ADE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600075</xdr:colOff>
      <xdr:row>15</xdr:row>
      <xdr:rowOff>19050</xdr:rowOff>
    </xdr:from>
    <xdr:to>
      <xdr:col>18</xdr:col>
      <xdr:colOff>523875</xdr:colOff>
      <xdr:row>29</xdr:row>
      <xdr:rowOff>152400</xdr:rowOff>
    </xdr:to>
    <xdr:graphicFrame macro="">
      <xdr:nvGraphicFramePr>
        <xdr:cNvPr id="7" name="Grafico 6">
          <a:extLst>
            <a:ext uri="{FF2B5EF4-FFF2-40B4-BE49-F238E27FC236}">
              <a16:creationId xmlns:a16="http://schemas.microsoft.com/office/drawing/2014/main" id="{7C28E671-9FEB-4208-8F05-BB3BA759D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238124</xdr:colOff>
      <xdr:row>15</xdr:row>
      <xdr:rowOff>9525</xdr:rowOff>
    </xdr:from>
    <xdr:to>
      <xdr:col>31</xdr:col>
      <xdr:colOff>476250</xdr:colOff>
      <xdr:row>30</xdr:row>
      <xdr:rowOff>19050</xdr:rowOff>
    </xdr:to>
    <xdr:graphicFrame macro="">
      <xdr:nvGraphicFramePr>
        <xdr:cNvPr id="8" name="Grafico 7">
          <a:extLst>
            <a:ext uri="{FF2B5EF4-FFF2-40B4-BE49-F238E27FC236}">
              <a16:creationId xmlns:a16="http://schemas.microsoft.com/office/drawing/2014/main" id="{870EA022-7699-416F-9E9A-93F8369C3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247650</xdr:colOff>
      <xdr:row>0</xdr:row>
      <xdr:rowOff>85726</xdr:rowOff>
    </xdr:from>
    <xdr:to>
      <xdr:col>25</xdr:col>
      <xdr:colOff>66675</xdr:colOff>
      <xdr:row>13</xdr:row>
      <xdr:rowOff>76200</xdr:rowOff>
    </xdr:to>
    <xdr:graphicFrame macro="">
      <xdr:nvGraphicFramePr>
        <xdr:cNvPr id="2" name="Grafico 1">
          <a:extLst>
            <a:ext uri="{FF2B5EF4-FFF2-40B4-BE49-F238E27FC236}">
              <a16:creationId xmlns:a16="http://schemas.microsoft.com/office/drawing/2014/main" id="{41DCAD87-19FE-45D2-8EE4-0FF9F4B06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14</xdr:row>
      <xdr:rowOff>180975</xdr:rowOff>
    </xdr:from>
    <xdr:to>
      <xdr:col>14</xdr:col>
      <xdr:colOff>428625</xdr:colOff>
      <xdr:row>28</xdr:row>
      <xdr:rowOff>114300</xdr:rowOff>
    </xdr:to>
    <xdr:graphicFrame macro="">
      <xdr:nvGraphicFramePr>
        <xdr:cNvPr id="4" name="Grafico 3">
          <a:extLst>
            <a:ext uri="{FF2B5EF4-FFF2-40B4-BE49-F238E27FC236}">
              <a16:creationId xmlns:a16="http://schemas.microsoft.com/office/drawing/2014/main" id="{DEC62C4F-07D4-44E5-A1A4-2300DD1F9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466725</xdr:colOff>
      <xdr:row>0</xdr:row>
      <xdr:rowOff>104775</xdr:rowOff>
    </xdr:from>
    <xdr:to>
      <xdr:col>7</xdr:col>
      <xdr:colOff>152400</xdr:colOff>
      <xdr:row>10</xdr:row>
      <xdr:rowOff>57150</xdr:rowOff>
    </xdr:to>
    <xdr:graphicFrame macro="">
      <xdr:nvGraphicFramePr>
        <xdr:cNvPr id="3" name="Grafico 2">
          <a:extLst>
            <a:ext uri="{FF2B5EF4-FFF2-40B4-BE49-F238E27FC236}">
              <a16:creationId xmlns:a16="http://schemas.microsoft.com/office/drawing/2014/main" id="{55469372-A2CC-4BDE-B388-16123ACC0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0</xdr:row>
      <xdr:rowOff>114300</xdr:rowOff>
    </xdr:from>
    <xdr:to>
      <xdr:col>14</xdr:col>
      <xdr:colOff>85725</xdr:colOff>
      <xdr:row>10</xdr:row>
      <xdr:rowOff>66675</xdr:rowOff>
    </xdr:to>
    <xdr:graphicFrame macro="">
      <xdr:nvGraphicFramePr>
        <xdr:cNvPr id="5" name="Grafico 4">
          <a:extLst>
            <a:ext uri="{FF2B5EF4-FFF2-40B4-BE49-F238E27FC236}">
              <a16:creationId xmlns:a16="http://schemas.microsoft.com/office/drawing/2014/main" id="{FC96E394-3F80-422E-9076-D29D0046E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523876</xdr:colOff>
      <xdr:row>0</xdr:row>
      <xdr:rowOff>247651</xdr:rowOff>
    </xdr:from>
    <xdr:to>
      <xdr:col>8</xdr:col>
      <xdr:colOff>371474</xdr:colOff>
      <xdr:row>12</xdr:row>
      <xdr:rowOff>0</xdr:rowOff>
    </xdr:to>
    <xdr:graphicFrame macro="">
      <xdr:nvGraphicFramePr>
        <xdr:cNvPr id="2" name="Grafico 1">
          <a:extLst>
            <a:ext uri="{FF2B5EF4-FFF2-40B4-BE49-F238E27FC236}">
              <a16:creationId xmlns:a16="http://schemas.microsoft.com/office/drawing/2014/main" id="{92394787-3B73-4547-A3E3-01A8094DE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200025</xdr:colOff>
      <xdr:row>13</xdr:row>
      <xdr:rowOff>76200</xdr:rowOff>
    </xdr:from>
    <xdr:to>
      <xdr:col>14</xdr:col>
      <xdr:colOff>352425</xdr:colOff>
      <xdr:row>27</xdr:row>
      <xdr:rowOff>47625</xdr:rowOff>
    </xdr:to>
    <xdr:graphicFrame macro="">
      <xdr:nvGraphicFramePr>
        <xdr:cNvPr id="4" name="Grafico 3">
          <a:extLst>
            <a:ext uri="{FF2B5EF4-FFF2-40B4-BE49-F238E27FC236}">
              <a16:creationId xmlns:a16="http://schemas.microsoft.com/office/drawing/2014/main" id="{C0883B2A-9E26-45A4-B6F7-1E494329B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180976</xdr:colOff>
      <xdr:row>29</xdr:row>
      <xdr:rowOff>19050</xdr:rowOff>
    </xdr:from>
    <xdr:to>
      <xdr:col>12</xdr:col>
      <xdr:colOff>66676</xdr:colOff>
      <xdr:row>41</xdr:row>
      <xdr:rowOff>38100</xdr:rowOff>
    </xdr:to>
    <xdr:graphicFrame macro="">
      <xdr:nvGraphicFramePr>
        <xdr:cNvPr id="5" name="Grafico 4">
          <a:extLst>
            <a:ext uri="{FF2B5EF4-FFF2-40B4-BE49-F238E27FC236}">
              <a16:creationId xmlns:a16="http://schemas.microsoft.com/office/drawing/2014/main" id="{D89D48C9-9E27-4D71-825F-1682BE474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876301</xdr:colOff>
      <xdr:row>45</xdr:row>
      <xdr:rowOff>57151</xdr:rowOff>
    </xdr:from>
    <xdr:to>
      <xdr:col>11</xdr:col>
      <xdr:colOff>581026</xdr:colOff>
      <xdr:row>57</xdr:row>
      <xdr:rowOff>1</xdr:rowOff>
    </xdr:to>
    <xdr:graphicFrame macro="">
      <xdr:nvGraphicFramePr>
        <xdr:cNvPr id="6" name="Grafico 5">
          <a:extLst>
            <a:ext uri="{FF2B5EF4-FFF2-40B4-BE49-F238E27FC236}">
              <a16:creationId xmlns:a16="http://schemas.microsoft.com/office/drawing/2014/main" id="{48E0FBBE-6ABA-4138-BCB5-326C4F89B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xdr:colOff>
      <xdr:row>0</xdr:row>
      <xdr:rowOff>228600</xdr:rowOff>
    </xdr:from>
    <xdr:to>
      <xdr:col>16</xdr:col>
      <xdr:colOff>466723</xdr:colOff>
      <xdr:row>11</xdr:row>
      <xdr:rowOff>180974</xdr:rowOff>
    </xdr:to>
    <xdr:graphicFrame macro="">
      <xdr:nvGraphicFramePr>
        <xdr:cNvPr id="3" name="Grafico 2">
          <a:extLst>
            <a:ext uri="{FF2B5EF4-FFF2-40B4-BE49-F238E27FC236}">
              <a16:creationId xmlns:a16="http://schemas.microsoft.com/office/drawing/2014/main" id="{931CC14F-8B3B-4AF3-B8FA-8D91CEC0A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57151</xdr:colOff>
      <xdr:row>0</xdr:row>
      <xdr:rowOff>209550</xdr:rowOff>
    </xdr:from>
    <xdr:to>
      <xdr:col>29</xdr:col>
      <xdr:colOff>85725</xdr:colOff>
      <xdr:row>13</xdr:row>
      <xdr:rowOff>171450</xdr:rowOff>
    </xdr:to>
    <xdr:graphicFrame macro="">
      <xdr:nvGraphicFramePr>
        <xdr:cNvPr id="7" name="Grafico 6">
          <a:extLst>
            <a:ext uri="{FF2B5EF4-FFF2-40B4-BE49-F238E27FC236}">
              <a16:creationId xmlns:a16="http://schemas.microsoft.com/office/drawing/2014/main" id="{A7F39DB0-7E2F-478E-BBBC-5AE7153E6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428625</xdr:colOff>
      <xdr:row>36</xdr:row>
      <xdr:rowOff>1</xdr:rowOff>
    </xdr:from>
    <xdr:to>
      <xdr:col>12</xdr:col>
      <xdr:colOff>409575</xdr:colOff>
      <xdr:row>48</xdr:row>
      <xdr:rowOff>142876</xdr:rowOff>
    </xdr:to>
    <xdr:graphicFrame macro="">
      <xdr:nvGraphicFramePr>
        <xdr:cNvPr id="4" name="Grafico 3">
          <a:extLst>
            <a:ext uri="{FF2B5EF4-FFF2-40B4-BE49-F238E27FC236}">
              <a16:creationId xmlns:a16="http://schemas.microsoft.com/office/drawing/2014/main" id="{37F77DAA-E60A-4293-909B-766A1B5A5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1181100</xdr:colOff>
      <xdr:row>52</xdr:row>
      <xdr:rowOff>142875</xdr:rowOff>
    </xdr:from>
    <xdr:to>
      <xdr:col>7</xdr:col>
      <xdr:colOff>190500</xdr:colOff>
      <xdr:row>64</xdr:row>
      <xdr:rowOff>180975</xdr:rowOff>
    </xdr:to>
    <xdr:graphicFrame macro="">
      <xdr:nvGraphicFramePr>
        <xdr:cNvPr id="3" name="Grafico 2">
          <a:extLst>
            <a:ext uri="{FF2B5EF4-FFF2-40B4-BE49-F238E27FC236}">
              <a16:creationId xmlns:a16="http://schemas.microsoft.com/office/drawing/2014/main" id="{2305AFC7-CA04-4B83-8774-5087A994E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895350</xdr:colOff>
      <xdr:row>0</xdr:row>
      <xdr:rowOff>104775</xdr:rowOff>
    </xdr:from>
    <xdr:to>
      <xdr:col>7</xdr:col>
      <xdr:colOff>600074</xdr:colOff>
      <xdr:row>11</xdr:row>
      <xdr:rowOff>190499</xdr:rowOff>
    </xdr:to>
    <xdr:graphicFrame macro="">
      <xdr:nvGraphicFramePr>
        <xdr:cNvPr id="6" name="Grafico 5">
          <a:extLst>
            <a:ext uri="{FF2B5EF4-FFF2-40B4-BE49-F238E27FC236}">
              <a16:creationId xmlns:a16="http://schemas.microsoft.com/office/drawing/2014/main" id="{0FF296E4-2D63-47DE-ABD8-A0589A7CB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238124</xdr:colOff>
      <xdr:row>0</xdr:row>
      <xdr:rowOff>104775</xdr:rowOff>
    </xdr:from>
    <xdr:to>
      <xdr:col>16</xdr:col>
      <xdr:colOff>228598</xdr:colOff>
      <xdr:row>11</xdr:row>
      <xdr:rowOff>190499</xdr:rowOff>
    </xdr:to>
    <xdr:graphicFrame macro="">
      <xdr:nvGraphicFramePr>
        <xdr:cNvPr id="7" name="Grafico 6">
          <a:extLst>
            <a:ext uri="{FF2B5EF4-FFF2-40B4-BE49-F238E27FC236}">
              <a16:creationId xmlns:a16="http://schemas.microsoft.com/office/drawing/2014/main" id="{62FCF4FC-AFFC-4D3B-B701-53A733EF6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514347</xdr:colOff>
      <xdr:row>0</xdr:row>
      <xdr:rowOff>0</xdr:rowOff>
    </xdr:from>
    <xdr:to>
      <xdr:col>29</xdr:col>
      <xdr:colOff>38099</xdr:colOff>
      <xdr:row>13</xdr:row>
      <xdr:rowOff>66675</xdr:rowOff>
    </xdr:to>
    <xdr:graphicFrame macro="">
      <xdr:nvGraphicFramePr>
        <xdr:cNvPr id="8" name="Grafico 7">
          <a:extLst>
            <a:ext uri="{FF2B5EF4-FFF2-40B4-BE49-F238E27FC236}">
              <a16:creationId xmlns:a16="http://schemas.microsoft.com/office/drawing/2014/main" id="{E2A88BF0-6DDF-4899-860C-B7E4DB358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514350</xdr:colOff>
      <xdr:row>11</xdr:row>
      <xdr:rowOff>85725</xdr:rowOff>
    </xdr:from>
    <xdr:to>
      <xdr:col>7</xdr:col>
      <xdr:colOff>828675</xdr:colOff>
      <xdr:row>23</xdr:row>
      <xdr:rowOff>47625</xdr:rowOff>
    </xdr:to>
    <xdr:graphicFrame macro="">
      <xdr:nvGraphicFramePr>
        <xdr:cNvPr id="2" name="Grafico 1">
          <a:extLst>
            <a:ext uri="{FF2B5EF4-FFF2-40B4-BE49-F238E27FC236}">
              <a16:creationId xmlns:a16="http://schemas.microsoft.com/office/drawing/2014/main" id="{B640856F-199E-4332-9116-B8B2D302F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781051</xdr:colOff>
      <xdr:row>0</xdr:row>
      <xdr:rowOff>142876</xdr:rowOff>
    </xdr:from>
    <xdr:to>
      <xdr:col>7</xdr:col>
      <xdr:colOff>285750</xdr:colOff>
      <xdr:row>12</xdr:row>
      <xdr:rowOff>28575</xdr:rowOff>
    </xdr:to>
    <xdr:graphicFrame macro="">
      <xdr:nvGraphicFramePr>
        <xdr:cNvPr id="2" name="Grafico 1">
          <a:extLst>
            <a:ext uri="{FF2B5EF4-FFF2-40B4-BE49-F238E27FC236}">
              <a16:creationId xmlns:a16="http://schemas.microsoft.com/office/drawing/2014/main" id="{6EFEC59B-A1FE-44B6-9733-02E90135E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13</xdr:row>
      <xdr:rowOff>57149</xdr:rowOff>
    </xdr:from>
    <xdr:to>
      <xdr:col>10</xdr:col>
      <xdr:colOff>409575</xdr:colOff>
      <xdr:row>25</xdr:row>
      <xdr:rowOff>104775</xdr:rowOff>
    </xdr:to>
    <xdr:graphicFrame macro="">
      <xdr:nvGraphicFramePr>
        <xdr:cNvPr id="4" name="Grafico 3">
          <a:extLst>
            <a:ext uri="{FF2B5EF4-FFF2-40B4-BE49-F238E27FC236}">
              <a16:creationId xmlns:a16="http://schemas.microsoft.com/office/drawing/2014/main" id="{41D7ECBA-111A-4B8F-9822-DA77ADD54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D3FFC-5380-40A4-A5A0-B6308964EECF}">
  <sheetPr>
    <pageSetUpPr fitToPage="1"/>
  </sheetPr>
  <dimension ref="A1:E32"/>
  <sheetViews>
    <sheetView tabSelected="1" zoomScale="80" zoomScaleNormal="80" workbookViewId="0">
      <selection activeCell="E6" sqref="E6"/>
    </sheetView>
  </sheetViews>
  <sheetFormatPr defaultColWidth="9.140625" defaultRowHeight="15.75" x14ac:dyDescent="0.25"/>
  <cols>
    <col min="1" max="1" width="46.85546875" style="1" customWidth="1"/>
    <col min="2" max="2" width="33.140625" style="1" customWidth="1"/>
    <col min="3" max="3" width="53.28515625" style="1" customWidth="1"/>
    <col min="4" max="4" width="70.140625" style="1" customWidth="1"/>
    <col min="5" max="5" width="47.28515625" style="1" customWidth="1"/>
    <col min="6" max="16384" width="9.140625" style="1"/>
  </cols>
  <sheetData>
    <row r="1" spans="1:5" ht="78.75" x14ac:dyDescent="0.25">
      <c r="A1" s="10" t="s">
        <v>0</v>
      </c>
      <c r="E1" s="22" t="s">
        <v>210</v>
      </c>
    </row>
    <row r="2" spans="1:5" x14ac:dyDescent="0.25">
      <c r="A2" s="2"/>
    </row>
    <row r="3" spans="1:5" x14ac:dyDescent="0.25">
      <c r="A3" s="2" t="s">
        <v>6</v>
      </c>
    </row>
    <row r="4" spans="1:5" x14ac:dyDescent="0.25">
      <c r="A4" s="2"/>
    </row>
    <row r="5" spans="1:5" x14ac:dyDescent="0.25">
      <c r="A5" s="2"/>
    </row>
    <row r="6" spans="1:5" ht="27" customHeight="1" x14ac:dyDescent="0.25">
      <c r="A6" s="18" t="s">
        <v>67</v>
      </c>
      <c r="B6" s="18" t="s">
        <v>68</v>
      </c>
      <c r="C6" s="18" t="s">
        <v>35</v>
      </c>
      <c r="D6" s="18" t="s">
        <v>114</v>
      </c>
    </row>
    <row r="7" spans="1:5" ht="19.5" customHeight="1" x14ac:dyDescent="0.25">
      <c r="A7" s="17" t="s">
        <v>1</v>
      </c>
      <c r="B7" s="64"/>
      <c r="C7" s="65"/>
      <c r="D7" s="66"/>
    </row>
    <row r="8" spans="1:5" ht="73.5" customHeight="1" x14ac:dyDescent="0.25">
      <c r="A8" s="25" t="s">
        <v>65</v>
      </c>
      <c r="B8" s="3" t="s">
        <v>69</v>
      </c>
      <c r="C8" s="19" t="s">
        <v>108</v>
      </c>
      <c r="D8" s="24" t="s">
        <v>142</v>
      </c>
      <c r="E8" s="22"/>
    </row>
    <row r="9" spans="1:5" ht="48.75" customHeight="1" x14ac:dyDescent="0.25">
      <c r="A9" s="25" t="s">
        <v>66</v>
      </c>
      <c r="B9" s="3" t="s">
        <v>70</v>
      </c>
      <c r="C9" s="19" t="s">
        <v>148</v>
      </c>
      <c r="D9" s="24" t="s">
        <v>142</v>
      </c>
    </row>
    <row r="10" spans="1:5" ht="47.25" customHeight="1" x14ac:dyDescent="0.25">
      <c r="A10" s="17" t="s">
        <v>2</v>
      </c>
      <c r="B10" s="3" t="s">
        <v>71</v>
      </c>
      <c r="C10" s="19" t="s">
        <v>107</v>
      </c>
      <c r="D10" s="24" t="s">
        <v>142</v>
      </c>
    </row>
    <row r="11" spans="1:5" ht="42.75" customHeight="1" x14ac:dyDescent="0.25">
      <c r="A11" s="17" t="s">
        <v>3</v>
      </c>
      <c r="B11" s="3" t="s">
        <v>72</v>
      </c>
      <c r="C11" s="12"/>
      <c r="D11" s="32" t="s">
        <v>115</v>
      </c>
    </row>
    <row r="12" spans="1:5" ht="47.25" customHeight="1" x14ac:dyDescent="0.25">
      <c r="A12" s="17" t="s">
        <v>4</v>
      </c>
      <c r="B12" s="3" t="s">
        <v>75</v>
      </c>
      <c r="C12" s="12"/>
      <c r="D12" s="24" t="s">
        <v>141</v>
      </c>
    </row>
    <row r="13" spans="1:5" ht="19.5" customHeight="1" x14ac:dyDescent="0.25">
      <c r="A13" s="17" t="s">
        <v>5</v>
      </c>
      <c r="B13" s="67"/>
      <c r="C13" s="68"/>
      <c r="D13" s="69"/>
    </row>
    <row r="14" spans="1:5" ht="39.75" customHeight="1" x14ac:dyDescent="0.25">
      <c r="A14" s="26" t="s">
        <v>136</v>
      </c>
      <c r="B14" s="3" t="s">
        <v>125</v>
      </c>
      <c r="C14" s="19" t="s">
        <v>144</v>
      </c>
      <c r="D14" s="24" t="s">
        <v>143</v>
      </c>
    </row>
    <row r="15" spans="1:5" ht="27.75" customHeight="1" x14ac:dyDescent="0.25">
      <c r="A15" s="25" t="s">
        <v>127</v>
      </c>
      <c r="B15" s="3" t="s">
        <v>126</v>
      </c>
      <c r="C15" s="12"/>
      <c r="D15" s="15"/>
      <c r="E15" s="27"/>
    </row>
    <row r="16" spans="1:5" ht="35.25" customHeight="1" x14ac:dyDescent="0.25">
      <c r="A16" s="15" t="s">
        <v>7</v>
      </c>
      <c r="B16" s="3" t="s">
        <v>21</v>
      </c>
      <c r="C16" s="12"/>
      <c r="D16" s="32" t="s">
        <v>128</v>
      </c>
    </row>
    <row r="17" spans="1:4" ht="26.25" customHeight="1" x14ac:dyDescent="0.25">
      <c r="A17" s="15" t="s">
        <v>8</v>
      </c>
      <c r="B17" s="3" t="s">
        <v>21</v>
      </c>
      <c r="C17" s="12"/>
      <c r="D17" s="33" t="s">
        <v>129</v>
      </c>
    </row>
    <row r="18" spans="1:4" ht="60" customHeight="1" x14ac:dyDescent="0.25">
      <c r="A18" s="17" t="s">
        <v>9</v>
      </c>
      <c r="B18" s="3" t="s">
        <v>80</v>
      </c>
      <c r="C18" s="12"/>
      <c r="D18" s="24" t="s">
        <v>145</v>
      </c>
    </row>
    <row r="19" spans="1:4" ht="44.25" customHeight="1" x14ac:dyDescent="0.25">
      <c r="A19" s="17" t="s">
        <v>10</v>
      </c>
      <c r="B19" s="3" t="s">
        <v>62</v>
      </c>
      <c r="C19" s="12"/>
      <c r="D19" s="24" t="s">
        <v>146</v>
      </c>
    </row>
    <row r="20" spans="1:4" ht="47.25" customHeight="1" x14ac:dyDescent="0.25">
      <c r="A20" s="17" t="s">
        <v>48</v>
      </c>
      <c r="B20" s="3" t="s">
        <v>81</v>
      </c>
      <c r="C20" s="12"/>
      <c r="D20" s="24" t="s">
        <v>147</v>
      </c>
    </row>
    <row r="21" spans="1:4" ht="47.25" customHeight="1" x14ac:dyDescent="0.25">
      <c r="A21" s="17" t="s">
        <v>199</v>
      </c>
      <c r="B21" s="3" t="s">
        <v>81</v>
      </c>
      <c r="C21" s="12"/>
      <c r="D21" s="24" t="s">
        <v>147</v>
      </c>
    </row>
    <row r="22" spans="1:4" ht="94.5" x14ac:dyDescent="0.25">
      <c r="A22" s="17" t="s">
        <v>200</v>
      </c>
      <c r="B22" s="3" t="s">
        <v>201</v>
      </c>
      <c r="C22" s="19" t="s">
        <v>203</v>
      </c>
      <c r="D22" s="24" t="s">
        <v>202</v>
      </c>
    </row>
    <row r="23" spans="1:4" x14ac:dyDescent="0.25">
      <c r="A23" s="2"/>
      <c r="B23" s="59"/>
      <c r="C23" s="60"/>
      <c r="D23" s="22"/>
    </row>
    <row r="24" spans="1:4" ht="16.5" thickBot="1" x14ac:dyDescent="0.3">
      <c r="A24" s="2"/>
      <c r="B24" s="59"/>
      <c r="C24" s="60"/>
      <c r="D24" s="22"/>
    </row>
    <row r="25" spans="1:4" ht="225.75" customHeight="1" thickBot="1" x14ac:dyDescent="0.3">
      <c r="A25" s="70" t="s">
        <v>207</v>
      </c>
      <c r="B25" s="71"/>
      <c r="C25" s="62" t="s">
        <v>204</v>
      </c>
      <c r="D25" s="63" t="s">
        <v>206</v>
      </c>
    </row>
    <row r="32" spans="1:4" x14ac:dyDescent="0.25">
      <c r="B32" s="61"/>
    </row>
  </sheetData>
  <mergeCells count="3">
    <mergeCell ref="B7:D7"/>
    <mergeCell ref="B13:D13"/>
    <mergeCell ref="A25:B25"/>
  </mergeCells>
  <pageMargins left="0.7" right="0.7" top="0.75" bottom="0.75" header="0.3" footer="0.3"/>
  <pageSetup paperSize="9" scale="43"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99468-31B3-4E55-88F0-4159561B0D45}">
  <sheetPr>
    <pageSetUpPr fitToPage="1"/>
  </sheetPr>
  <dimension ref="A1:F70"/>
  <sheetViews>
    <sheetView topLeftCell="A40" workbookViewId="0">
      <selection activeCell="F63" sqref="F63"/>
    </sheetView>
  </sheetViews>
  <sheetFormatPr defaultColWidth="9.140625" defaultRowHeight="15.75" x14ac:dyDescent="0.25"/>
  <cols>
    <col min="1" max="1" width="9.140625" style="1"/>
    <col min="2" max="2" width="23.5703125" style="1" customWidth="1"/>
    <col min="3" max="3" width="15.5703125" style="1" customWidth="1"/>
    <col min="4" max="4" width="16" style="1" customWidth="1"/>
    <col min="5" max="5" width="13.85546875" style="1" customWidth="1"/>
    <col min="6" max="16384" width="9.140625" style="1"/>
  </cols>
  <sheetData>
    <row r="1" spans="1:3" ht="20.25" x14ac:dyDescent="0.25">
      <c r="A1" s="10" t="s">
        <v>11</v>
      </c>
    </row>
    <row r="2" spans="1:3" x14ac:dyDescent="0.25">
      <c r="A2" s="2"/>
    </row>
    <row r="3" spans="1:3" ht="41.25" customHeight="1" x14ac:dyDescent="0.25">
      <c r="A3" s="3" t="s">
        <v>12</v>
      </c>
      <c r="B3" s="4" t="s">
        <v>13</v>
      </c>
      <c r="C3" s="4" t="s">
        <v>14</v>
      </c>
    </row>
    <row r="4" spans="1:3" x14ac:dyDescent="0.25">
      <c r="A4" s="5">
        <v>2020</v>
      </c>
      <c r="B4" s="6">
        <v>3455531</v>
      </c>
      <c r="C4" s="7">
        <v>456874.17999999993</v>
      </c>
    </row>
    <row r="5" spans="1:3" x14ac:dyDescent="0.25">
      <c r="A5" s="5">
        <v>2021</v>
      </c>
      <c r="B5" s="6">
        <v>4146430</v>
      </c>
      <c r="C5" s="7">
        <v>897971.01</v>
      </c>
    </row>
    <row r="6" spans="1:3" x14ac:dyDescent="0.25">
      <c r="A6" s="8">
        <v>2022</v>
      </c>
      <c r="B6" s="6">
        <v>3286718</v>
      </c>
      <c r="C6" s="7">
        <v>1427223.1</v>
      </c>
    </row>
    <row r="7" spans="1:3" x14ac:dyDescent="0.25">
      <c r="A7" s="36">
        <v>2023</v>
      </c>
      <c r="B7" s="37">
        <v>2781483.477</v>
      </c>
      <c r="C7" s="38">
        <v>887352.42</v>
      </c>
    </row>
    <row r="8" spans="1:3" x14ac:dyDescent="0.25">
      <c r="A8" s="36">
        <v>2024</v>
      </c>
      <c r="B8" s="37">
        <v>3391455</v>
      </c>
      <c r="C8" s="38">
        <v>862055.51</v>
      </c>
    </row>
    <row r="9" spans="1:3" x14ac:dyDescent="0.25">
      <c r="A9" s="2"/>
    </row>
    <row r="10" spans="1:3" x14ac:dyDescent="0.25">
      <c r="A10" s="2"/>
    </row>
    <row r="11" spans="1:3" x14ac:dyDescent="0.25">
      <c r="A11" s="2"/>
    </row>
    <row r="12" spans="1:3" x14ac:dyDescent="0.25">
      <c r="A12" s="2"/>
    </row>
    <row r="13" spans="1:3" x14ac:dyDescent="0.25">
      <c r="A13" s="2"/>
    </row>
    <row r="14" spans="1:3" x14ac:dyDescent="0.25">
      <c r="A14" s="2"/>
    </row>
    <row r="15" spans="1:3" ht="47.25" x14ac:dyDescent="0.25">
      <c r="A15" s="3" t="s">
        <v>12</v>
      </c>
      <c r="B15" s="4" t="s">
        <v>13</v>
      </c>
      <c r="C15" s="4" t="s">
        <v>205</v>
      </c>
    </row>
    <row r="16" spans="1:3" x14ac:dyDescent="0.25">
      <c r="A16" s="5">
        <v>2020</v>
      </c>
      <c r="B16" s="6">
        <v>3455531</v>
      </c>
      <c r="C16" s="7">
        <v>475435.2</v>
      </c>
    </row>
    <row r="17" spans="1:3" x14ac:dyDescent="0.25">
      <c r="A17" s="5">
        <v>2021</v>
      </c>
      <c r="B17" s="6">
        <v>4146430</v>
      </c>
      <c r="C17" s="7">
        <v>453608.2</v>
      </c>
    </row>
    <row r="18" spans="1:3" x14ac:dyDescent="0.25">
      <c r="A18" s="8">
        <v>2022</v>
      </c>
      <c r="B18" s="6">
        <v>3286718</v>
      </c>
      <c r="C18" s="7">
        <v>392110</v>
      </c>
    </row>
    <row r="19" spans="1:3" x14ac:dyDescent="0.25">
      <c r="A19" s="36">
        <v>2023</v>
      </c>
      <c r="B19" s="37">
        <v>2781483.477</v>
      </c>
      <c r="C19" s="38">
        <v>425940.4</v>
      </c>
    </row>
    <row r="20" spans="1:3" x14ac:dyDescent="0.25">
      <c r="A20" s="36">
        <v>2024</v>
      </c>
      <c r="B20" s="37">
        <v>3391455</v>
      </c>
      <c r="C20" s="38">
        <v>419551.4</v>
      </c>
    </row>
    <row r="21" spans="1:3" x14ac:dyDescent="0.25">
      <c r="A21" s="2"/>
    </row>
    <row r="22" spans="1:3" x14ac:dyDescent="0.25">
      <c r="A22" s="2"/>
    </row>
    <row r="23" spans="1:3" x14ac:dyDescent="0.25">
      <c r="A23" s="2"/>
    </row>
    <row r="24" spans="1:3" x14ac:dyDescent="0.25">
      <c r="A24" s="2"/>
    </row>
    <row r="25" spans="1:3" x14ac:dyDescent="0.25">
      <c r="A25" s="2"/>
    </row>
    <row r="26" spans="1:3" x14ac:dyDescent="0.25">
      <c r="A26" s="2"/>
    </row>
    <row r="27" spans="1:3" x14ac:dyDescent="0.25">
      <c r="A27" s="2"/>
    </row>
    <row r="28" spans="1:3" x14ac:dyDescent="0.25">
      <c r="A28" s="2"/>
    </row>
    <row r="29" spans="1:3" x14ac:dyDescent="0.25">
      <c r="A29" s="2"/>
    </row>
    <row r="30" spans="1:3" x14ac:dyDescent="0.25">
      <c r="A30" s="2"/>
    </row>
    <row r="31" spans="1:3" x14ac:dyDescent="0.25">
      <c r="A31" s="2"/>
    </row>
    <row r="32" spans="1:3" x14ac:dyDescent="0.25">
      <c r="A32" s="2"/>
    </row>
    <row r="33" spans="1:5" x14ac:dyDescent="0.25">
      <c r="A33" s="2"/>
    </row>
    <row r="34" spans="1:5" x14ac:dyDescent="0.25">
      <c r="A34" s="9" t="s">
        <v>63</v>
      </c>
    </row>
    <row r="35" spans="1:5" x14ac:dyDescent="0.25">
      <c r="A35" s="9" t="s">
        <v>150</v>
      </c>
    </row>
    <row r="36" spans="1:5" x14ac:dyDescent="0.25">
      <c r="A36" s="9" t="s">
        <v>151</v>
      </c>
    </row>
    <row r="37" spans="1:5" x14ac:dyDescent="0.25">
      <c r="A37" s="9" t="s">
        <v>157</v>
      </c>
    </row>
    <row r="38" spans="1:5" x14ac:dyDescent="0.25">
      <c r="A38" s="40" t="s">
        <v>158</v>
      </c>
    </row>
    <row r="39" spans="1:5" x14ac:dyDescent="0.25">
      <c r="A39" s="9"/>
    </row>
    <row r="41" spans="1:5" x14ac:dyDescent="0.25">
      <c r="A41" s="2" t="s">
        <v>95</v>
      </c>
    </row>
    <row r="42" spans="1:5" x14ac:dyDescent="0.25">
      <c r="A42" s="2"/>
    </row>
    <row r="43" spans="1:5" ht="18" customHeight="1" x14ac:dyDescent="0.25">
      <c r="A43" s="1" t="s">
        <v>94</v>
      </c>
    </row>
    <row r="45" spans="1:5" ht="31.5" x14ac:dyDescent="0.25">
      <c r="A45" s="3" t="s">
        <v>12</v>
      </c>
      <c r="B45" s="4" t="s">
        <v>13</v>
      </c>
      <c r="C45" s="4" t="s">
        <v>14</v>
      </c>
      <c r="D45" s="4" t="s">
        <v>16</v>
      </c>
      <c r="E45" s="4" t="s">
        <v>97</v>
      </c>
    </row>
    <row r="46" spans="1:5" x14ac:dyDescent="0.25">
      <c r="A46" s="5">
        <v>2020</v>
      </c>
      <c r="B46" s="6">
        <v>3455531</v>
      </c>
      <c r="C46" s="7">
        <v>456874.17999999993</v>
      </c>
      <c r="D46" s="6">
        <v>26370000</v>
      </c>
      <c r="E46" s="7">
        <f>B46/D46</f>
        <v>0.13104023511566174</v>
      </c>
    </row>
    <row r="47" spans="1:5" x14ac:dyDescent="0.25">
      <c r="A47" s="5">
        <v>2021</v>
      </c>
      <c r="B47" s="6">
        <v>4146430</v>
      </c>
      <c r="C47" s="7">
        <v>897971.01</v>
      </c>
      <c r="D47" s="6">
        <v>40217000</v>
      </c>
      <c r="E47" s="7">
        <f t="shared" ref="E47" si="0">B47/D47</f>
        <v>0.10310142477061938</v>
      </c>
    </row>
    <row r="48" spans="1:5" x14ac:dyDescent="0.25">
      <c r="A48" s="8">
        <v>2022</v>
      </c>
      <c r="B48" s="6">
        <v>3286718</v>
      </c>
      <c r="C48" s="7">
        <v>1427223.1</v>
      </c>
      <c r="D48" s="6">
        <v>12886000</v>
      </c>
      <c r="E48" s="7">
        <f>B48/D48</f>
        <v>0.25506115163743598</v>
      </c>
    </row>
    <row r="49" spans="1:6" x14ac:dyDescent="0.25">
      <c r="A49" s="36">
        <v>2023</v>
      </c>
      <c r="B49" s="37">
        <v>2781483.477</v>
      </c>
      <c r="C49" s="38">
        <v>887352.42</v>
      </c>
      <c r="D49" s="37">
        <v>8280000</v>
      </c>
      <c r="E49" s="38">
        <f>B49/D49</f>
        <v>0.33592795615942028</v>
      </c>
    </row>
    <row r="50" spans="1:6" x14ac:dyDescent="0.25">
      <c r="A50" s="36">
        <v>2024</v>
      </c>
      <c r="B50" s="37">
        <v>3391455</v>
      </c>
      <c r="C50" s="38">
        <v>862055.51</v>
      </c>
      <c r="D50" s="37">
        <v>16681850</v>
      </c>
      <c r="E50" s="38">
        <f>B50/D50</f>
        <v>0.20330209179437533</v>
      </c>
    </row>
    <row r="51" spans="1:6" x14ac:dyDescent="0.25">
      <c r="A51" s="2"/>
    </row>
    <row r="53" spans="1:6" ht="18.75" x14ac:dyDescent="0.25">
      <c r="A53" s="11" t="s">
        <v>15</v>
      </c>
    </row>
    <row r="54" spans="1:6" ht="18.75" x14ac:dyDescent="0.25">
      <c r="A54" s="11"/>
    </row>
    <row r="55" spans="1:6" x14ac:dyDescent="0.25">
      <c r="A55" s="9" t="s">
        <v>149</v>
      </c>
    </row>
    <row r="56" spans="1:6" x14ac:dyDescent="0.25">
      <c r="A56" s="9" t="s">
        <v>96</v>
      </c>
    </row>
    <row r="57" spans="1:6" x14ac:dyDescent="0.25">
      <c r="A57" s="2"/>
    </row>
    <row r="58" spans="1:6" ht="45.75" customHeight="1" x14ac:dyDescent="0.25">
      <c r="A58" s="3" t="s">
        <v>12</v>
      </c>
      <c r="B58" s="4" t="s">
        <v>13</v>
      </c>
      <c r="C58" s="4" t="s">
        <v>14</v>
      </c>
      <c r="D58" s="4" t="s">
        <v>92</v>
      </c>
      <c r="E58" s="4" t="s">
        <v>93</v>
      </c>
      <c r="F58" s="4" t="s">
        <v>134</v>
      </c>
    </row>
    <row r="59" spans="1:6" x14ac:dyDescent="0.25">
      <c r="A59" s="5">
        <v>2020</v>
      </c>
      <c r="B59" s="6">
        <f>5779+4094</f>
        <v>9873</v>
      </c>
      <c r="C59" s="7">
        <v>456874.17999999993</v>
      </c>
      <c r="D59" s="6">
        <v>26370</v>
      </c>
      <c r="E59" s="7">
        <f>B59/D59</f>
        <v>0.3744027303754266</v>
      </c>
      <c r="F59" s="7">
        <f>E60-E59</f>
        <v>-9.700759896333716E-2</v>
      </c>
    </row>
    <row r="60" spans="1:6" x14ac:dyDescent="0.25">
      <c r="A60" s="5">
        <v>2021</v>
      </c>
      <c r="B60" s="6">
        <f>6561+4595</f>
        <v>11156</v>
      </c>
      <c r="C60" s="7">
        <v>897971.01</v>
      </c>
      <c r="D60" s="6">
        <v>40217</v>
      </c>
      <c r="E60" s="7">
        <f t="shared" ref="E60" si="1">B60/D60</f>
        <v>0.27739513141208944</v>
      </c>
      <c r="F60" s="7">
        <f>E61-E60</f>
        <v>3.5114569038011467E-2</v>
      </c>
    </row>
    <row r="61" spans="1:6" x14ac:dyDescent="0.25">
      <c r="A61" s="8">
        <v>2022</v>
      </c>
      <c r="B61" s="6">
        <v>4027</v>
      </c>
      <c r="C61" s="7">
        <v>1427223.1</v>
      </c>
      <c r="D61" s="6">
        <v>12886</v>
      </c>
      <c r="E61" s="7">
        <f>B61/D61</f>
        <v>0.3125097004501009</v>
      </c>
      <c r="F61" s="7">
        <f>E62-E61</f>
        <v>3.6403343028159951E-2</v>
      </c>
    </row>
    <row r="62" spans="1:6" x14ac:dyDescent="0.25">
      <c r="A62" s="36">
        <v>2023</v>
      </c>
      <c r="B62" s="37">
        <v>2889</v>
      </c>
      <c r="C62" s="38">
        <v>887352.42</v>
      </c>
      <c r="D62" s="37">
        <v>8280</v>
      </c>
      <c r="E62" s="38">
        <f>B62/D62</f>
        <v>0.34891304347826085</v>
      </c>
      <c r="F62" s="38">
        <f>E63-E62</f>
        <v>-4.6071657553311829E-2</v>
      </c>
    </row>
    <row r="63" spans="1:6" x14ac:dyDescent="0.25">
      <c r="A63" s="36">
        <v>2024</v>
      </c>
      <c r="B63" s="37">
        <v>5052</v>
      </c>
      <c r="C63" s="38">
        <v>862055.51</v>
      </c>
      <c r="D63" s="37">
        <v>16682</v>
      </c>
      <c r="E63" s="38">
        <f>B63/D63</f>
        <v>0.30284138592494902</v>
      </c>
      <c r="F63" s="38" t="s">
        <v>21</v>
      </c>
    </row>
    <row r="64" spans="1:6" x14ac:dyDescent="0.25">
      <c r="A64" s="2"/>
    </row>
    <row r="65" spans="1:1" x14ac:dyDescent="0.25">
      <c r="A65" s="2"/>
    </row>
    <row r="66" spans="1:1" x14ac:dyDescent="0.25">
      <c r="A66" s="2"/>
    </row>
    <row r="69" spans="1:1" x14ac:dyDescent="0.25">
      <c r="A69" s="2"/>
    </row>
    <row r="70" spans="1:1" x14ac:dyDescent="0.25">
      <c r="A70" s="2"/>
    </row>
  </sheetData>
  <pageMargins left="0.7" right="0.7" top="0.75" bottom="0.75" header="0.3" footer="0.3"/>
  <pageSetup paperSize="9" scale="26"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041D-DA28-4C36-858A-03FC12EF7CBD}">
  <dimension ref="A1:F57"/>
  <sheetViews>
    <sheetView topLeftCell="A40" workbookViewId="0">
      <selection activeCell="I73" sqref="I73"/>
    </sheetView>
  </sheetViews>
  <sheetFormatPr defaultColWidth="9.140625" defaultRowHeight="15.75" x14ac:dyDescent="0.25"/>
  <cols>
    <col min="1" max="1" width="9.140625" style="1"/>
    <col min="2" max="2" width="19.42578125" style="1" customWidth="1"/>
    <col min="3" max="3" width="15.5703125" style="1" customWidth="1"/>
    <col min="4" max="4" width="13.140625" style="1" customWidth="1"/>
    <col min="5" max="5" width="13.85546875" style="1" customWidth="1"/>
    <col min="6" max="16384" width="9.140625" style="1"/>
  </cols>
  <sheetData>
    <row r="1" spans="1:3" ht="20.25" x14ac:dyDescent="0.25">
      <c r="A1" s="10" t="s">
        <v>17</v>
      </c>
    </row>
    <row r="2" spans="1:3" x14ac:dyDescent="0.25">
      <c r="A2" s="2"/>
    </row>
    <row r="3" spans="1:3" ht="41.25" customHeight="1" x14ac:dyDescent="0.25">
      <c r="A3" s="3" t="s">
        <v>12</v>
      </c>
      <c r="B3" s="4" t="s">
        <v>18</v>
      </c>
      <c r="C3" s="4" t="s">
        <v>14</v>
      </c>
    </row>
    <row r="4" spans="1:3" x14ac:dyDescent="0.25">
      <c r="A4" s="5">
        <v>2020</v>
      </c>
      <c r="B4" s="6">
        <v>1145030</v>
      </c>
      <c r="C4" s="7">
        <v>416687.02</v>
      </c>
    </row>
    <row r="5" spans="1:3" x14ac:dyDescent="0.25">
      <c r="A5" s="5">
        <v>2021</v>
      </c>
      <c r="B5" s="6">
        <v>890901</v>
      </c>
      <c r="C5" s="7">
        <v>535387.17999999993</v>
      </c>
    </row>
    <row r="6" spans="1:3" x14ac:dyDescent="0.25">
      <c r="A6" s="8">
        <v>2022</v>
      </c>
      <c r="B6" s="6">
        <v>341724</v>
      </c>
      <c r="C6" s="7">
        <v>557741.78</v>
      </c>
    </row>
    <row r="7" spans="1:3" x14ac:dyDescent="0.25">
      <c r="A7" s="36">
        <v>2023</v>
      </c>
      <c r="B7" s="37">
        <v>216136</v>
      </c>
      <c r="C7" s="38">
        <v>200097.25</v>
      </c>
    </row>
    <row r="8" spans="1:3" x14ac:dyDescent="0.25">
      <c r="A8" s="36">
        <v>2024</v>
      </c>
      <c r="B8" s="37">
        <v>302289</v>
      </c>
      <c r="C8" s="38">
        <v>230987.04</v>
      </c>
    </row>
    <row r="9" spans="1:3" x14ac:dyDescent="0.25">
      <c r="A9" s="2"/>
    </row>
    <row r="10" spans="1:3" x14ac:dyDescent="0.25">
      <c r="A10" s="2"/>
    </row>
    <row r="11" spans="1:3" x14ac:dyDescent="0.25">
      <c r="A11" s="2"/>
    </row>
    <row r="12" spans="1:3" x14ac:dyDescent="0.25">
      <c r="A12" s="2"/>
    </row>
    <row r="13" spans="1:3" x14ac:dyDescent="0.25">
      <c r="A13" s="2"/>
    </row>
    <row r="14" spans="1:3" x14ac:dyDescent="0.25">
      <c r="A14" s="2"/>
    </row>
    <row r="15" spans="1:3" x14ac:dyDescent="0.25">
      <c r="A15" s="2"/>
    </row>
    <row r="16" spans="1:3"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2" spans="1:1" x14ac:dyDescent="0.25">
      <c r="A32" s="9" t="s">
        <v>64</v>
      </c>
    </row>
    <row r="33" spans="1:6" x14ac:dyDescent="0.25">
      <c r="A33" s="9" t="s">
        <v>152</v>
      </c>
    </row>
    <row r="34" spans="1:6" x14ac:dyDescent="0.25">
      <c r="A34" s="9" t="s">
        <v>159</v>
      </c>
    </row>
    <row r="35" spans="1:6" x14ac:dyDescent="0.25">
      <c r="A35" s="9" t="s">
        <v>160</v>
      </c>
    </row>
    <row r="36" spans="1:6" x14ac:dyDescent="0.25">
      <c r="A36" s="40" t="s">
        <v>153</v>
      </c>
    </row>
    <row r="39" spans="1:6" ht="18.75" x14ac:dyDescent="0.25">
      <c r="A39" s="11" t="s">
        <v>22</v>
      </c>
    </row>
    <row r="40" spans="1:6" ht="18.75" x14ac:dyDescent="0.25">
      <c r="A40" s="11"/>
    </row>
    <row r="41" spans="1:6" x14ac:dyDescent="0.25">
      <c r="A41" s="9" t="s">
        <v>99</v>
      </c>
    </row>
    <row r="42" spans="1:6" x14ac:dyDescent="0.25">
      <c r="A42" s="9" t="s">
        <v>100</v>
      </c>
    </row>
    <row r="43" spans="1:6" x14ac:dyDescent="0.25">
      <c r="A43" s="2"/>
    </row>
    <row r="44" spans="1:6" ht="41.25" customHeight="1" x14ac:dyDescent="0.25">
      <c r="A44" s="3" t="s">
        <v>12</v>
      </c>
      <c r="B44" s="4" t="s">
        <v>18</v>
      </c>
      <c r="C44" s="4" t="s">
        <v>14</v>
      </c>
      <c r="D44" s="4" t="s">
        <v>98</v>
      </c>
      <c r="E44" s="4" t="s">
        <v>23</v>
      </c>
      <c r="F44" s="4" t="s">
        <v>134</v>
      </c>
    </row>
    <row r="45" spans="1:6" x14ac:dyDescent="0.25">
      <c r="A45" s="5">
        <v>2020</v>
      </c>
      <c r="B45" s="6">
        <v>1145030</v>
      </c>
      <c r="C45" s="7">
        <v>416687.02</v>
      </c>
      <c r="D45" s="6">
        <v>10638596</v>
      </c>
      <c r="E45" s="23">
        <f>B45/D45</f>
        <v>0.1076298037823788</v>
      </c>
      <c r="F45" s="7">
        <f>E46-E45</f>
        <v>-4.8525769254887455E-2</v>
      </c>
    </row>
    <row r="46" spans="1:6" x14ac:dyDescent="0.25">
      <c r="A46" s="5">
        <v>2021</v>
      </c>
      <c r="B46" s="6">
        <v>890901</v>
      </c>
      <c r="C46" s="7">
        <v>535387.17999999993</v>
      </c>
      <c r="D46" s="6">
        <v>15073438</v>
      </c>
      <c r="E46" s="23">
        <f t="shared" ref="E46" si="0">B46/D46</f>
        <v>5.9104034527491342E-2</v>
      </c>
      <c r="F46" s="7">
        <f t="shared" ref="F46:F48" si="1">E47-E46</f>
        <v>5.3136811549058111E-3</v>
      </c>
    </row>
    <row r="47" spans="1:6" x14ac:dyDescent="0.25">
      <c r="A47" s="8">
        <v>2022</v>
      </c>
      <c r="B47" s="6">
        <v>341724</v>
      </c>
      <c r="C47" s="7">
        <v>557741.78</v>
      </c>
      <c r="D47" s="6">
        <v>5304814</v>
      </c>
      <c r="E47" s="23">
        <f>B47/D47</f>
        <v>6.4417715682397153E-2</v>
      </c>
      <c r="F47" s="7">
        <f t="shared" si="1"/>
        <v>-2.7716317831474081E-2</v>
      </c>
    </row>
    <row r="48" spans="1:6" x14ac:dyDescent="0.25">
      <c r="A48" s="36">
        <v>2023</v>
      </c>
      <c r="B48" s="37">
        <v>216136</v>
      </c>
      <c r="C48" s="38">
        <v>200097.25</v>
      </c>
      <c r="D48" s="37">
        <v>5889040</v>
      </c>
      <c r="E48" s="39">
        <f>B48/D48</f>
        <v>3.6701397850923072E-2</v>
      </c>
      <c r="F48" s="38">
        <f t="shared" si="1"/>
        <v>9.3318898586098667E-3</v>
      </c>
    </row>
    <row r="49" spans="1:6" x14ac:dyDescent="0.25">
      <c r="A49" s="36">
        <v>2024</v>
      </c>
      <c r="B49" s="37">
        <v>302289</v>
      </c>
      <c r="C49" s="38">
        <v>230987.04</v>
      </c>
      <c r="D49" s="37">
        <v>6566748</v>
      </c>
      <c r="E49" s="39">
        <f>B49/D49</f>
        <v>4.6033287709532938E-2</v>
      </c>
      <c r="F49" s="38" t="s">
        <v>21</v>
      </c>
    </row>
    <row r="50" spans="1:6" x14ac:dyDescent="0.25">
      <c r="A50" s="2"/>
    </row>
    <row r="51" spans="1:6" x14ac:dyDescent="0.25">
      <c r="A51" s="9" t="s">
        <v>154</v>
      </c>
    </row>
    <row r="52" spans="1:6" x14ac:dyDescent="0.25">
      <c r="A52" s="9" t="s">
        <v>155</v>
      </c>
    </row>
    <row r="53" spans="1:6" x14ac:dyDescent="0.25">
      <c r="A53" s="9" t="s">
        <v>208</v>
      </c>
    </row>
    <row r="54" spans="1:6" x14ac:dyDescent="0.25">
      <c r="A54" s="9" t="s">
        <v>209</v>
      </c>
    </row>
    <row r="55" spans="1:6" x14ac:dyDescent="0.25">
      <c r="A55" s="9"/>
    </row>
    <row r="56" spans="1:6" x14ac:dyDescent="0.25">
      <c r="A56" s="2"/>
    </row>
    <row r="57" spans="1:6" x14ac:dyDescent="0.25">
      <c r="A57" s="2"/>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089A-15E2-454E-A37C-5C8A9A41F68B}">
  <dimension ref="A1:E33"/>
  <sheetViews>
    <sheetView workbookViewId="0">
      <selection activeCell="D17" sqref="D17"/>
    </sheetView>
  </sheetViews>
  <sheetFormatPr defaultColWidth="9.140625" defaultRowHeight="15.75" x14ac:dyDescent="0.25"/>
  <cols>
    <col min="1" max="1" width="9.140625" style="1"/>
    <col min="2" max="2" width="27.7109375" style="1" customWidth="1"/>
    <col min="3" max="3" width="15.5703125" style="1" customWidth="1"/>
    <col min="4" max="4" width="16.5703125" style="1" customWidth="1"/>
    <col min="5" max="5" width="13.85546875" style="1" customWidth="1"/>
    <col min="6" max="16384" width="9.140625" style="1"/>
  </cols>
  <sheetData>
    <row r="1" spans="1:2" ht="20.25" x14ac:dyDescent="0.25">
      <c r="A1" s="10" t="s">
        <v>19</v>
      </c>
    </row>
    <row r="2" spans="1:2" x14ac:dyDescent="0.25">
      <c r="A2" s="2"/>
    </row>
    <row r="3" spans="1:2" ht="47.25" customHeight="1" x14ac:dyDescent="0.25">
      <c r="A3" s="3" t="s">
        <v>12</v>
      </c>
      <c r="B3" s="4" t="s">
        <v>135</v>
      </c>
    </row>
    <row r="4" spans="1:2" x14ac:dyDescent="0.25">
      <c r="A4" s="5">
        <v>2020</v>
      </c>
      <c r="B4" s="6">
        <f>1294+45202</f>
        <v>46496</v>
      </c>
    </row>
    <row r="5" spans="1:2" x14ac:dyDescent="0.25">
      <c r="A5" s="5">
        <v>2021</v>
      </c>
      <c r="B5" s="6">
        <f>1349+46966</f>
        <v>48315</v>
      </c>
    </row>
    <row r="6" spans="1:2" x14ac:dyDescent="0.25">
      <c r="A6" s="8">
        <v>2022</v>
      </c>
      <c r="B6" s="6">
        <f>384+15335</f>
        <v>15719</v>
      </c>
    </row>
    <row r="7" spans="1:2" x14ac:dyDescent="0.25">
      <c r="A7" s="36">
        <v>2023</v>
      </c>
      <c r="B7" s="37">
        <v>8622</v>
      </c>
    </row>
    <row r="8" spans="1:2" x14ac:dyDescent="0.25">
      <c r="A8" s="36">
        <v>2024</v>
      </c>
      <c r="B8" s="37">
        <v>13089</v>
      </c>
    </row>
    <row r="9" spans="1:2" x14ac:dyDescent="0.25">
      <c r="A9" s="2"/>
    </row>
    <row r="10" spans="1:2" x14ac:dyDescent="0.25">
      <c r="A10" s="2"/>
    </row>
    <row r="11" spans="1:2" x14ac:dyDescent="0.25">
      <c r="A11" s="2"/>
    </row>
    <row r="14" spans="1:2" x14ac:dyDescent="0.25">
      <c r="A14" s="2"/>
    </row>
    <row r="15" spans="1:2" ht="18.75" x14ac:dyDescent="0.25">
      <c r="A15" s="11" t="s">
        <v>24</v>
      </c>
    </row>
    <row r="16" spans="1:2" ht="18.75" x14ac:dyDescent="0.25">
      <c r="A16" s="11"/>
    </row>
    <row r="17" spans="1:5" x14ac:dyDescent="0.25">
      <c r="A17" s="9" t="s">
        <v>101</v>
      </c>
    </row>
    <row r="18" spans="1:5" x14ac:dyDescent="0.25">
      <c r="A18" s="9" t="s">
        <v>102</v>
      </c>
    </row>
    <row r="19" spans="1:5" x14ac:dyDescent="0.25">
      <c r="A19" s="9" t="s">
        <v>103</v>
      </c>
    </row>
    <row r="20" spans="1:5" x14ac:dyDescent="0.25">
      <c r="A20" s="2"/>
    </row>
    <row r="21" spans="1:5" ht="41.25" customHeight="1" x14ac:dyDescent="0.25">
      <c r="A21" s="3" t="s">
        <v>12</v>
      </c>
      <c r="B21" s="4" t="s">
        <v>20</v>
      </c>
      <c r="C21" s="4" t="s">
        <v>92</v>
      </c>
      <c r="D21" s="4" t="s">
        <v>25</v>
      </c>
      <c r="E21" s="4" t="s">
        <v>134</v>
      </c>
    </row>
    <row r="22" spans="1:5" x14ac:dyDescent="0.25">
      <c r="A22" s="5">
        <v>2020</v>
      </c>
      <c r="B22" s="6">
        <v>46496</v>
      </c>
      <c r="C22" s="6">
        <v>26370</v>
      </c>
      <c r="D22" s="7">
        <f>B22/C22</f>
        <v>1.7632157755024649</v>
      </c>
      <c r="E22" s="7">
        <f>D23-D22</f>
        <v>-0.56185814067142337</v>
      </c>
    </row>
    <row r="23" spans="1:5" x14ac:dyDescent="0.25">
      <c r="A23" s="5">
        <v>2021</v>
      </c>
      <c r="B23" s="6">
        <v>48315</v>
      </c>
      <c r="C23" s="6">
        <v>40217</v>
      </c>
      <c r="D23" s="7">
        <f t="shared" ref="D23:D24" si="0">B23/C23</f>
        <v>1.2013576348310415</v>
      </c>
      <c r="E23" s="7">
        <f t="shared" ref="E23:E25" si="1">D24-D23</f>
        <v>1.8493366255408983E-2</v>
      </c>
    </row>
    <row r="24" spans="1:5" x14ac:dyDescent="0.25">
      <c r="A24" s="8">
        <v>2022</v>
      </c>
      <c r="B24" s="6">
        <v>15719</v>
      </c>
      <c r="C24" s="6">
        <v>12886</v>
      </c>
      <c r="D24" s="7">
        <f t="shared" si="0"/>
        <v>1.2198510010864505</v>
      </c>
      <c r="E24" s="7">
        <f t="shared" si="1"/>
        <v>-0.17854665326036345</v>
      </c>
    </row>
    <row r="25" spans="1:5" x14ac:dyDescent="0.25">
      <c r="A25" s="36">
        <v>2023</v>
      </c>
      <c r="B25" s="37">
        <v>8622</v>
      </c>
      <c r="C25" s="37">
        <v>8280</v>
      </c>
      <c r="D25" s="38">
        <f t="shared" ref="D25" si="2">B25/C25</f>
        <v>1.0413043478260871</v>
      </c>
      <c r="E25" s="38">
        <f t="shared" si="1"/>
        <v>-0.25668619652528379</v>
      </c>
    </row>
    <row r="26" spans="1:5" x14ac:dyDescent="0.25">
      <c r="A26" s="36">
        <v>2024</v>
      </c>
      <c r="B26" s="37">
        <v>13089</v>
      </c>
      <c r="C26" s="37">
        <v>16682</v>
      </c>
      <c r="D26" s="38">
        <f t="shared" ref="D26" si="3">B26/C26</f>
        <v>0.78461815130080326</v>
      </c>
      <c r="E26" s="38" t="s">
        <v>21</v>
      </c>
    </row>
    <row r="27" spans="1:5" x14ac:dyDescent="0.25">
      <c r="A27" s="2"/>
    </row>
    <row r="28" spans="1:5" x14ac:dyDescent="0.25">
      <c r="A28" s="2"/>
    </row>
    <row r="29" spans="1:5" x14ac:dyDescent="0.25">
      <c r="A29" s="2"/>
    </row>
    <row r="32" spans="1:5" x14ac:dyDescent="0.25">
      <c r="A32" s="2"/>
    </row>
    <row r="33" spans="1:1" x14ac:dyDescent="0.25">
      <c r="A33" s="2"/>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DB92-973C-4B12-A8D8-3FDD478667D2}">
  <dimension ref="A1:E54"/>
  <sheetViews>
    <sheetView topLeftCell="A40" workbookViewId="0">
      <selection activeCell="C23" sqref="C23:C24"/>
    </sheetView>
  </sheetViews>
  <sheetFormatPr defaultColWidth="9.140625" defaultRowHeight="15.75" x14ac:dyDescent="0.25"/>
  <cols>
    <col min="1" max="1" width="10.7109375" style="1" customWidth="1"/>
    <col min="2" max="2" width="20.5703125" style="1" customWidth="1"/>
    <col min="3" max="3" width="15.5703125" style="1" customWidth="1"/>
    <col min="4" max="4" width="16.140625" style="1" customWidth="1"/>
    <col min="5" max="5" width="13.85546875" style="1" customWidth="1"/>
    <col min="6" max="16384" width="9.140625" style="1"/>
  </cols>
  <sheetData>
    <row r="1" spans="1:2" ht="20.25" x14ac:dyDescent="0.25">
      <c r="A1" s="10" t="s">
        <v>26</v>
      </c>
    </row>
    <row r="2" spans="1:2" x14ac:dyDescent="0.25">
      <c r="A2" s="2"/>
    </row>
    <row r="3" spans="1:2" ht="47.25" customHeight="1" x14ac:dyDescent="0.25">
      <c r="A3" s="3" t="s">
        <v>12</v>
      </c>
      <c r="B3" s="4" t="s">
        <v>27</v>
      </c>
    </row>
    <row r="4" spans="1:2" x14ac:dyDescent="0.25">
      <c r="A4" s="5">
        <v>2020</v>
      </c>
      <c r="B4" s="28">
        <f>21507+11416</f>
        <v>32923</v>
      </c>
    </row>
    <row r="5" spans="1:2" x14ac:dyDescent="0.25">
      <c r="A5" s="5">
        <v>2021</v>
      </c>
      <c r="B5" s="28">
        <f>26668+11087</f>
        <v>37755</v>
      </c>
    </row>
    <row r="6" spans="1:2" x14ac:dyDescent="0.25">
      <c r="A6" s="8">
        <v>2022</v>
      </c>
      <c r="B6" s="28">
        <f>8789+293</f>
        <v>9082</v>
      </c>
    </row>
    <row r="7" spans="1:2" x14ac:dyDescent="0.25">
      <c r="A7" s="36">
        <v>2023</v>
      </c>
      <c r="B7" s="37">
        <v>2464</v>
      </c>
    </row>
    <row r="8" spans="1:2" x14ac:dyDescent="0.25">
      <c r="A8" s="36">
        <v>2024</v>
      </c>
      <c r="B8" s="37">
        <v>3029</v>
      </c>
    </row>
    <row r="9" spans="1:2" x14ac:dyDescent="0.25">
      <c r="A9" s="2"/>
    </row>
    <row r="10" spans="1:2" x14ac:dyDescent="0.25">
      <c r="A10" s="2"/>
    </row>
    <row r="11" spans="1:2" x14ac:dyDescent="0.25">
      <c r="A11" s="2"/>
    </row>
    <row r="14" spans="1:2" ht="18.75" x14ac:dyDescent="0.25">
      <c r="A14" s="11" t="s">
        <v>28</v>
      </c>
    </row>
    <row r="15" spans="1:2" ht="18.75" x14ac:dyDescent="0.25">
      <c r="A15" s="11"/>
    </row>
    <row r="16" spans="1:2" x14ac:dyDescent="0.25">
      <c r="A16" s="9" t="s">
        <v>104</v>
      </c>
    </row>
    <row r="17" spans="1:5" x14ac:dyDescent="0.25">
      <c r="A17" s="9" t="s">
        <v>105</v>
      </c>
    </row>
    <row r="19" spans="1:5" ht="41.25" customHeight="1" x14ac:dyDescent="0.25">
      <c r="A19" s="3" t="s">
        <v>12</v>
      </c>
      <c r="B19" s="4" t="s">
        <v>27</v>
      </c>
      <c r="C19" s="4" t="s">
        <v>14</v>
      </c>
      <c r="D19" s="4" t="s">
        <v>92</v>
      </c>
      <c r="E19" s="4" t="s">
        <v>106</v>
      </c>
    </row>
    <row r="20" spans="1:5" x14ac:dyDescent="0.25">
      <c r="A20" s="5">
        <v>2020</v>
      </c>
      <c r="B20" s="28">
        <f>21507+11416</f>
        <v>32923</v>
      </c>
      <c r="C20" s="7">
        <v>416687.02</v>
      </c>
      <c r="D20" s="6">
        <v>26370</v>
      </c>
      <c r="E20" s="7">
        <f>B20/D20</f>
        <v>1.2485020857034508</v>
      </c>
    </row>
    <row r="21" spans="1:5" x14ac:dyDescent="0.25">
      <c r="A21" s="5">
        <v>2021</v>
      </c>
      <c r="B21" s="28">
        <f>26668+11087</f>
        <v>37755</v>
      </c>
      <c r="C21" s="7">
        <v>535387.17999999993</v>
      </c>
      <c r="D21" s="6">
        <v>40217</v>
      </c>
      <c r="E21" s="7">
        <f t="shared" ref="E21:E22" si="0">B21/D21</f>
        <v>0.93878210706914988</v>
      </c>
    </row>
    <row r="22" spans="1:5" x14ac:dyDescent="0.25">
      <c r="A22" s="8">
        <v>2022</v>
      </c>
      <c r="B22" s="28">
        <f>8789+293</f>
        <v>9082</v>
      </c>
      <c r="C22" s="7">
        <v>557741.78</v>
      </c>
      <c r="D22" s="6">
        <v>12886</v>
      </c>
      <c r="E22" s="7">
        <f t="shared" si="0"/>
        <v>0.70479590252987734</v>
      </c>
    </row>
    <row r="23" spans="1:5" x14ac:dyDescent="0.25">
      <c r="A23" s="36">
        <v>2023</v>
      </c>
      <c r="B23" s="37">
        <v>2464</v>
      </c>
      <c r="C23" s="46"/>
      <c r="D23" s="37">
        <v>8280</v>
      </c>
      <c r="E23" s="38">
        <f>B23/D23</f>
        <v>0.29758454106280191</v>
      </c>
    </row>
    <row r="24" spans="1:5" x14ac:dyDescent="0.25">
      <c r="A24" s="36">
        <v>2024</v>
      </c>
      <c r="B24" s="37">
        <v>3029</v>
      </c>
      <c r="C24" s="46"/>
      <c r="D24" s="37">
        <v>16682</v>
      </c>
      <c r="E24" s="38">
        <f t="shared" ref="E24" si="1">B24/D24</f>
        <v>0.18157295288334732</v>
      </c>
    </row>
    <row r="25" spans="1:5" x14ac:dyDescent="0.25">
      <c r="A25" s="2"/>
    </row>
    <row r="26" spans="1:5" x14ac:dyDescent="0.25">
      <c r="A26" s="2"/>
    </row>
    <row r="27" spans="1:5" x14ac:dyDescent="0.25">
      <c r="A27" s="2"/>
    </row>
    <row r="29" spans="1:5" x14ac:dyDescent="0.25">
      <c r="A29" s="2" t="s">
        <v>29</v>
      </c>
    </row>
    <row r="30" spans="1:5" x14ac:dyDescent="0.25">
      <c r="A30" s="2"/>
    </row>
    <row r="31" spans="1:5" ht="41.25" customHeight="1" x14ac:dyDescent="0.25">
      <c r="A31" s="3" t="s">
        <v>12</v>
      </c>
      <c r="B31" s="4" t="s">
        <v>30</v>
      </c>
      <c r="C31" s="4" t="s">
        <v>32</v>
      </c>
      <c r="D31" s="4" t="s">
        <v>31</v>
      </c>
    </row>
    <row r="32" spans="1:5" x14ac:dyDescent="0.25">
      <c r="A32" s="5">
        <v>2020</v>
      </c>
      <c r="B32" s="6">
        <v>140</v>
      </c>
      <c r="C32" s="6">
        <v>78</v>
      </c>
      <c r="D32" s="6">
        <v>100</v>
      </c>
    </row>
    <row r="33" spans="1:4" x14ac:dyDescent="0.25">
      <c r="A33" s="5">
        <v>2021</v>
      </c>
      <c r="B33" s="6">
        <v>120</v>
      </c>
      <c r="C33" s="6">
        <v>50</v>
      </c>
      <c r="D33" s="6">
        <v>90</v>
      </c>
    </row>
    <row r="34" spans="1:4" x14ac:dyDescent="0.25">
      <c r="A34" s="8">
        <v>2022</v>
      </c>
      <c r="B34" s="6">
        <v>290</v>
      </c>
      <c r="C34" s="6">
        <v>108</v>
      </c>
      <c r="D34" s="6">
        <v>90</v>
      </c>
    </row>
    <row r="35" spans="1:4" x14ac:dyDescent="0.25">
      <c r="A35" s="36">
        <v>2023</v>
      </c>
      <c r="B35" s="37">
        <v>280</v>
      </c>
      <c r="C35" s="37">
        <v>152</v>
      </c>
      <c r="D35" s="37">
        <v>106</v>
      </c>
    </row>
    <row r="36" spans="1:4" x14ac:dyDescent="0.25">
      <c r="A36" s="36">
        <v>2024</v>
      </c>
      <c r="B36" s="37">
        <v>64</v>
      </c>
      <c r="C36" s="37">
        <v>21</v>
      </c>
      <c r="D36" s="37">
        <v>96</v>
      </c>
    </row>
    <row r="37" spans="1:4" ht="24.75" customHeight="1" x14ac:dyDescent="0.25">
      <c r="A37" s="16" t="s">
        <v>79</v>
      </c>
      <c r="B37" s="16">
        <v>500</v>
      </c>
      <c r="C37" s="16">
        <v>250</v>
      </c>
      <c r="D37" s="16">
        <v>200</v>
      </c>
    </row>
    <row r="39" spans="1:4" x14ac:dyDescent="0.25">
      <c r="A39" s="9" t="s">
        <v>33</v>
      </c>
    </row>
    <row r="44" spans="1:4" x14ac:dyDescent="0.25">
      <c r="A44" s="2" t="s">
        <v>113</v>
      </c>
    </row>
    <row r="45" spans="1:4" x14ac:dyDescent="0.25">
      <c r="A45" s="2"/>
    </row>
    <row r="46" spans="1:4" ht="41.25" customHeight="1" x14ac:dyDescent="0.25">
      <c r="A46" s="3" t="s">
        <v>12</v>
      </c>
      <c r="B46" s="4" t="s">
        <v>30</v>
      </c>
      <c r="C46" s="4" t="s">
        <v>32</v>
      </c>
      <c r="D46" s="4" t="s">
        <v>31</v>
      </c>
    </row>
    <row r="47" spans="1:4" x14ac:dyDescent="0.25">
      <c r="A47" s="5">
        <v>2020</v>
      </c>
      <c r="B47" s="6">
        <v>37</v>
      </c>
      <c r="C47" s="6">
        <v>70</v>
      </c>
      <c r="D47" s="6">
        <v>62.5</v>
      </c>
    </row>
    <row r="48" spans="1:4" x14ac:dyDescent="0.25">
      <c r="A48" s="5">
        <v>2021</v>
      </c>
      <c r="B48" s="6">
        <v>50.5</v>
      </c>
      <c r="C48" s="6">
        <v>76</v>
      </c>
      <c r="D48" s="6">
        <v>68</v>
      </c>
    </row>
    <row r="49" spans="1:4" x14ac:dyDescent="0.25">
      <c r="A49" s="8">
        <v>2022</v>
      </c>
      <c r="B49" s="6">
        <v>49</v>
      </c>
      <c r="C49" s="6">
        <v>40</v>
      </c>
      <c r="D49" s="6">
        <v>43</v>
      </c>
    </row>
    <row r="50" spans="1:4" x14ac:dyDescent="0.25">
      <c r="A50" s="36">
        <v>2023</v>
      </c>
      <c r="B50" s="37">
        <v>61</v>
      </c>
      <c r="C50" s="37">
        <v>39</v>
      </c>
      <c r="D50" s="37">
        <v>45</v>
      </c>
    </row>
    <row r="51" spans="1:4" x14ac:dyDescent="0.25">
      <c r="A51" s="36">
        <v>2024</v>
      </c>
      <c r="B51" s="37">
        <v>59</v>
      </c>
      <c r="C51" s="37">
        <v>36</v>
      </c>
      <c r="D51" s="37">
        <v>46</v>
      </c>
    </row>
    <row r="52" spans="1:4" ht="24" customHeight="1" x14ac:dyDescent="0.25">
      <c r="A52" s="16" t="s">
        <v>79</v>
      </c>
      <c r="B52" s="16">
        <v>500</v>
      </c>
      <c r="C52" s="16">
        <v>250</v>
      </c>
      <c r="D52" s="16">
        <v>200</v>
      </c>
    </row>
    <row r="54" spans="1:4" x14ac:dyDescent="0.25">
      <c r="A54" s="9" t="s">
        <v>41</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0846-7591-4AF7-8988-BBC9A459B6BC}">
  <dimension ref="A1:J68"/>
  <sheetViews>
    <sheetView topLeftCell="A10" workbookViewId="0">
      <selection activeCell="A27" sqref="A27"/>
    </sheetView>
  </sheetViews>
  <sheetFormatPr defaultColWidth="9.140625" defaultRowHeight="15.75" x14ac:dyDescent="0.25"/>
  <cols>
    <col min="1" max="1" width="9.140625" style="1"/>
    <col min="2" max="2" width="25.28515625" style="1" customWidth="1"/>
    <col min="3" max="3" width="21.140625" style="1" customWidth="1"/>
    <col min="4" max="4" width="19.5703125" style="1" customWidth="1"/>
    <col min="5" max="5" width="18.42578125" style="1" customWidth="1"/>
    <col min="6" max="16384" width="9.140625" style="1"/>
  </cols>
  <sheetData>
    <row r="1" spans="1:2" ht="20.25" x14ac:dyDescent="0.25">
      <c r="A1" s="10" t="s">
        <v>34</v>
      </c>
    </row>
    <row r="2" spans="1:2" x14ac:dyDescent="0.25">
      <c r="A2" s="2"/>
    </row>
    <row r="3" spans="1:2" ht="47.25" customHeight="1" x14ac:dyDescent="0.25">
      <c r="A3" s="3" t="s">
        <v>12</v>
      </c>
      <c r="B3" s="4" t="s">
        <v>18</v>
      </c>
    </row>
    <row r="4" spans="1:2" x14ac:dyDescent="0.25">
      <c r="A4" s="5">
        <v>2020</v>
      </c>
      <c r="B4" s="6">
        <v>1145030</v>
      </c>
    </row>
    <row r="5" spans="1:2" x14ac:dyDescent="0.25">
      <c r="A5" s="5">
        <v>2021</v>
      </c>
      <c r="B5" s="6">
        <v>890901</v>
      </c>
    </row>
    <row r="6" spans="1:2" x14ac:dyDescent="0.25">
      <c r="A6" s="8">
        <v>2022</v>
      </c>
      <c r="B6" s="6">
        <v>341724</v>
      </c>
    </row>
    <row r="7" spans="1:2" x14ac:dyDescent="0.25">
      <c r="A7" s="36">
        <v>2023</v>
      </c>
      <c r="B7" s="37">
        <v>216136</v>
      </c>
    </row>
    <row r="8" spans="1:2" x14ac:dyDescent="0.25">
      <c r="A8" s="36">
        <v>2024</v>
      </c>
      <c r="B8" s="37">
        <v>302289</v>
      </c>
    </row>
    <row r="9" spans="1:2" x14ac:dyDescent="0.25">
      <c r="A9" s="2"/>
    </row>
    <row r="10" spans="1:2" x14ac:dyDescent="0.25">
      <c r="A10" s="2"/>
    </row>
    <row r="11" spans="1:2" x14ac:dyDescent="0.25">
      <c r="A11" s="2"/>
    </row>
    <row r="14" spans="1:2" ht="18.75" x14ac:dyDescent="0.25">
      <c r="A14" s="11" t="s">
        <v>40</v>
      </c>
    </row>
    <row r="15" spans="1:2" x14ac:dyDescent="0.25">
      <c r="A15" s="2"/>
    </row>
    <row r="16" spans="1:2" x14ac:dyDescent="0.25">
      <c r="A16" s="1" t="s">
        <v>44</v>
      </c>
    </row>
    <row r="17" spans="1:10" x14ac:dyDescent="0.25">
      <c r="A17" s="1" t="s">
        <v>45</v>
      </c>
    </row>
    <row r="18" spans="1:10" x14ac:dyDescent="0.25">
      <c r="A18" s="2"/>
    </row>
    <row r="19" spans="1:10" x14ac:dyDescent="0.25">
      <c r="A19" s="2" t="s">
        <v>73</v>
      </c>
    </row>
    <row r="20" spans="1:10" x14ac:dyDescent="0.25">
      <c r="A20" s="2"/>
    </row>
    <row r="21" spans="1:10" ht="34.5" customHeight="1" x14ac:dyDescent="0.25">
      <c r="A21" s="3" t="s">
        <v>12</v>
      </c>
      <c r="B21" s="4" t="s">
        <v>42</v>
      </c>
      <c r="C21" s="4" t="s">
        <v>43</v>
      </c>
      <c r="D21" s="14" t="s">
        <v>76</v>
      </c>
      <c r="E21" s="14" t="s">
        <v>76</v>
      </c>
    </row>
    <row r="22" spans="1:10" x14ac:dyDescent="0.25">
      <c r="A22" s="5">
        <v>2020</v>
      </c>
      <c r="B22" s="6">
        <v>1</v>
      </c>
      <c r="C22" s="6">
        <v>1</v>
      </c>
      <c r="D22" s="13">
        <f>IF(B22&lt;5,1,0)</f>
        <v>1</v>
      </c>
      <c r="E22" s="13">
        <f>IF(C22&lt;3,1,0)</f>
        <v>1</v>
      </c>
      <c r="G22" s="74" t="s">
        <v>77</v>
      </c>
      <c r="H22" s="74"/>
      <c r="I22" s="74"/>
      <c r="J22" s="74"/>
    </row>
    <row r="23" spans="1:10" x14ac:dyDescent="0.25">
      <c r="A23" s="5">
        <v>2021</v>
      </c>
      <c r="B23" s="6">
        <v>1</v>
      </c>
      <c r="C23" s="6">
        <v>0</v>
      </c>
      <c r="D23" s="13">
        <f t="shared" ref="D23:E24" si="0">IF(B23&lt;5,1,0)</f>
        <v>1</v>
      </c>
      <c r="E23" s="13">
        <f t="shared" si="0"/>
        <v>1</v>
      </c>
      <c r="G23" s="74" t="s">
        <v>78</v>
      </c>
      <c r="H23" s="74"/>
      <c r="I23" s="74"/>
      <c r="J23" s="74"/>
    </row>
    <row r="24" spans="1:10" x14ac:dyDescent="0.25">
      <c r="A24" s="8">
        <v>2022</v>
      </c>
      <c r="B24" s="6">
        <v>0</v>
      </c>
      <c r="C24" s="6">
        <v>0</v>
      </c>
      <c r="D24" s="13">
        <f t="shared" si="0"/>
        <v>1</v>
      </c>
      <c r="E24" s="13">
        <f t="shared" si="0"/>
        <v>1</v>
      </c>
    </row>
    <row r="25" spans="1:10" x14ac:dyDescent="0.25">
      <c r="A25" s="36">
        <v>2023</v>
      </c>
      <c r="B25" s="37">
        <v>1</v>
      </c>
      <c r="C25" s="37">
        <v>1</v>
      </c>
      <c r="D25" s="41">
        <f t="shared" ref="D25:D26" si="1">IF(B25&lt;5,1,0)</f>
        <v>1</v>
      </c>
      <c r="E25" s="41">
        <f t="shared" ref="E25:E26" si="2">IF(C25&lt;5,1,0)</f>
        <v>1</v>
      </c>
    </row>
    <row r="26" spans="1:10" x14ac:dyDescent="0.25">
      <c r="A26" s="36">
        <v>2024</v>
      </c>
      <c r="B26" s="37">
        <v>0</v>
      </c>
      <c r="C26" s="37">
        <v>1</v>
      </c>
      <c r="D26" s="41">
        <f t="shared" si="1"/>
        <v>1</v>
      </c>
      <c r="E26" s="41">
        <f t="shared" si="2"/>
        <v>1</v>
      </c>
    </row>
    <row r="27" spans="1:10" x14ac:dyDescent="0.25">
      <c r="A27" s="2"/>
    </row>
    <row r="28" spans="1:10" x14ac:dyDescent="0.25">
      <c r="A28" s="2" t="s">
        <v>74</v>
      </c>
    </row>
    <row r="29" spans="1:10" x14ac:dyDescent="0.25">
      <c r="A29" s="2"/>
    </row>
    <row r="30" spans="1:10" ht="31.5" x14ac:dyDescent="0.25">
      <c r="A30" s="3" t="s">
        <v>12</v>
      </c>
      <c r="B30" s="4" t="s">
        <v>42</v>
      </c>
      <c r="C30" s="4" t="s">
        <v>43</v>
      </c>
      <c r="D30" s="14" t="s">
        <v>76</v>
      </c>
      <c r="E30" s="14" t="s">
        <v>76</v>
      </c>
    </row>
    <row r="31" spans="1:10" x14ac:dyDescent="0.25">
      <c r="A31" s="5">
        <v>2020</v>
      </c>
      <c r="B31" s="6">
        <v>1</v>
      </c>
      <c r="C31" s="6">
        <v>0</v>
      </c>
      <c r="D31" s="13">
        <f>IF(B31&lt;5,1,0)</f>
        <v>1</v>
      </c>
      <c r="E31" s="13">
        <f>IF(C31&lt;3,1,0)</f>
        <v>1</v>
      </c>
      <c r="G31" s="74" t="s">
        <v>77</v>
      </c>
      <c r="H31" s="74"/>
      <c r="I31" s="74"/>
      <c r="J31" s="74"/>
    </row>
    <row r="32" spans="1:10" x14ac:dyDescent="0.25">
      <c r="A32" s="5">
        <v>2021</v>
      </c>
      <c r="B32" s="6">
        <v>1</v>
      </c>
      <c r="C32" s="6">
        <v>1</v>
      </c>
      <c r="D32" s="13">
        <f t="shared" ref="D32:D33" si="3">IF(B32&lt;5,1,0)</f>
        <v>1</v>
      </c>
      <c r="E32" s="13">
        <f t="shared" ref="E32:E33" si="4">IF(C32&lt;5,1,0)</f>
        <v>1</v>
      </c>
      <c r="G32" s="74" t="s">
        <v>78</v>
      </c>
      <c r="H32" s="74"/>
      <c r="I32" s="74"/>
      <c r="J32" s="74"/>
    </row>
    <row r="33" spans="1:5" x14ac:dyDescent="0.25">
      <c r="A33" s="8">
        <v>2022</v>
      </c>
      <c r="B33" s="6">
        <v>0</v>
      </c>
      <c r="C33" s="6">
        <v>0</v>
      </c>
      <c r="D33" s="13">
        <f t="shared" si="3"/>
        <v>1</v>
      </c>
      <c r="E33" s="13">
        <f t="shared" si="4"/>
        <v>1</v>
      </c>
    </row>
    <row r="34" spans="1:5" x14ac:dyDescent="0.25">
      <c r="A34" s="36">
        <v>2023</v>
      </c>
      <c r="B34" s="37">
        <v>0</v>
      </c>
      <c r="C34" s="37">
        <v>0</v>
      </c>
      <c r="D34" s="41">
        <f t="shared" ref="D34" si="5">IF(B34&lt;5,1,0)</f>
        <v>1</v>
      </c>
      <c r="E34" s="41">
        <f t="shared" ref="E34" si="6">IF(C34&lt;5,1,0)</f>
        <v>1</v>
      </c>
    </row>
    <row r="35" spans="1:5" x14ac:dyDescent="0.25">
      <c r="A35" s="36">
        <v>2024</v>
      </c>
      <c r="B35" s="37">
        <v>0</v>
      </c>
      <c r="C35" s="37">
        <v>0</v>
      </c>
      <c r="D35" s="41">
        <f t="shared" ref="D35" si="7">IF(B35&lt;5,1,0)</f>
        <v>1</v>
      </c>
      <c r="E35" s="41">
        <f t="shared" ref="E35" si="8">IF(C35&lt;5,1,0)</f>
        <v>1</v>
      </c>
    </row>
    <row r="37" spans="1:5" ht="18.75" x14ac:dyDescent="0.25">
      <c r="A37" s="11" t="s">
        <v>39</v>
      </c>
    </row>
    <row r="38" spans="1:5" x14ac:dyDescent="0.25">
      <c r="A38" s="2"/>
    </row>
    <row r="39" spans="1:5" ht="24.75" customHeight="1" x14ac:dyDescent="0.25">
      <c r="A39" s="72" t="s">
        <v>37</v>
      </c>
      <c r="B39" s="73"/>
    </row>
    <row r="40" spans="1:5" x14ac:dyDescent="0.25">
      <c r="A40" s="2"/>
    </row>
    <row r="41" spans="1:5" ht="41.25" customHeight="1" x14ac:dyDescent="0.25">
      <c r="A41" s="3" t="s">
        <v>12</v>
      </c>
      <c r="B41" s="4" t="s">
        <v>36</v>
      </c>
      <c r="C41" s="4" t="s">
        <v>109</v>
      </c>
      <c r="D41" s="4" t="s">
        <v>110</v>
      </c>
      <c r="E41" s="4" t="s">
        <v>111</v>
      </c>
    </row>
    <row r="42" spans="1:5" x14ac:dyDescent="0.25">
      <c r="A42" s="5">
        <v>2020</v>
      </c>
      <c r="B42" s="6">
        <v>74</v>
      </c>
      <c r="C42" s="6">
        <v>65</v>
      </c>
      <c r="D42" s="6" t="s">
        <v>112</v>
      </c>
      <c r="E42" s="21">
        <v>3.6</v>
      </c>
    </row>
    <row r="43" spans="1:5" x14ac:dyDescent="0.25">
      <c r="A43" s="5">
        <v>2021</v>
      </c>
      <c r="B43" s="6">
        <v>76</v>
      </c>
      <c r="C43" s="6">
        <v>69</v>
      </c>
      <c r="D43" s="6" t="s">
        <v>112</v>
      </c>
      <c r="E43" s="21">
        <v>3.1</v>
      </c>
    </row>
    <row r="44" spans="1:5" x14ac:dyDescent="0.25">
      <c r="A44" s="8">
        <v>2022</v>
      </c>
      <c r="B44" s="6">
        <v>59</v>
      </c>
      <c r="C44" s="6">
        <v>74</v>
      </c>
      <c r="D44" s="6">
        <v>1.2</v>
      </c>
      <c r="E44" s="6">
        <v>2</v>
      </c>
    </row>
    <row r="45" spans="1:5" x14ac:dyDescent="0.25">
      <c r="A45" s="34">
        <v>2023</v>
      </c>
      <c r="B45" s="35">
        <v>15</v>
      </c>
      <c r="C45" s="35">
        <v>82</v>
      </c>
      <c r="D45" s="35">
        <v>4</v>
      </c>
      <c r="E45" s="35">
        <v>3</v>
      </c>
    </row>
    <row r="46" spans="1:5" x14ac:dyDescent="0.25">
      <c r="A46" s="34">
        <v>2024</v>
      </c>
      <c r="B46" s="35">
        <v>254</v>
      </c>
      <c r="C46" s="35">
        <v>345</v>
      </c>
      <c r="D46" s="47">
        <v>6.2</v>
      </c>
      <c r="E46" s="35">
        <v>2</v>
      </c>
    </row>
    <row r="47" spans="1:5" ht="23.25" customHeight="1" x14ac:dyDescent="0.25">
      <c r="A47" s="16" t="s">
        <v>79</v>
      </c>
      <c r="B47" s="16">
        <v>450</v>
      </c>
      <c r="C47" s="16">
        <v>650</v>
      </c>
      <c r="D47" s="16">
        <v>10</v>
      </c>
      <c r="E47" s="16">
        <v>100</v>
      </c>
    </row>
    <row r="49" spans="1:2" x14ac:dyDescent="0.25">
      <c r="A49" s="9" t="s">
        <v>41</v>
      </c>
    </row>
    <row r="50" spans="1:2" x14ac:dyDescent="0.25">
      <c r="A50" s="9"/>
    </row>
    <row r="51" spans="1:2" x14ac:dyDescent="0.25">
      <c r="A51" s="9" t="s">
        <v>163</v>
      </c>
    </row>
    <row r="52" spans="1:2" x14ac:dyDescent="0.25">
      <c r="A52" s="9" t="s">
        <v>165</v>
      </c>
    </row>
    <row r="54" spans="1:2" x14ac:dyDescent="0.25">
      <c r="A54" s="72" t="s">
        <v>38</v>
      </c>
      <c r="B54" s="73"/>
    </row>
    <row r="55" spans="1:2" x14ac:dyDescent="0.25">
      <c r="A55" s="2"/>
    </row>
    <row r="56" spans="1:2" ht="31.5" x14ac:dyDescent="0.25">
      <c r="A56" s="3" t="s">
        <v>12</v>
      </c>
      <c r="B56" s="4" t="s">
        <v>36</v>
      </c>
    </row>
    <row r="57" spans="1:2" x14ac:dyDescent="0.25">
      <c r="A57" s="5">
        <v>2020</v>
      </c>
      <c r="B57" s="6">
        <v>100</v>
      </c>
    </row>
    <row r="58" spans="1:2" x14ac:dyDescent="0.25">
      <c r="A58" s="5">
        <v>2021</v>
      </c>
      <c r="B58" s="6">
        <v>97</v>
      </c>
    </row>
    <row r="59" spans="1:2" x14ac:dyDescent="0.25">
      <c r="A59" s="8">
        <v>2022</v>
      </c>
      <c r="B59" s="6">
        <v>69</v>
      </c>
    </row>
    <row r="60" spans="1:2" x14ac:dyDescent="0.25">
      <c r="A60" s="34">
        <v>2023</v>
      </c>
      <c r="B60" s="35">
        <v>66</v>
      </c>
    </row>
    <row r="61" spans="1:2" x14ac:dyDescent="0.25">
      <c r="A61" s="34">
        <v>2024</v>
      </c>
      <c r="B61" s="35">
        <v>309</v>
      </c>
    </row>
    <row r="62" spans="1:2" x14ac:dyDescent="0.25">
      <c r="A62" s="16" t="s">
        <v>79</v>
      </c>
      <c r="B62" s="16">
        <v>450</v>
      </c>
    </row>
    <row r="64" spans="1:2" x14ac:dyDescent="0.25">
      <c r="A64" s="9" t="s">
        <v>41</v>
      </c>
    </row>
    <row r="67" spans="1:1" x14ac:dyDescent="0.25">
      <c r="A67" s="9" t="s">
        <v>164</v>
      </c>
    </row>
    <row r="68" spans="1:1" x14ac:dyDescent="0.25">
      <c r="A68" s="9" t="s">
        <v>166</v>
      </c>
    </row>
  </sheetData>
  <mergeCells count="6">
    <mergeCell ref="A54:B54"/>
    <mergeCell ref="G22:J22"/>
    <mergeCell ref="G23:J23"/>
    <mergeCell ref="G31:J31"/>
    <mergeCell ref="G32:J32"/>
    <mergeCell ref="A39:B3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C20D-E8E4-41BC-96E9-072A42EC44B3}">
  <dimension ref="A1:J26"/>
  <sheetViews>
    <sheetView workbookViewId="0">
      <selection activeCell="I21" sqref="I21"/>
    </sheetView>
  </sheetViews>
  <sheetFormatPr defaultColWidth="9.140625" defaultRowHeight="15.75" x14ac:dyDescent="0.25"/>
  <cols>
    <col min="1" max="1" width="9.140625" style="1"/>
    <col min="2" max="2" width="25.28515625" style="1" customWidth="1"/>
    <col min="3" max="3" width="21.140625" style="1" customWidth="1"/>
    <col min="4" max="4" width="17.5703125" style="1" customWidth="1"/>
    <col min="5" max="5" width="13.85546875" style="1" customWidth="1"/>
    <col min="6" max="6" width="9.140625" style="1"/>
    <col min="7" max="7" width="17.28515625" style="1" customWidth="1"/>
    <col min="8" max="8" width="16" style="1" customWidth="1"/>
    <col min="9" max="9" width="13" style="1" customWidth="1"/>
    <col min="10" max="16384" width="9.140625" style="1"/>
  </cols>
  <sheetData>
    <row r="1" spans="1:10" ht="20.25" x14ac:dyDescent="0.25">
      <c r="A1" s="10" t="s">
        <v>46</v>
      </c>
    </row>
    <row r="2" spans="1:10" x14ac:dyDescent="0.25">
      <c r="A2" s="2"/>
    </row>
    <row r="3" spans="1:10" x14ac:dyDescent="0.25">
      <c r="A3" s="2" t="s">
        <v>47</v>
      </c>
    </row>
    <row r="4" spans="1:10" x14ac:dyDescent="0.25">
      <c r="A4" s="2"/>
    </row>
    <row r="5" spans="1:10" ht="18.75" x14ac:dyDescent="0.25">
      <c r="A5" s="11" t="s">
        <v>123</v>
      </c>
    </row>
    <row r="6" spans="1:10" x14ac:dyDescent="0.25">
      <c r="A6" s="2"/>
    </row>
    <row r="7" spans="1:10" ht="50.25" customHeight="1" x14ac:dyDescent="0.25">
      <c r="A7" s="3" t="s">
        <v>12</v>
      </c>
      <c r="B7" s="4" t="s">
        <v>116</v>
      </c>
      <c r="C7" s="4" t="s">
        <v>117</v>
      </c>
      <c r="D7" s="4" t="s">
        <v>118</v>
      </c>
      <c r="E7" s="4" t="s">
        <v>119</v>
      </c>
      <c r="F7" s="4" t="s">
        <v>120</v>
      </c>
      <c r="G7" s="4" t="s">
        <v>131</v>
      </c>
      <c r="H7" s="4" t="s">
        <v>132</v>
      </c>
      <c r="I7" s="4" t="s">
        <v>133</v>
      </c>
      <c r="J7" s="4" t="s">
        <v>134</v>
      </c>
    </row>
    <row r="8" spans="1:10" x14ac:dyDescent="0.25">
      <c r="A8" s="5">
        <v>2018</v>
      </c>
      <c r="B8" s="21">
        <f>AVERAGE(92.5,90)</f>
        <v>91.25</v>
      </c>
      <c r="C8" s="21">
        <f>AVERAGE(89,82)</f>
        <v>85.5</v>
      </c>
      <c r="D8" s="21">
        <f>AVERAGE(90.5,91)</f>
        <v>90.75</v>
      </c>
      <c r="E8" s="21">
        <v>88.5</v>
      </c>
      <c r="F8" s="21">
        <f>AVERAGE(65,70)</f>
        <v>67.5</v>
      </c>
      <c r="G8" s="21">
        <f>AVERAGE(B8:F8)</f>
        <v>84.7</v>
      </c>
      <c r="H8" s="28">
        <v>2220</v>
      </c>
      <c r="I8" s="29">
        <f>G8/H8</f>
        <v>3.8153153153153152E-2</v>
      </c>
      <c r="J8" s="29">
        <f>I9-I8</f>
        <v>1.2985197093003803E-3</v>
      </c>
    </row>
    <row r="9" spans="1:10" x14ac:dyDescent="0.25">
      <c r="A9" s="5">
        <v>2021</v>
      </c>
      <c r="B9" s="21">
        <f t="shared" ref="B9" si="0">AVERAGE(93.5,91)</f>
        <v>92.25</v>
      </c>
      <c r="C9" s="21">
        <f t="shared" ref="C9" si="1">AVERAGE(89,82)</f>
        <v>85.5</v>
      </c>
      <c r="D9" s="21">
        <f t="shared" ref="D9" si="2">AVERAGE(90.5,91)</f>
        <v>90.75</v>
      </c>
      <c r="E9" s="21">
        <v>88.5</v>
      </c>
      <c r="F9" s="21">
        <f t="shared" ref="F9" si="3">AVERAGE(65,70)</f>
        <v>67.5</v>
      </c>
      <c r="G9" s="21">
        <f>AVERAGE(B9:F9)</f>
        <v>84.9</v>
      </c>
      <c r="H9" s="28">
        <v>2152</v>
      </c>
      <c r="I9" s="29">
        <f>G9/H9</f>
        <v>3.9451672862453532E-2</v>
      </c>
      <c r="J9" s="29" t="s">
        <v>21</v>
      </c>
    </row>
    <row r="10" spans="1:10" x14ac:dyDescent="0.25">
      <c r="A10" s="43">
        <v>2023</v>
      </c>
      <c r="B10" s="42">
        <v>89</v>
      </c>
      <c r="C10" s="42">
        <v>83</v>
      </c>
      <c r="D10" s="42">
        <v>89</v>
      </c>
      <c r="E10" s="42">
        <v>83</v>
      </c>
      <c r="F10" s="42">
        <v>65</v>
      </c>
      <c r="G10" s="42">
        <f>AVERAGE(B10:F10)</f>
        <v>81.8</v>
      </c>
      <c r="H10" s="45">
        <v>2208</v>
      </c>
      <c r="I10" s="44">
        <f>G10/H10</f>
        <v>3.7047101449275359E-2</v>
      </c>
      <c r="J10" s="44" t="s">
        <v>21</v>
      </c>
    </row>
    <row r="11" spans="1:10" x14ac:dyDescent="0.25">
      <c r="A11" s="2"/>
    </row>
    <row r="12" spans="1:10" x14ac:dyDescent="0.25">
      <c r="A12" s="2"/>
    </row>
    <row r="13" spans="1:10" x14ac:dyDescent="0.25">
      <c r="A13" s="2"/>
    </row>
    <row r="14" spans="1:10" ht="18.75" x14ac:dyDescent="0.25">
      <c r="A14" s="11" t="s">
        <v>124</v>
      </c>
    </row>
    <row r="15" spans="1:10" x14ac:dyDescent="0.25">
      <c r="A15" s="2"/>
    </row>
    <row r="16" spans="1:10" ht="31.5" x14ac:dyDescent="0.25">
      <c r="A16" s="3" t="s">
        <v>12</v>
      </c>
      <c r="B16" s="4" t="s">
        <v>121</v>
      </c>
      <c r="C16" s="4" t="s">
        <v>122</v>
      </c>
    </row>
    <row r="17" spans="1:3" x14ac:dyDescent="0.25">
      <c r="A17" s="5">
        <v>2018</v>
      </c>
      <c r="B17" s="21">
        <f>AVERAGE(58,65,58.5,54.5,67,63.5)</f>
        <v>61.083333333333336</v>
      </c>
      <c r="C17" s="21">
        <f>AVERAGE(46.5,49.5,56)</f>
        <v>50.666666666666664</v>
      </c>
    </row>
    <row r="18" spans="1:3" x14ac:dyDescent="0.25">
      <c r="A18" s="5">
        <v>2021</v>
      </c>
      <c r="B18" s="21">
        <f>AVERAGE(58,62,59,53,65,60)</f>
        <v>59.5</v>
      </c>
      <c r="C18" s="21">
        <f>AVERAGE(46,48.5,54.5)</f>
        <v>49.666666666666664</v>
      </c>
    </row>
    <row r="19" spans="1:3" x14ac:dyDescent="0.25">
      <c r="A19" s="43">
        <v>2023</v>
      </c>
      <c r="B19" s="42">
        <v>57.1</v>
      </c>
      <c r="C19" s="42">
        <v>43.8</v>
      </c>
    </row>
    <row r="22" spans="1:3" x14ac:dyDescent="0.25">
      <c r="A22" s="9"/>
    </row>
    <row r="25" spans="1:3" x14ac:dyDescent="0.25">
      <c r="A25" s="9" t="s">
        <v>161</v>
      </c>
    </row>
    <row r="26" spans="1:3" x14ac:dyDescent="0.25">
      <c r="A26" s="9" t="s">
        <v>162</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9F4B-BC94-49B7-AC9F-080428D0FBDC}">
  <dimension ref="A1:P51"/>
  <sheetViews>
    <sheetView topLeftCell="A19" workbookViewId="0">
      <selection activeCell="J35" sqref="J35"/>
    </sheetView>
  </sheetViews>
  <sheetFormatPr defaultColWidth="9.140625" defaultRowHeight="15.75" x14ac:dyDescent="0.25"/>
  <cols>
    <col min="1" max="1" width="10.140625" style="1" customWidth="1"/>
    <col min="2" max="2" width="25.28515625" style="1" customWidth="1"/>
    <col min="3" max="3" width="21.140625" style="1" customWidth="1"/>
    <col min="4" max="4" width="16.140625" style="1" customWidth="1"/>
    <col min="5" max="5" width="18.140625" style="1" customWidth="1"/>
    <col min="6" max="6" width="14.42578125" style="1" customWidth="1"/>
    <col min="7" max="7" width="15.42578125" style="1" customWidth="1"/>
    <col min="8" max="8" width="15" style="1" customWidth="1"/>
    <col min="9" max="9" width="15.140625" style="1" customWidth="1"/>
    <col min="10" max="10" width="15.5703125" style="1" customWidth="1"/>
    <col min="11" max="11" width="16.28515625" style="1" customWidth="1"/>
    <col min="12" max="12" width="16.42578125" style="1" customWidth="1"/>
    <col min="13" max="13" width="15.5703125" style="1" customWidth="1"/>
    <col min="14" max="16384" width="9.140625" style="1"/>
  </cols>
  <sheetData>
    <row r="1" spans="1:2" ht="20.25" x14ac:dyDescent="0.25">
      <c r="A1" s="10" t="s">
        <v>49</v>
      </c>
    </row>
    <row r="2" spans="1:2" x14ac:dyDescent="0.25">
      <c r="A2" s="2"/>
    </row>
    <row r="3" spans="1:2" ht="47.25" customHeight="1" x14ac:dyDescent="0.25">
      <c r="A3" s="3" t="s">
        <v>12</v>
      </c>
      <c r="B3" s="4" t="s">
        <v>50</v>
      </c>
    </row>
    <row r="4" spans="1:2" x14ac:dyDescent="0.25">
      <c r="A4" s="5">
        <v>2020</v>
      </c>
      <c r="B4" s="53">
        <v>197231.21</v>
      </c>
    </row>
    <row r="5" spans="1:2" x14ac:dyDescent="0.25">
      <c r="A5" s="5">
        <v>2021</v>
      </c>
      <c r="B5" s="53">
        <v>69022.73</v>
      </c>
    </row>
    <row r="6" spans="1:2" x14ac:dyDescent="0.25">
      <c r="A6" s="8">
        <v>2022</v>
      </c>
      <c r="B6" s="53">
        <v>32516.18</v>
      </c>
    </row>
    <row r="7" spans="1:2" x14ac:dyDescent="0.25">
      <c r="A7" s="36">
        <v>2023</v>
      </c>
      <c r="B7" s="38">
        <v>710.86</v>
      </c>
    </row>
    <row r="8" spans="1:2" x14ac:dyDescent="0.25">
      <c r="A8" s="36">
        <v>2024</v>
      </c>
      <c r="B8" s="38">
        <v>1714.91</v>
      </c>
    </row>
    <row r="9" spans="1:2" x14ac:dyDescent="0.25">
      <c r="A9" s="2"/>
    </row>
    <row r="10" spans="1:2" x14ac:dyDescent="0.25">
      <c r="A10" s="2"/>
    </row>
    <row r="11" spans="1:2" x14ac:dyDescent="0.25">
      <c r="A11" s="2"/>
    </row>
    <row r="14" spans="1:2" x14ac:dyDescent="0.25">
      <c r="A14" s="2"/>
    </row>
    <row r="15" spans="1:2" x14ac:dyDescent="0.25">
      <c r="A15" s="2"/>
    </row>
    <row r="17" spans="1:16" ht="18.75" x14ac:dyDescent="0.25">
      <c r="A17" s="11" t="s">
        <v>51</v>
      </c>
    </row>
    <row r="18" spans="1:16" x14ac:dyDescent="0.25">
      <c r="A18" s="2"/>
    </row>
    <row r="19" spans="1:16" ht="41.25" customHeight="1" x14ac:dyDescent="0.25">
      <c r="A19" s="3" t="s">
        <v>12</v>
      </c>
      <c r="B19" s="4" t="s">
        <v>50</v>
      </c>
      <c r="C19" s="4" t="s">
        <v>92</v>
      </c>
      <c r="D19" s="4" t="s">
        <v>130</v>
      </c>
      <c r="E19" s="4" t="s">
        <v>134</v>
      </c>
    </row>
    <row r="20" spans="1:16" x14ac:dyDescent="0.25">
      <c r="A20" s="5">
        <v>2020</v>
      </c>
      <c r="B20" s="28">
        <v>197231.21</v>
      </c>
      <c r="C20" s="6">
        <v>26370</v>
      </c>
      <c r="D20" s="30">
        <f>B20/C20</f>
        <v>7.4793784603716338</v>
      </c>
      <c r="E20" s="7">
        <f>D21-D20</f>
        <v>-5.7631209075954448</v>
      </c>
    </row>
    <row r="21" spans="1:16" x14ac:dyDescent="0.25">
      <c r="A21" s="5">
        <v>2021</v>
      </c>
      <c r="B21" s="28">
        <v>69022.73</v>
      </c>
      <c r="C21" s="6">
        <v>40217</v>
      </c>
      <c r="D21" s="30">
        <f>B21/C21</f>
        <v>1.716257552776189</v>
      </c>
      <c r="E21" s="7">
        <f t="shared" ref="E21:E22" si="0">D22-D21</f>
        <v>0.8071150997148866</v>
      </c>
    </row>
    <row r="22" spans="1:16" x14ac:dyDescent="0.25">
      <c r="A22" s="8">
        <v>2022</v>
      </c>
      <c r="B22" s="28">
        <v>32516.18</v>
      </c>
      <c r="C22" s="6">
        <v>12886</v>
      </c>
      <c r="D22" s="30">
        <f>B22/C22</f>
        <v>2.5233726524910756</v>
      </c>
      <c r="E22" s="7">
        <f t="shared" si="0"/>
        <v>-2.4375199954862445</v>
      </c>
    </row>
    <row r="23" spans="1:16" x14ac:dyDescent="0.25">
      <c r="A23" s="36">
        <v>2023</v>
      </c>
      <c r="B23" s="38">
        <v>710.86</v>
      </c>
      <c r="C23" s="37">
        <v>8280</v>
      </c>
      <c r="D23" s="38">
        <f>B23/C23</f>
        <v>8.5852657004830926E-2</v>
      </c>
      <c r="E23" s="38" t="s">
        <v>21</v>
      </c>
    </row>
    <row r="24" spans="1:16" x14ac:dyDescent="0.25">
      <c r="A24" s="36">
        <v>2024</v>
      </c>
      <c r="B24" s="38">
        <v>1714.91</v>
      </c>
      <c r="C24" s="37">
        <v>16682</v>
      </c>
      <c r="D24" s="38">
        <f>B24/C24</f>
        <v>0.1028000239779403</v>
      </c>
      <c r="E24" s="38" t="s">
        <v>21</v>
      </c>
    </row>
    <row r="25" spans="1:16" x14ac:dyDescent="0.25">
      <c r="A25" s="2"/>
    </row>
    <row r="26" spans="1:16" x14ac:dyDescent="0.25">
      <c r="A26" s="2"/>
    </row>
    <row r="28" spans="1:16" ht="18.75" x14ac:dyDescent="0.25">
      <c r="A28" s="11" t="s">
        <v>196</v>
      </c>
    </row>
    <row r="29" spans="1:16" x14ac:dyDescent="0.25">
      <c r="A29" s="2"/>
    </row>
    <row r="30" spans="1:16" ht="27.75" customHeight="1" x14ac:dyDescent="0.25">
      <c r="A30" s="3" t="s">
        <v>12</v>
      </c>
      <c r="B30" s="31" t="s">
        <v>52</v>
      </c>
      <c r="C30" s="31" t="s">
        <v>53</v>
      </c>
      <c r="D30" s="31" t="s">
        <v>54</v>
      </c>
      <c r="E30" s="31" t="s">
        <v>137</v>
      </c>
      <c r="F30" s="31" t="s">
        <v>138</v>
      </c>
      <c r="G30" s="31" t="s">
        <v>139</v>
      </c>
      <c r="H30" s="31" t="s">
        <v>140</v>
      </c>
      <c r="I30" s="31" t="s">
        <v>156</v>
      </c>
      <c r="J30" s="31" t="s">
        <v>167</v>
      </c>
      <c r="K30" s="31" t="s">
        <v>168</v>
      </c>
      <c r="L30" s="31" t="s">
        <v>169</v>
      </c>
      <c r="M30" s="4" t="s">
        <v>193</v>
      </c>
    </row>
    <row r="31" spans="1:16" x14ac:dyDescent="0.25">
      <c r="A31" s="5">
        <v>2020</v>
      </c>
      <c r="B31" s="48">
        <v>61.21</v>
      </c>
      <c r="C31" s="49">
        <v>60</v>
      </c>
      <c r="D31" s="6">
        <v>0</v>
      </c>
      <c r="E31" s="49">
        <v>197110</v>
      </c>
      <c r="F31" s="6">
        <v>0</v>
      </c>
      <c r="G31" s="6">
        <v>0</v>
      </c>
      <c r="H31" s="6">
        <v>0</v>
      </c>
      <c r="I31" s="6">
        <v>0</v>
      </c>
      <c r="J31" s="6">
        <v>0</v>
      </c>
      <c r="K31" s="6">
        <v>0</v>
      </c>
      <c r="L31" s="6">
        <v>0</v>
      </c>
      <c r="M31" s="54">
        <f>(C31+E31)/B20</f>
        <v>0.99968965357967432</v>
      </c>
      <c r="O31" s="56"/>
      <c r="P31" s="58" t="s">
        <v>197</v>
      </c>
    </row>
    <row r="32" spans="1:16" x14ac:dyDescent="0.25">
      <c r="A32" s="5">
        <v>2021</v>
      </c>
      <c r="B32" s="48">
        <v>40.729999999999997</v>
      </c>
      <c r="C32" s="49">
        <v>30</v>
      </c>
      <c r="D32" s="49">
        <v>3392</v>
      </c>
      <c r="E32" s="50">
        <v>30140</v>
      </c>
      <c r="F32" s="50">
        <v>35130</v>
      </c>
      <c r="G32" s="52">
        <v>120</v>
      </c>
      <c r="H32" s="6">
        <v>0</v>
      </c>
      <c r="I32" s="50">
        <v>170</v>
      </c>
      <c r="J32" s="6">
        <v>0</v>
      </c>
      <c r="K32" s="6">
        <v>0</v>
      </c>
      <c r="L32" s="6">
        <v>0</v>
      </c>
      <c r="M32" s="54">
        <f>(C32+D32+E32+F32+I32)/B21</f>
        <v>0.99767134681575187</v>
      </c>
      <c r="O32" s="57"/>
      <c r="P32" s="58" t="s">
        <v>198</v>
      </c>
    </row>
    <row r="33" spans="1:13" x14ac:dyDescent="0.25">
      <c r="A33" s="8">
        <v>2022</v>
      </c>
      <c r="B33" s="48">
        <v>38.677999999999997</v>
      </c>
      <c r="C33" s="6">
        <v>0</v>
      </c>
      <c r="D33" s="6">
        <v>0</v>
      </c>
      <c r="E33" s="6">
        <v>0</v>
      </c>
      <c r="F33" s="6">
        <v>0</v>
      </c>
      <c r="G33" s="51">
        <v>17.5</v>
      </c>
      <c r="H33" s="52">
        <v>31820</v>
      </c>
      <c r="I33" s="50">
        <v>640</v>
      </c>
      <c r="J33" s="6">
        <v>0</v>
      </c>
      <c r="K33" s="6">
        <v>0</v>
      </c>
      <c r="L33" s="6">
        <v>0</v>
      </c>
      <c r="M33" s="55">
        <f>(I33)/B22</f>
        <v>1.9682508830988141E-2</v>
      </c>
    </row>
    <row r="34" spans="1:13" x14ac:dyDescent="0.25">
      <c r="A34" s="36">
        <v>2023</v>
      </c>
      <c r="B34" s="48">
        <v>30.856000000000002</v>
      </c>
      <c r="C34" s="49">
        <v>40</v>
      </c>
      <c r="D34" s="37">
        <v>0</v>
      </c>
      <c r="E34" s="37">
        <v>0</v>
      </c>
      <c r="F34" s="37">
        <v>0</v>
      </c>
      <c r="G34" s="52">
        <v>50</v>
      </c>
      <c r="H34" s="37">
        <v>0</v>
      </c>
      <c r="I34" s="50">
        <v>590</v>
      </c>
      <c r="J34" s="37">
        <v>0</v>
      </c>
      <c r="K34" s="37">
        <v>0</v>
      </c>
      <c r="L34" s="37">
        <v>0</v>
      </c>
      <c r="M34" s="54">
        <f>(C34+I34)/B23</f>
        <v>0.88625045719269613</v>
      </c>
    </row>
    <row r="35" spans="1:13" x14ac:dyDescent="0.25">
      <c r="A35" s="36">
        <v>2024</v>
      </c>
      <c r="B35" s="48">
        <v>24.91</v>
      </c>
      <c r="C35" s="49">
        <v>20</v>
      </c>
      <c r="D35" s="49">
        <v>690</v>
      </c>
      <c r="E35" s="37">
        <v>0</v>
      </c>
      <c r="F35" s="37">
        <v>0</v>
      </c>
      <c r="G35" s="52">
        <v>40</v>
      </c>
      <c r="H35" s="37">
        <v>0</v>
      </c>
      <c r="I35" s="37">
        <v>0</v>
      </c>
      <c r="J35" s="49">
        <v>350</v>
      </c>
      <c r="K35" s="52">
        <v>440</v>
      </c>
      <c r="L35" s="49">
        <v>150</v>
      </c>
      <c r="M35" s="54">
        <f>(C35+D35+J35+L35)/B24</f>
        <v>0.70557638593278948</v>
      </c>
    </row>
    <row r="37" spans="1:13" x14ac:dyDescent="0.25">
      <c r="A37" s="9" t="s">
        <v>194</v>
      </c>
    </row>
    <row r="38" spans="1:13" x14ac:dyDescent="0.25">
      <c r="A38" s="9" t="s">
        <v>195</v>
      </c>
    </row>
    <row r="40" spans="1:13" x14ac:dyDescent="0.25">
      <c r="A40" s="2" t="s">
        <v>170</v>
      </c>
    </row>
    <row r="41" spans="1:13" x14ac:dyDescent="0.25">
      <c r="A41" s="1" t="s">
        <v>184</v>
      </c>
      <c r="B41" s="1" t="s">
        <v>181</v>
      </c>
    </row>
    <row r="42" spans="1:13" x14ac:dyDescent="0.25">
      <c r="A42" s="1" t="s">
        <v>185</v>
      </c>
      <c r="B42" s="1" t="s">
        <v>183</v>
      </c>
    </row>
    <row r="43" spans="1:13" x14ac:dyDescent="0.25">
      <c r="A43" s="1" t="s">
        <v>171</v>
      </c>
      <c r="B43" s="1" t="s">
        <v>187</v>
      </c>
    </row>
    <row r="44" spans="1:13" x14ac:dyDescent="0.25">
      <c r="A44" s="1" t="s">
        <v>172</v>
      </c>
      <c r="B44" s="1" t="s">
        <v>188</v>
      </c>
    </row>
    <row r="45" spans="1:13" x14ac:dyDescent="0.25">
      <c r="A45" s="1" t="s">
        <v>173</v>
      </c>
      <c r="B45" s="1" t="s">
        <v>189</v>
      </c>
    </row>
    <row r="46" spans="1:13" x14ac:dyDescent="0.25">
      <c r="A46" s="1" t="s">
        <v>174</v>
      </c>
      <c r="B46" s="1" t="s">
        <v>175</v>
      </c>
    </row>
    <row r="47" spans="1:13" x14ac:dyDescent="0.25">
      <c r="A47" s="1" t="s">
        <v>176</v>
      </c>
      <c r="B47" s="1" t="s">
        <v>182</v>
      </c>
    </row>
    <row r="48" spans="1:13" x14ac:dyDescent="0.25">
      <c r="A48" s="1" t="s">
        <v>177</v>
      </c>
      <c r="B48" s="1" t="s">
        <v>186</v>
      </c>
    </row>
    <row r="49" spans="1:2" x14ac:dyDescent="0.25">
      <c r="A49" s="1" t="s">
        <v>178</v>
      </c>
      <c r="B49" s="1" t="s">
        <v>191</v>
      </c>
    </row>
    <row r="50" spans="1:2" x14ac:dyDescent="0.25">
      <c r="A50" s="1" t="s">
        <v>179</v>
      </c>
      <c r="B50" s="1" t="s">
        <v>190</v>
      </c>
    </row>
    <row r="51" spans="1:2" x14ac:dyDescent="0.25">
      <c r="A51" s="1" t="s">
        <v>180</v>
      </c>
      <c r="B51" s="1" t="s">
        <v>192</v>
      </c>
    </row>
  </sheetData>
  <phoneticPr fontId="9"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1971-F420-406B-83C1-A305612396A6}">
  <dimension ref="A1:J14"/>
  <sheetViews>
    <sheetView workbookViewId="0">
      <selection activeCell="C12" sqref="C12"/>
    </sheetView>
  </sheetViews>
  <sheetFormatPr defaultColWidth="9.140625" defaultRowHeight="15.75" x14ac:dyDescent="0.25"/>
  <cols>
    <col min="1" max="1" width="9.140625" style="1"/>
    <col min="2" max="2" width="25.28515625" style="1" customWidth="1"/>
    <col min="3" max="3" width="21.140625" style="1" customWidth="1"/>
    <col min="4" max="4" width="16.140625" style="1" customWidth="1"/>
    <col min="5" max="5" width="13.85546875" style="1" customWidth="1"/>
    <col min="6" max="9" width="9.140625" style="1"/>
    <col min="10" max="10" width="11.5703125" style="1" customWidth="1"/>
    <col min="11" max="16384" width="9.140625" style="1"/>
  </cols>
  <sheetData>
    <row r="1" spans="1:10" ht="20.25" x14ac:dyDescent="0.25">
      <c r="A1" s="10" t="s">
        <v>55</v>
      </c>
    </row>
    <row r="2" spans="1:10" x14ac:dyDescent="0.25">
      <c r="A2" s="2"/>
    </row>
    <row r="3" spans="1:10" x14ac:dyDescent="0.25">
      <c r="A3" s="2" t="s">
        <v>61</v>
      </c>
    </row>
    <row r="4" spans="1:10" x14ac:dyDescent="0.25">
      <c r="A4" s="1" t="s">
        <v>58</v>
      </c>
    </row>
    <row r="5" spans="1:10" x14ac:dyDescent="0.25">
      <c r="A5" s="1" t="s">
        <v>59</v>
      </c>
    </row>
    <row r="6" spans="1:10" x14ac:dyDescent="0.25">
      <c r="A6" s="2"/>
    </row>
    <row r="7" spans="1:10" ht="41.25" customHeight="1" x14ac:dyDescent="0.25">
      <c r="A7" s="3" t="s">
        <v>12</v>
      </c>
      <c r="B7" s="4" t="s">
        <v>56</v>
      </c>
      <c r="C7" s="4" t="s">
        <v>57</v>
      </c>
      <c r="D7" s="4" t="s">
        <v>60</v>
      </c>
      <c r="E7" s="14" t="s">
        <v>62</v>
      </c>
    </row>
    <row r="8" spans="1:10" x14ac:dyDescent="0.25">
      <c r="A8" s="5">
        <v>2020</v>
      </c>
      <c r="B8" s="6">
        <v>0</v>
      </c>
      <c r="C8" s="6">
        <v>0</v>
      </c>
      <c r="D8" s="6" t="s">
        <v>21</v>
      </c>
      <c r="E8" s="20" t="s">
        <v>21</v>
      </c>
      <c r="G8" s="74" t="s">
        <v>82</v>
      </c>
      <c r="H8" s="74"/>
      <c r="I8" s="74"/>
      <c r="J8" s="74"/>
    </row>
    <row r="9" spans="1:10" x14ac:dyDescent="0.25">
      <c r="A9" s="5">
        <v>2021</v>
      </c>
      <c r="B9" s="6">
        <v>2</v>
      </c>
      <c r="C9" s="6">
        <v>2</v>
      </c>
      <c r="D9" s="6">
        <f t="shared" ref="D9:D10" si="0">C9/B9*100</f>
        <v>100</v>
      </c>
      <c r="E9" s="20">
        <f t="shared" ref="E9:E10" si="1">IF(D9&gt;90%,1,0)</f>
        <v>1</v>
      </c>
      <c r="G9" s="74" t="s">
        <v>83</v>
      </c>
      <c r="H9" s="74"/>
      <c r="I9" s="74"/>
      <c r="J9" s="74"/>
    </row>
    <row r="10" spans="1:10" x14ac:dyDescent="0.25">
      <c r="A10" s="8">
        <v>2022</v>
      </c>
      <c r="B10" s="6">
        <v>2</v>
      </c>
      <c r="C10" s="6">
        <v>2</v>
      </c>
      <c r="D10" s="6">
        <f t="shared" si="0"/>
        <v>100</v>
      </c>
      <c r="E10" s="20">
        <f t="shared" si="1"/>
        <v>1</v>
      </c>
    </row>
    <row r="11" spans="1:10" x14ac:dyDescent="0.25">
      <c r="A11" s="36">
        <v>2023</v>
      </c>
      <c r="B11" s="37">
        <v>3</v>
      </c>
      <c r="C11" s="37">
        <v>3</v>
      </c>
      <c r="D11" s="37">
        <f t="shared" ref="D11" si="2">C11/B11*100</f>
        <v>100</v>
      </c>
      <c r="E11" s="20">
        <f t="shared" ref="E11" si="3">IF(D11&gt;90%,1,0)</f>
        <v>1</v>
      </c>
    </row>
    <row r="12" spans="1:10" x14ac:dyDescent="0.25">
      <c r="A12" s="36">
        <v>2024</v>
      </c>
      <c r="B12" s="37">
        <v>3</v>
      </c>
      <c r="C12" s="37">
        <v>3</v>
      </c>
      <c r="D12" s="37">
        <f t="shared" ref="D12" si="4">C12/B12*100</f>
        <v>100</v>
      </c>
      <c r="E12" s="20">
        <f t="shared" ref="E12" si="5">IF(D12&gt;90%,1,0)</f>
        <v>1</v>
      </c>
    </row>
    <row r="13" spans="1:10" x14ac:dyDescent="0.25">
      <c r="A13" s="2"/>
    </row>
    <row r="14" spans="1:10" x14ac:dyDescent="0.25">
      <c r="A14" s="9" t="s">
        <v>84</v>
      </c>
    </row>
  </sheetData>
  <mergeCells count="2">
    <mergeCell ref="G8:J8"/>
    <mergeCell ref="G9:J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4671-B60B-431C-98D3-64A70799B563}">
  <dimension ref="A1:H12"/>
  <sheetViews>
    <sheetView workbookViewId="0">
      <selection activeCell="A13" sqref="A13"/>
    </sheetView>
  </sheetViews>
  <sheetFormatPr defaultColWidth="9.140625" defaultRowHeight="15.75" x14ac:dyDescent="0.25"/>
  <cols>
    <col min="1" max="1" width="9.140625" style="1"/>
    <col min="2" max="2" width="27.85546875" style="1" customWidth="1"/>
    <col min="3" max="3" width="13.85546875" style="1" customWidth="1"/>
    <col min="4" max="4" width="9.140625" style="1"/>
    <col min="5" max="5" width="9.140625" style="1" customWidth="1"/>
    <col min="6" max="7" width="9.140625" style="1"/>
    <col min="8" max="8" width="19.42578125" style="1" customWidth="1"/>
    <col min="9" max="16384" width="9.140625" style="1"/>
  </cols>
  <sheetData>
    <row r="1" spans="1:8" ht="20.25" x14ac:dyDescent="0.25">
      <c r="A1" s="10" t="s">
        <v>85</v>
      </c>
    </row>
    <row r="2" spans="1:8" x14ac:dyDescent="0.25">
      <c r="A2" s="2"/>
    </row>
    <row r="3" spans="1:8" x14ac:dyDescent="0.25">
      <c r="A3" s="2" t="s">
        <v>86</v>
      </c>
    </row>
    <row r="4" spans="1:8" x14ac:dyDescent="0.25">
      <c r="A4" s="1" t="s">
        <v>87</v>
      </c>
    </row>
    <row r="5" spans="1:8" x14ac:dyDescent="0.25">
      <c r="A5" s="1" t="s">
        <v>91</v>
      </c>
    </row>
    <row r="6" spans="1:8" x14ac:dyDescent="0.25">
      <c r="A6" s="2"/>
    </row>
    <row r="7" spans="1:8" ht="41.25" customHeight="1" x14ac:dyDescent="0.25">
      <c r="A7" s="3" t="s">
        <v>12</v>
      </c>
      <c r="B7" s="4" t="s">
        <v>88</v>
      </c>
      <c r="C7" s="14" t="s">
        <v>81</v>
      </c>
    </row>
    <row r="8" spans="1:8" x14ac:dyDescent="0.25">
      <c r="A8" s="5">
        <v>2020</v>
      </c>
      <c r="B8" s="6">
        <v>0</v>
      </c>
      <c r="C8" s="20">
        <f>IF(B8&lt;3,1,0)</f>
        <v>1</v>
      </c>
      <c r="E8" s="74" t="s">
        <v>89</v>
      </c>
      <c r="F8" s="74"/>
      <c r="G8" s="74"/>
      <c r="H8" s="74"/>
    </row>
    <row r="9" spans="1:8" x14ac:dyDescent="0.25">
      <c r="A9" s="5">
        <v>2021</v>
      </c>
      <c r="B9" s="6">
        <v>0</v>
      </c>
      <c r="C9" s="20">
        <f t="shared" ref="C9:C10" si="0">IF(B9&lt;3,1,0)</f>
        <v>1</v>
      </c>
      <c r="E9" s="74" t="s">
        <v>90</v>
      </c>
      <c r="F9" s="74"/>
      <c r="G9" s="74"/>
      <c r="H9" s="74"/>
    </row>
    <row r="10" spans="1:8" x14ac:dyDescent="0.25">
      <c r="A10" s="8">
        <v>2022</v>
      </c>
      <c r="B10" s="6">
        <v>0</v>
      </c>
      <c r="C10" s="20">
        <f t="shared" si="0"/>
        <v>1</v>
      </c>
    </row>
    <row r="11" spans="1:8" x14ac:dyDescent="0.25">
      <c r="A11" s="36">
        <v>2023</v>
      </c>
      <c r="B11" s="37">
        <v>0</v>
      </c>
      <c r="C11" s="20">
        <f t="shared" ref="C11" si="1">IF(B11&lt;3,1,0)</f>
        <v>1</v>
      </c>
    </row>
    <row r="12" spans="1:8" x14ac:dyDescent="0.25">
      <c r="A12" s="36">
        <v>2024</v>
      </c>
      <c r="B12" s="37">
        <v>0</v>
      </c>
      <c r="C12" s="20">
        <f t="shared" ref="C12" si="2">IF(B12&lt;3,1,0)</f>
        <v>1</v>
      </c>
    </row>
  </sheetData>
  <mergeCells count="2">
    <mergeCell ref="E8:H8"/>
    <mergeCell ref="E9:H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ASPETTI AMBIENTALI SIGNIF</vt:lpstr>
      <vt:lpstr>CONSUMO ENERGIA ELETTRICA</vt:lpstr>
      <vt:lpstr>CONSUMO GAS METANO</vt:lpstr>
      <vt:lpstr>CONSUMI IDRICI</vt:lpstr>
      <vt:lpstr>SCARICO DEL DEPURATORE</vt:lpstr>
      <vt:lpstr>EMISSIONI IN ATMOSFERA</vt:lpstr>
      <vt:lpstr>RUMORI</vt:lpstr>
      <vt:lpstr>RIFIUTI</vt:lpstr>
      <vt:lpstr>FORMAZIONE</vt:lpstr>
      <vt:lpstr>RECLAMI AMBIENTALI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dc:creator>
  <cp:lastModifiedBy>Ufficio Qualità</cp:lastModifiedBy>
  <cp:lastPrinted>2025-02-25T11:47:22Z</cp:lastPrinted>
  <dcterms:created xsi:type="dcterms:W3CDTF">2022-01-18T10:22:23Z</dcterms:created>
  <dcterms:modified xsi:type="dcterms:W3CDTF">2025-02-25T11:51:43Z</dcterms:modified>
</cp:coreProperties>
</file>