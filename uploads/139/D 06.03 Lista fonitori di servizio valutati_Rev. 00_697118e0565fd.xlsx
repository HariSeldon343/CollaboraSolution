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5\Arc\CdG QUALITA'\1. ISO 9001\Capitolo 06\"/>
    </mc:Choice>
  </mc:AlternateContent>
  <xr:revisionPtr revIDLastSave="0" documentId="13_ncr:1_{A2E5BD3C-DB41-42BD-BE7E-0E2CA2D30C49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Servizi 2024" sheetId="2" r:id="rId1"/>
    <sheet name="Servizi 2025" sheetId="3" r:id="rId2"/>
  </sheets>
  <calcPr calcId="191029"/>
</workbook>
</file>

<file path=xl/calcChain.xml><?xml version="1.0" encoding="utf-8"?>
<calcChain xmlns="http://schemas.openxmlformats.org/spreadsheetml/2006/main">
  <c r="O12" i="3" l="1"/>
  <c r="I12" i="3"/>
  <c r="O11" i="3"/>
  <c r="I11" i="3"/>
  <c r="O10" i="3"/>
  <c r="I10" i="3"/>
  <c r="O9" i="3"/>
  <c r="I9" i="3"/>
  <c r="I8" i="3"/>
  <c r="O7" i="3"/>
  <c r="I7" i="3"/>
  <c r="O6" i="3"/>
  <c r="I6" i="3"/>
  <c r="O5" i="3"/>
  <c r="I5" i="3"/>
  <c r="O4" i="3"/>
  <c r="I4" i="3"/>
  <c r="O12" i="2"/>
  <c r="O11" i="2"/>
  <c r="O10" i="2"/>
  <c r="I11" i="2"/>
  <c r="I12" i="2"/>
  <c r="I10" i="2"/>
  <c r="I8" i="2"/>
  <c r="I5" i="2" l="1"/>
  <c r="I6" i="2"/>
  <c r="I7" i="2"/>
  <c r="I9" i="2"/>
  <c r="I4" i="2"/>
  <c r="O4" i="2" l="1"/>
  <c r="O9" i="2" l="1"/>
  <c r="O7" i="2"/>
  <c r="O6" i="2"/>
  <c r="O5" i="2"/>
</calcChain>
</file>

<file path=xl/sharedStrings.xml><?xml version="1.0" encoding="utf-8"?>
<sst xmlns="http://schemas.openxmlformats.org/spreadsheetml/2006/main" count="246" uniqueCount="102">
  <si>
    <t>FORNITORE</t>
  </si>
  <si>
    <t>Reclamo non gestito</t>
  </si>
  <si>
    <t>Qualificato</t>
  </si>
  <si>
    <t>Max 3</t>
  </si>
  <si>
    <t>Non qualificato</t>
  </si>
  <si>
    <t>Max 2 disservizi</t>
  </si>
  <si>
    <t>&gt; 2 disservizi</t>
  </si>
  <si>
    <t>Tutti i reclami sono stati gestiti</t>
  </si>
  <si>
    <t>Max 2 reclami non gestiti</t>
  </si>
  <si>
    <t>&gt; 2 reclami non gestiti</t>
  </si>
  <si>
    <t>SERVIZIO FORNITO</t>
  </si>
  <si>
    <t xml:space="preserve">Chiarezza nelle informazioni </t>
  </si>
  <si>
    <t>Puntualità, rispetto tempistica contrattuale</t>
  </si>
  <si>
    <t>Attività non conforme</t>
  </si>
  <si>
    <t>SOMMATORIA</t>
  </si>
  <si>
    <t>DATA VALUTAZIONE</t>
  </si>
  <si>
    <t>PROSSIMA VALUTAZIONE</t>
  </si>
  <si>
    <t>qualificato</t>
  </si>
  <si>
    <t>RIESAME 2024</t>
  </si>
  <si>
    <t>ANALISI LABORATORIO ESTERNO</t>
  </si>
  <si>
    <t>CHIAREZZA INFORMAZIONI</t>
  </si>
  <si>
    <t>Tutto chiaro</t>
  </si>
  <si>
    <t>Informazioni dubbie</t>
  </si>
  <si>
    <t>poca chiarezza</t>
  </si>
  <si>
    <t>Rispetto tempi</t>
  </si>
  <si>
    <t>Max 3 tempi oltre limite</t>
  </si>
  <si>
    <t>&gt; 3 tempi oltre limite</t>
  </si>
  <si>
    <t>Nessun disservizio</t>
  </si>
  <si>
    <t>SELEZIONE E QUALIFICA</t>
  </si>
  <si>
    <t>VALUTAZIONE DELLE PERFORMANCE</t>
  </si>
  <si>
    <t>INFORMAZIONI FORNITORE</t>
  </si>
  <si>
    <t>GAMMA SERVIZI OFFERTI</t>
  </si>
  <si>
    <t>TEMPI DI CONSEGNA E INTERVENTO</t>
  </si>
  <si>
    <t>ASSISTENZA TECNICA</t>
  </si>
  <si>
    <t>Ottime competenze</t>
  </si>
  <si>
    <t>nella media</t>
  </si>
  <si>
    <t>non dimostrabili</t>
  </si>
  <si>
    <t>Complete nel campo previsto</t>
  </si>
  <si>
    <t>Alcuni dei servizi richiesti</t>
  </si>
  <si>
    <t>uno solo dei sefizi richiesti</t>
  </si>
  <si>
    <t>Adeguati</t>
  </si>
  <si>
    <t>Sufficienti</t>
  </si>
  <si>
    <t>Oltre ole aspettative</t>
  </si>
  <si>
    <t>Performante sui servizi richiesti</t>
  </si>
  <si>
    <t>Conscenza del settore</t>
  </si>
  <si>
    <t>Conoscenza di base</t>
  </si>
  <si>
    <t>PUNTUALITA' E TEMPISTICHE</t>
  </si>
  <si>
    <t>RECLAMO NON GESTITO</t>
  </si>
  <si>
    <t>Prima VALUTAZIONE</t>
  </si>
  <si>
    <t xml:space="preserve">VERIFICA E RIESAME </t>
  </si>
  <si>
    <t>DATA PRIMA QUALIFICA</t>
  </si>
  <si>
    <t>VALUTAZIONE RIESAME</t>
  </si>
  <si>
    <t>DOCUMENTAZIONE AZIENDA / PROFESSIONSITA</t>
  </si>
  <si>
    <t>SERVIZIO NON CONFORME</t>
  </si>
  <si>
    <t>RISCHI QUALITA' E SICUREZZA</t>
  </si>
  <si>
    <t xml:space="preserve">Non influenza </t>
  </si>
  <si>
    <t>influenza mediamente</t>
  </si>
  <si>
    <t>influenza determinante</t>
  </si>
  <si>
    <t>COMPETENZE E REQUISITI LEGALI</t>
  </si>
  <si>
    <t>SOMMATORIA
(da 0 a 4 = 0k)
(da 5 a 6 = migliorabile)
(da 7 a 8 = non accettabile)</t>
  </si>
  <si>
    <t>Max 4</t>
  </si>
  <si>
    <t>da 5 a 6</t>
  </si>
  <si>
    <t>Migliorabile</t>
  </si>
  <si>
    <t>da 7 a 10</t>
  </si>
  <si>
    <t>da 4 a 5</t>
  </si>
  <si>
    <t>da 6 a 8</t>
  </si>
  <si>
    <t>RIFRA</t>
  </si>
  <si>
    <t>DERATTIZZAZIONE</t>
  </si>
  <si>
    <t>LABORATORIO GENOVESE</t>
  </si>
  <si>
    <t>SIALAB SRL</t>
  </si>
  <si>
    <t>SERVICE CALATINO SOCIETA’ COOPERATIVA</t>
  </si>
  <si>
    <t>DIPENDENTI</t>
  </si>
  <si>
    <t>AGRIPARADIGMA</t>
  </si>
  <si>
    <t>UNI CEI EN ISO/IEC 17025:2018 - 04.10.2024</t>
  </si>
  <si>
    <t>ISO 9001 - 26/01/2025                                    ACCREDIA -  02/05/2025</t>
  </si>
  <si>
    <r>
      <t xml:space="preserve">COMPETENZE E REQUISITI LEGALI 
</t>
    </r>
    <r>
      <rPr>
        <sz val="10"/>
        <color theme="1"/>
        <rFont val="Calibri"/>
        <family val="2"/>
        <scheme val="minor"/>
      </rPr>
      <t xml:space="preserve"> curriculum vitae professionista / azienda,  certificazione ISO (qualità, sicurezza, ambiente, IT), esperienza nel settore, requisiti legali (ove previsto)
(0 - 1 - 2)</t>
    </r>
  </si>
  <si>
    <r>
      <t xml:space="preserve">GAMMA DI SERVIZI OFFERTI
</t>
    </r>
    <r>
      <rPr>
        <sz val="10"/>
        <color theme="1"/>
        <rFont val="Calibri"/>
        <family val="2"/>
        <scheme val="minor"/>
      </rPr>
      <t>verifica del catalogo, del sito web, dal curriuculm o company profile, colloquio
(0 - 1 - 2)</t>
    </r>
  </si>
  <si>
    <r>
      <t xml:space="preserve">TEMPI DI CONSEGNA E INTERVENTO
</t>
    </r>
    <r>
      <rPr>
        <sz val="10"/>
        <color theme="1"/>
        <rFont val="Calibri"/>
        <family val="2"/>
        <scheme val="minor"/>
      </rPr>
      <t>verifica delle condizioni di servizio - da colloquio e offerta
(0 - 1 - 2)</t>
    </r>
  </si>
  <si>
    <r>
      <t xml:space="preserve">ASSITENZA TECNICA
</t>
    </r>
    <r>
      <rPr>
        <sz val="10"/>
        <color theme="1"/>
        <rFont val="Calibri"/>
        <family val="2"/>
        <scheme val="minor"/>
      </rPr>
      <t>tempi di intervento e capacità di garantire continuità operativa, da colloquio e offerta
(0 - 1 - 2)</t>
    </r>
  </si>
  <si>
    <r>
      <t xml:space="preserve">RISCHI PER LA QUALITA' E LA SICUREZZA DEI PRODOTTI
</t>
    </r>
    <r>
      <rPr>
        <sz val="10"/>
        <color theme="1"/>
        <rFont val="Calibri"/>
        <family val="2"/>
        <scheme val="minor"/>
      </rPr>
      <t>quanto influisce il servizio fornito sulla qualità e sulla sicurezza alimentare
(0 - 1 - 2)</t>
    </r>
  </si>
  <si>
    <t xml:space="preserve">ISO 9001 - 06/08/2024                                                   UNI EN 16636:2015 - 01/08/2025                     </t>
  </si>
  <si>
    <t>ISO 45001 - 10/11/2024                                                          ISO 9001 - 26/04/2024                                                           ISO 14001 - 10/11/2024</t>
  </si>
  <si>
    <t>AGRO.BIOLAB LABORATORY</t>
  </si>
  <si>
    <t>/</t>
  </si>
  <si>
    <t>ISO/IEC 17025:2018</t>
  </si>
  <si>
    <t>EUROALFA</t>
  </si>
  <si>
    <t>F&amp;F BILICI</t>
  </si>
  <si>
    <t>ENDRESS + HAUSER</t>
  </si>
  <si>
    <t>TARATURE STRUMENTI</t>
  </si>
  <si>
    <t>ISO 9001 - 18.11.2025</t>
  </si>
  <si>
    <t>AGRUMI-GEL s.r.l.</t>
  </si>
  <si>
    <t>REV.00 del 26/09/23</t>
  </si>
  <si>
    <t>Aggiornato al 24/11/23</t>
  </si>
  <si>
    <r>
      <t xml:space="preserve">LISTA FORNITORI DI SERVIZIO VALUTATI - </t>
    </r>
    <r>
      <rPr>
        <b/>
        <sz val="14"/>
        <color rgb="FFFF0000"/>
        <rFont val="Calibri"/>
        <family val="2"/>
        <scheme val="minor"/>
      </rPr>
      <t>D 06.03</t>
    </r>
  </si>
  <si>
    <t>Aggiornato al 11/10/2024</t>
  </si>
  <si>
    <t xml:space="preserve">ISO 9001 - 07/08/2027                                                  UNI EN 16636:2015 - 01/08/2025                     </t>
  </si>
  <si>
    <t>RIESAME 2025</t>
  </si>
  <si>
    <t>ISO/IEC 17025:2018 - 10/10/2025</t>
  </si>
  <si>
    <t>HUB AMBIENTE SRL</t>
  </si>
  <si>
    <t>GESTIONE RIFIUTI</t>
  </si>
  <si>
    <t>ISO 9001 - 03/06/2026                                                           ISO 14001 - 03/06/2026</t>
  </si>
  <si>
    <t>RICEVUTI ANNO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</si>
</sst>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2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2" xfId="0" applyFont="1" applyFill="1" applyBorder="1"/>
    <xf numFmtId="0" fontId="4" fillId="0" borderId="0" xfId="0" applyFont="1"/>
    <xf numFmtId="0" fontId="3" fillId="0" borderId="1" xfId="0" applyFont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2" xfId="0" applyFont="1" applyFill="1" applyBorder="1"/>
    <xf numFmtId="0" fontId="4" fillId="4" borderId="1" xfId="0" applyFont="1" applyFill="1" applyBorder="1" applyAlignment="1">
      <alignment horizontal="right"/>
    </xf>
    <xf numFmtId="16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7" borderId="3" xfId="0" applyFont="1" applyFill="1" applyBorder="1" applyAlignment="1">
      <alignment horizontal="right"/>
    </xf>
    <xf numFmtId="0" fontId="4" fillId="7" borderId="2" xfId="0" applyFont="1" applyFill="1" applyBorder="1"/>
    <xf numFmtId="0" fontId="4" fillId="6" borderId="3" xfId="0" applyFont="1" applyFill="1" applyBorder="1" applyAlignment="1">
      <alignment horizontal="right"/>
    </xf>
    <xf numFmtId="0" fontId="4" fillId="6" borderId="2" xfId="0" applyFont="1" applyFill="1" applyBorder="1"/>
    <xf numFmtId="0" fontId="4" fillId="6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9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10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8" borderId="6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0" xfId="0" applyFont="1" applyFill="1"/>
    <xf numFmtId="0" fontId="8" fillId="8" borderId="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0" fillId="2" borderId="0" xfId="0" applyFill="1"/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" fillId="0" borderId="5" xfId="0" applyFont="1" applyBorder="1" applyAlignment="1">
      <alignment horizontal="justify" vertical="top" wrapText="1"/>
    </xf>
    <xf numFmtId="0" fontId="0" fillId="0" borderId="4" xfId="0" applyBorder="1"/>
    <xf numFmtId="0" fontId="7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12">
    <dxf>
      <font>
        <b/>
        <i val="0"/>
      </font>
      <fill>
        <patternFill>
          <bgColor theme="6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5B5B"/>
        </patternFill>
      </fill>
    </dxf>
    <dxf>
      <font>
        <b/>
        <i val="0"/>
      </font>
      <fill>
        <patternFill>
          <bgColor theme="6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5B5B"/>
        </patternFill>
      </fill>
    </dxf>
    <dxf>
      <font>
        <b/>
        <i val="0"/>
      </font>
      <fill>
        <patternFill>
          <bgColor theme="6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5B5B"/>
        </patternFill>
      </fill>
    </dxf>
    <dxf>
      <font>
        <b/>
        <i val="0"/>
      </font>
      <fill>
        <patternFill>
          <bgColor theme="6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5B5B"/>
        </patternFill>
      </fill>
    </dxf>
  </dxfs>
  <tableStyles count="0" defaultTableStyle="TableStyleMedium9" defaultPivotStyle="PivotStyleLight16"/>
  <colors>
    <mruColors>
      <color rgb="FFFF5B5B"/>
      <color rgb="FFBCB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7"/>
  <sheetViews>
    <sheetView zoomScale="110" zoomScaleNormal="110" zoomScalePageLayoutView="70" workbookViewId="0">
      <selection activeCell="F20" sqref="F20"/>
    </sheetView>
  </sheetViews>
  <sheetFormatPr defaultColWidth="8.88671875" defaultRowHeight="14.4" x14ac:dyDescent="0.3"/>
  <cols>
    <col min="1" max="1" width="27.109375" bestFit="1" customWidth="1"/>
    <col min="2" max="2" width="19.88671875" customWidth="1"/>
    <col min="3" max="3" width="29.33203125" customWidth="1"/>
    <col min="4" max="4" width="21.6640625" customWidth="1"/>
    <col min="5" max="5" width="26.88671875" bestFit="1" customWidth="1"/>
    <col min="6" max="6" width="23.6640625" customWidth="1"/>
    <col min="7" max="7" width="21.109375" customWidth="1"/>
    <col min="8" max="8" width="38.33203125" bestFit="1" customWidth="1"/>
    <col min="9" max="9" width="12.5546875" customWidth="1"/>
    <col min="10" max="10" width="14.44140625" customWidth="1"/>
    <col min="11" max="11" width="10.5546875" customWidth="1"/>
    <col min="12" max="12" width="15.33203125" customWidth="1"/>
    <col min="15" max="15" width="12.109375" customWidth="1"/>
    <col min="16" max="16" width="19.44140625" customWidth="1"/>
    <col min="17" max="17" width="16.109375" customWidth="1"/>
    <col min="18" max="18" width="20.88671875" bestFit="1" customWidth="1"/>
  </cols>
  <sheetData>
    <row r="1" spans="1:18" ht="18.600000000000001" thickBot="1" x14ac:dyDescent="0.4">
      <c r="A1" s="49" t="s">
        <v>90</v>
      </c>
      <c r="B1" s="58" t="s">
        <v>93</v>
      </c>
      <c r="C1" s="59"/>
      <c r="D1" s="59"/>
      <c r="E1" s="59"/>
      <c r="F1" s="59"/>
      <c r="G1" s="60"/>
      <c r="H1" s="50" t="s">
        <v>91</v>
      </c>
      <c r="I1" s="61" t="s">
        <v>92</v>
      </c>
      <c r="J1" s="62"/>
      <c r="K1" s="63"/>
    </row>
    <row r="2" spans="1:18" x14ac:dyDescent="0.3">
      <c r="A2" s="66" t="s">
        <v>30</v>
      </c>
      <c r="B2" s="66"/>
      <c r="C2" s="67" t="s">
        <v>28</v>
      </c>
      <c r="D2" s="67"/>
      <c r="E2" s="67"/>
      <c r="F2" s="67"/>
      <c r="G2" s="67"/>
      <c r="H2" s="67"/>
      <c r="I2" s="68"/>
      <c r="J2" s="29"/>
      <c r="K2" s="69" t="s">
        <v>29</v>
      </c>
      <c r="L2" s="69"/>
      <c r="M2" s="69"/>
      <c r="N2" s="69"/>
      <c r="O2" s="70"/>
    </row>
    <row r="3" spans="1:18" ht="95.25" customHeight="1" x14ac:dyDescent="0.3">
      <c r="A3" s="30" t="s">
        <v>0</v>
      </c>
      <c r="B3" s="30" t="s">
        <v>10</v>
      </c>
      <c r="C3" s="31" t="s">
        <v>75</v>
      </c>
      <c r="D3" s="31" t="s">
        <v>76</v>
      </c>
      <c r="E3" s="31" t="s">
        <v>77</v>
      </c>
      <c r="F3" s="31" t="s">
        <v>78</v>
      </c>
      <c r="G3" s="31" t="s">
        <v>79</v>
      </c>
      <c r="H3" s="32" t="s">
        <v>52</v>
      </c>
      <c r="I3" s="33" t="s">
        <v>59</v>
      </c>
      <c r="J3" s="34" t="s">
        <v>50</v>
      </c>
      <c r="K3" s="35" t="s">
        <v>11</v>
      </c>
      <c r="L3" s="35" t="s">
        <v>12</v>
      </c>
      <c r="M3" s="35" t="s">
        <v>13</v>
      </c>
      <c r="N3" s="35" t="s">
        <v>1</v>
      </c>
      <c r="O3" s="35" t="s">
        <v>14</v>
      </c>
      <c r="P3" s="34" t="s">
        <v>51</v>
      </c>
      <c r="Q3" s="34" t="s">
        <v>15</v>
      </c>
      <c r="R3" s="34" t="s">
        <v>16</v>
      </c>
    </row>
    <row r="4" spans="1:18" s="42" customFormat="1" ht="27.6" customHeight="1" x14ac:dyDescent="0.3">
      <c r="A4" s="38" t="s">
        <v>66</v>
      </c>
      <c r="B4" s="38" t="s">
        <v>67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45" t="s">
        <v>80</v>
      </c>
      <c r="I4" s="38">
        <f>SUM(C4:G4)</f>
        <v>0</v>
      </c>
      <c r="J4" s="39">
        <v>44207</v>
      </c>
      <c r="K4" s="41">
        <v>0</v>
      </c>
      <c r="L4" s="41">
        <v>0</v>
      </c>
      <c r="M4" s="41">
        <v>0</v>
      </c>
      <c r="N4" s="41">
        <v>0</v>
      </c>
      <c r="O4" s="38">
        <f>SUM(K4:N4)</f>
        <v>0</v>
      </c>
      <c r="P4" s="40" t="s">
        <v>17</v>
      </c>
      <c r="Q4" s="39">
        <v>45219</v>
      </c>
      <c r="R4" s="41" t="s">
        <v>18</v>
      </c>
    </row>
    <row r="5" spans="1:18" s="42" customFormat="1" ht="27.6" x14ac:dyDescent="0.3">
      <c r="A5" s="38" t="s">
        <v>68</v>
      </c>
      <c r="B5" s="38" t="s">
        <v>19</v>
      </c>
      <c r="C5" s="38">
        <v>0</v>
      </c>
      <c r="D5" s="38">
        <v>1</v>
      </c>
      <c r="E5" s="38">
        <v>0</v>
      </c>
      <c r="F5" s="38">
        <v>0</v>
      </c>
      <c r="G5" s="38">
        <v>0</v>
      </c>
      <c r="H5" s="28" t="s">
        <v>74</v>
      </c>
      <c r="I5" s="38">
        <f t="shared" ref="I5:I8" si="0">SUM(C5:G5)</f>
        <v>1</v>
      </c>
      <c r="J5" s="39">
        <v>44207</v>
      </c>
      <c r="K5" s="40">
        <v>1</v>
      </c>
      <c r="L5" s="40">
        <v>0</v>
      </c>
      <c r="M5" s="40">
        <v>1</v>
      </c>
      <c r="N5" s="40">
        <v>1</v>
      </c>
      <c r="O5" s="38">
        <f t="shared" ref="O5:O7" si="1">SUM(K5:N5)</f>
        <v>3</v>
      </c>
      <c r="P5" s="40" t="s">
        <v>17</v>
      </c>
      <c r="Q5" s="39">
        <v>45219</v>
      </c>
      <c r="R5" s="41" t="s">
        <v>18</v>
      </c>
    </row>
    <row r="6" spans="1:18" s="42" customFormat="1" ht="36" x14ac:dyDescent="0.3">
      <c r="A6" s="38" t="s">
        <v>69</v>
      </c>
      <c r="B6" s="38" t="s">
        <v>19</v>
      </c>
      <c r="C6" s="38">
        <v>0</v>
      </c>
      <c r="D6" s="38">
        <v>0</v>
      </c>
      <c r="E6" s="38">
        <v>0</v>
      </c>
      <c r="F6" s="38">
        <v>0</v>
      </c>
      <c r="G6" s="38">
        <v>0</v>
      </c>
      <c r="H6" s="43" t="s">
        <v>81</v>
      </c>
      <c r="I6" s="38">
        <f t="shared" si="0"/>
        <v>0</v>
      </c>
      <c r="J6" s="39">
        <v>44207</v>
      </c>
      <c r="K6" s="40">
        <v>0</v>
      </c>
      <c r="L6" s="40">
        <v>1</v>
      </c>
      <c r="M6" s="40">
        <v>1</v>
      </c>
      <c r="N6" s="40">
        <v>1</v>
      </c>
      <c r="O6" s="38">
        <f t="shared" si="1"/>
        <v>3</v>
      </c>
      <c r="P6" s="40" t="s">
        <v>17</v>
      </c>
      <c r="Q6" s="39">
        <v>44809</v>
      </c>
      <c r="R6" s="41" t="s">
        <v>18</v>
      </c>
    </row>
    <row r="7" spans="1:18" s="47" customFormat="1" ht="27.6" x14ac:dyDescent="0.3">
      <c r="A7" s="38" t="s">
        <v>70</v>
      </c>
      <c r="B7" s="46" t="s">
        <v>71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28" t="s">
        <v>83</v>
      </c>
      <c r="I7" s="38">
        <f t="shared" si="0"/>
        <v>0</v>
      </c>
      <c r="J7" s="39">
        <v>45219</v>
      </c>
      <c r="K7" s="40">
        <v>0</v>
      </c>
      <c r="L7" s="40">
        <v>0</v>
      </c>
      <c r="M7" s="40">
        <v>0</v>
      </c>
      <c r="N7" s="40">
        <v>0</v>
      </c>
      <c r="O7" s="38">
        <f t="shared" si="1"/>
        <v>0</v>
      </c>
      <c r="P7" s="40" t="s">
        <v>17</v>
      </c>
      <c r="Q7" s="39">
        <v>45219</v>
      </c>
      <c r="R7" s="41" t="s">
        <v>18</v>
      </c>
    </row>
    <row r="8" spans="1:18" ht="27.6" customHeight="1" x14ac:dyDescent="0.3">
      <c r="A8" s="26" t="s">
        <v>72</v>
      </c>
      <c r="B8" s="26" t="s">
        <v>19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7" t="s">
        <v>84</v>
      </c>
      <c r="I8" s="26">
        <f t="shared" si="0"/>
        <v>0</v>
      </c>
      <c r="J8" s="36">
        <v>45233</v>
      </c>
      <c r="K8" s="37">
        <v>0</v>
      </c>
      <c r="L8" s="37">
        <v>0</v>
      </c>
      <c r="M8" s="37">
        <v>0</v>
      </c>
      <c r="N8" s="37">
        <v>0</v>
      </c>
      <c r="O8" s="26"/>
      <c r="P8" s="40" t="s">
        <v>17</v>
      </c>
      <c r="Q8" s="36">
        <v>45233</v>
      </c>
      <c r="R8" s="41" t="s">
        <v>18</v>
      </c>
    </row>
    <row r="9" spans="1:18" s="42" customFormat="1" ht="27" customHeight="1" x14ac:dyDescent="0.3">
      <c r="A9" s="38" t="s">
        <v>82</v>
      </c>
      <c r="B9" s="38" t="s">
        <v>19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48" t="s">
        <v>73</v>
      </c>
      <c r="I9" s="44">
        <f>SUM(C9:G9)</f>
        <v>0</v>
      </c>
      <c r="J9" s="39">
        <v>45219</v>
      </c>
      <c r="K9" s="40">
        <v>0</v>
      </c>
      <c r="L9" s="40">
        <v>0</v>
      </c>
      <c r="M9" s="40">
        <v>0</v>
      </c>
      <c r="N9" s="40">
        <v>0</v>
      </c>
      <c r="O9" s="38">
        <f>SUM(K9:N9)</f>
        <v>0</v>
      </c>
      <c r="P9" s="40" t="s">
        <v>17</v>
      </c>
      <c r="Q9" s="39">
        <v>45219</v>
      </c>
      <c r="R9" s="41" t="s">
        <v>18</v>
      </c>
    </row>
    <row r="10" spans="1:18" ht="27.6" customHeight="1" x14ac:dyDescent="0.3">
      <c r="A10" s="26" t="s">
        <v>85</v>
      </c>
      <c r="B10" s="26" t="s">
        <v>88</v>
      </c>
      <c r="C10" s="26">
        <v>0</v>
      </c>
      <c r="D10" s="26">
        <v>1</v>
      </c>
      <c r="E10" s="26">
        <v>0</v>
      </c>
      <c r="F10" s="26">
        <v>0</v>
      </c>
      <c r="G10" s="26">
        <v>2</v>
      </c>
      <c r="H10" s="27" t="s">
        <v>83</v>
      </c>
      <c r="I10" s="26">
        <f>SUM(C10:G10)</f>
        <v>3</v>
      </c>
      <c r="J10" s="36">
        <v>45252</v>
      </c>
      <c r="K10" s="37">
        <v>0</v>
      </c>
      <c r="L10" s="37">
        <v>0</v>
      </c>
      <c r="M10" s="37">
        <v>0</v>
      </c>
      <c r="N10" s="37">
        <v>0</v>
      </c>
      <c r="O10" s="26">
        <f>SUM(K10:N10)</f>
        <v>0</v>
      </c>
      <c r="P10" s="40" t="s">
        <v>17</v>
      </c>
      <c r="Q10" s="36">
        <v>45252</v>
      </c>
      <c r="R10" s="41" t="s">
        <v>18</v>
      </c>
    </row>
    <row r="11" spans="1:18" ht="27.6" customHeight="1" x14ac:dyDescent="0.3">
      <c r="A11" s="38" t="s">
        <v>87</v>
      </c>
      <c r="B11" s="38" t="s">
        <v>88</v>
      </c>
      <c r="C11" s="26">
        <v>0</v>
      </c>
      <c r="D11" s="26">
        <v>1</v>
      </c>
      <c r="E11" s="26">
        <v>0</v>
      </c>
      <c r="F11" s="26">
        <v>0</v>
      </c>
      <c r="G11" s="26">
        <v>0</v>
      </c>
      <c r="H11" s="27" t="s">
        <v>89</v>
      </c>
      <c r="I11" s="26">
        <f t="shared" ref="I11:I12" si="2">SUM(C11:G11)</f>
        <v>1</v>
      </c>
      <c r="J11" s="36">
        <v>45251</v>
      </c>
      <c r="K11" s="37">
        <v>0</v>
      </c>
      <c r="L11" s="37">
        <v>0</v>
      </c>
      <c r="M11" s="37">
        <v>0</v>
      </c>
      <c r="N11" s="37">
        <v>0</v>
      </c>
      <c r="O11" s="26">
        <f>SUM(K11:N11)</f>
        <v>0</v>
      </c>
      <c r="P11" s="40" t="s">
        <v>17</v>
      </c>
      <c r="Q11" s="36">
        <v>45251</v>
      </c>
      <c r="R11" s="41" t="s">
        <v>18</v>
      </c>
    </row>
    <row r="12" spans="1:18" ht="27.6" customHeight="1" x14ac:dyDescent="0.3">
      <c r="A12" s="26" t="s">
        <v>86</v>
      </c>
      <c r="B12" s="26" t="s">
        <v>88</v>
      </c>
      <c r="C12" s="26">
        <v>0</v>
      </c>
      <c r="D12" s="26">
        <v>1</v>
      </c>
      <c r="E12" s="26">
        <v>0</v>
      </c>
      <c r="F12" s="26">
        <v>0</v>
      </c>
      <c r="G12" s="26">
        <v>2</v>
      </c>
      <c r="H12" s="27" t="s">
        <v>83</v>
      </c>
      <c r="I12" s="26">
        <f t="shared" si="2"/>
        <v>3</v>
      </c>
      <c r="J12" s="36">
        <v>45250</v>
      </c>
      <c r="K12" s="37">
        <v>0</v>
      </c>
      <c r="L12" s="37">
        <v>0</v>
      </c>
      <c r="M12" s="37">
        <v>0</v>
      </c>
      <c r="N12" s="37">
        <v>0</v>
      </c>
      <c r="O12" s="26">
        <f>SUM(K12:N12)</f>
        <v>0</v>
      </c>
      <c r="P12" s="40" t="s">
        <v>17</v>
      </c>
      <c r="Q12" s="36">
        <v>45250</v>
      </c>
      <c r="R12" s="41" t="s">
        <v>18</v>
      </c>
    </row>
    <row r="13" spans="1:18" ht="27.6" customHeight="1" x14ac:dyDescent="0.3">
      <c r="A13" s="26"/>
      <c r="B13" s="26"/>
      <c r="C13" s="26"/>
      <c r="D13" s="26"/>
      <c r="E13" s="26"/>
      <c r="F13" s="26"/>
      <c r="G13" s="26"/>
      <c r="H13" s="27"/>
      <c r="I13" s="26"/>
      <c r="J13" s="36"/>
      <c r="K13" s="37"/>
      <c r="L13" s="37"/>
      <c r="M13" s="37"/>
      <c r="N13" s="37"/>
      <c r="O13" s="26"/>
      <c r="P13" s="40"/>
      <c r="Q13" s="36"/>
      <c r="R13" s="41"/>
    </row>
    <row r="14" spans="1:18" ht="27.6" customHeight="1" x14ac:dyDescent="0.3">
      <c r="A14" s="26"/>
      <c r="B14" s="26"/>
      <c r="C14" s="26"/>
      <c r="D14" s="26"/>
      <c r="E14" s="26"/>
      <c r="F14" s="26"/>
      <c r="G14" s="26"/>
      <c r="H14" s="27"/>
      <c r="I14" s="26"/>
      <c r="J14" s="36"/>
      <c r="K14" s="37"/>
      <c r="L14" s="37"/>
      <c r="M14" s="37"/>
      <c r="N14" s="37"/>
      <c r="O14" s="26"/>
      <c r="P14" s="40"/>
      <c r="Q14" s="36"/>
      <c r="R14" s="41"/>
    </row>
    <row r="17" spans="1:18" ht="15.6" x14ac:dyDescent="0.3">
      <c r="A17" s="71"/>
      <c r="B17" s="72"/>
      <c r="C17" s="72"/>
      <c r="D17" s="72"/>
      <c r="E17" s="72">
        <v>0</v>
      </c>
      <c r="F17" s="72"/>
      <c r="G17" s="72"/>
      <c r="H17" s="72"/>
      <c r="I17" s="72"/>
      <c r="J17" s="72"/>
      <c r="K17" s="72"/>
      <c r="L17" s="1"/>
      <c r="M17" s="1"/>
      <c r="N17" s="1"/>
      <c r="O17" s="1"/>
      <c r="P17" s="1"/>
      <c r="Q17" s="1"/>
      <c r="R17" s="1"/>
    </row>
    <row r="18" spans="1:18" ht="15.6" x14ac:dyDescent="0.3">
      <c r="A18" s="2"/>
      <c r="B18" s="17" t="s">
        <v>58</v>
      </c>
      <c r="C18" s="64" t="s">
        <v>48</v>
      </c>
      <c r="D18" s="65"/>
      <c r="E18" s="2"/>
      <c r="F18" s="13" t="s">
        <v>20</v>
      </c>
      <c r="G18" s="13"/>
      <c r="H18" s="13"/>
      <c r="I18" s="4" t="s">
        <v>49</v>
      </c>
      <c r="J18" s="16"/>
      <c r="K18" s="10"/>
      <c r="M18" s="5"/>
      <c r="P18" s="1"/>
      <c r="Q18" s="1"/>
      <c r="R18" s="1"/>
    </row>
    <row r="19" spans="1:18" ht="15.6" x14ac:dyDescent="0.3">
      <c r="A19" s="2" t="s">
        <v>34</v>
      </c>
      <c r="B19" s="6">
        <v>0</v>
      </c>
      <c r="C19" s="22" t="s">
        <v>60</v>
      </c>
      <c r="D19" s="23" t="s">
        <v>2</v>
      </c>
      <c r="E19" s="12" t="s">
        <v>21</v>
      </c>
      <c r="F19" s="6">
        <v>0</v>
      </c>
      <c r="G19" s="14"/>
      <c r="H19" s="14"/>
      <c r="I19" s="22" t="s">
        <v>3</v>
      </c>
      <c r="J19" s="24" t="s">
        <v>2</v>
      </c>
      <c r="K19" s="22"/>
      <c r="M19" s="5"/>
      <c r="P19" s="1"/>
      <c r="Q19" s="1"/>
      <c r="R19" s="1"/>
    </row>
    <row r="20" spans="1:18" ht="15.6" x14ac:dyDescent="0.3">
      <c r="A20" s="2" t="s">
        <v>35</v>
      </c>
      <c r="B20" s="6">
        <v>1</v>
      </c>
      <c r="C20" s="18" t="s">
        <v>61</v>
      </c>
      <c r="D20" s="19" t="s">
        <v>62</v>
      </c>
      <c r="E20" s="12" t="s">
        <v>22</v>
      </c>
      <c r="F20" s="6">
        <v>1</v>
      </c>
      <c r="G20" s="14"/>
      <c r="H20" s="14"/>
      <c r="I20" s="18" t="s">
        <v>64</v>
      </c>
      <c r="J20" s="25" t="s">
        <v>62</v>
      </c>
      <c r="K20" s="19"/>
      <c r="M20" s="5"/>
      <c r="P20" s="1"/>
      <c r="Q20" s="1"/>
      <c r="R20" s="1"/>
    </row>
    <row r="21" spans="1:18" x14ac:dyDescent="0.3">
      <c r="A21" s="2" t="s">
        <v>36</v>
      </c>
      <c r="B21" s="6">
        <v>2</v>
      </c>
      <c r="C21" s="20" t="s">
        <v>63</v>
      </c>
      <c r="D21" s="21" t="s">
        <v>4</v>
      </c>
      <c r="E21" s="12" t="s">
        <v>23</v>
      </c>
      <c r="F21" s="6">
        <v>2</v>
      </c>
      <c r="G21" s="14"/>
      <c r="H21" s="14"/>
      <c r="I21" s="20" t="s">
        <v>65</v>
      </c>
      <c r="J21" s="20" t="s">
        <v>4</v>
      </c>
      <c r="K21" s="20"/>
      <c r="M21" s="5"/>
    </row>
    <row r="22" spans="1:18" x14ac:dyDescent="0.3">
      <c r="A22" s="2"/>
      <c r="B22" s="17" t="s">
        <v>31</v>
      </c>
      <c r="C22" s="7"/>
      <c r="D22" s="7"/>
      <c r="E22" s="12"/>
      <c r="F22" s="13" t="s">
        <v>46</v>
      </c>
      <c r="G22" s="15"/>
      <c r="H22" s="15"/>
      <c r="I22" s="7"/>
      <c r="J22" s="7"/>
      <c r="K22" s="7"/>
      <c r="M22" s="5"/>
    </row>
    <row r="23" spans="1:18" x14ac:dyDescent="0.3">
      <c r="A23" s="2" t="s">
        <v>37</v>
      </c>
      <c r="B23" s="6">
        <v>0</v>
      </c>
      <c r="C23" s="7"/>
      <c r="D23" s="7"/>
      <c r="E23" s="12" t="s">
        <v>24</v>
      </c>
      <c r="F23" s="6">
        <v>0</v>
      </c>
      <c r="G23" s="8"/>
      <c r="H23" s="8"/>
      <c r="I23" s="7"/>
      <c r="J23" s="7"/>
      <c r="K23" s="7"/>
      <c r="M23" s="5"/>
    </row>
    <row r="24" spans="1:18" x14ac:dyDescent="0.3">
      <c r="A24" s="2" t="s">
        <v>38</v>
      </c>
      <c r="B24" s="6">
        <v>1</v>
      </c>
      <c r="C24" s="11"/>
      <c r="D24" s="7"/>
      <c r="E24" s="12" t="s">
        <v>25</v>
      </c>
      <c r="F24" s="6">
        <v>1</v>
      </c>
      <c r="G24" s="8"/>
      <c r="H24" s="8"/>
      <c r="I24" s="11"/>
      <c r="J24" s="11"/>
      <c r="K24" s="7"/>
      <c r="M24" s="5"/>
    </row>
    <row r="25" spans="1:18" x14ac:dyDescent="0.3">
      <c r="A25" s="2" t="s">
        <v>39</v>
      </c>
      <c r="B25" s="6">
        <v>2</v>
      </c>
      <c r="C25" s="7"/>
      <c r="D25" s="7"/>
      <c r="E25" s="12" t="s">
        <v>26</v>
      </c>
      <c r="F25" s="6">
        <v>2</v>
      </c>
      <c r="G25" s="8"/>
      <c r="H25" s="8"/>
      <c r="I25" s="7"/>
      <c r="J25" s="7"/>
      <c r="K25" s="7"/>
      <c r="M25" s="5"/>
    </row>
    <row r="26" spans="1:18" x14ac:dyDescent="0.3">
      <c r="A26" s="2"/>
      <c r="B26" s="17" t="s">
        <v>32</v>
      </c>
      <c r="C26" s="7"/>
      <c r="D26" s="7"/>
      <c r="E26" s="12"/>
      <c r="F26" s="13" t="s">
        <v>53</v>
      </c>
      <c r="G26" s="15"/>
      <c r="H26" s="15"/>
      <c r="I26" s="7"/>
      <c r="J26" s="7"/>
      <c r="K26" s="7"/>
      <c r="M26" s="5"/>
    </row>
    <row r="27" spans="1:18" x14ac:dyDescent="0.3">
      <c r="A27" s="2" t="s">
        <v>40</v>
      </c>
      <c r="B27" s="6">
        <v>0</v>
      </c>
      <c r="C27" s="8"/>
      <c r="D27" s="8"/>
      <c r="E27" s="12" t="s">
        <v>27</v>
      </c>
      <c r="F27" s="6">
        <v>0</v>
      </c>
      <c r="G27" s="8"/>
      <c r="H27" s="8"/>
      <c r="I27" s="8"/>
      <c r="J27" s="8"/>
      <c r="K27" s="8"/>
      <c r="M27" s="5"/>
    </row>
    <row r="28" spans="1:18" x14ac:dyDescent="0.3">
      <c r="A28" s="2" t="s">
        <v>41</v>
      </c>
      <c r="B28" s="6">
        <v>1</v>
      </c>
      <c r="C28" s="8"/>
      <c r="D28" s="8"/>
      <c r="E28" s="12" t="s">
        <v>5</v>
      </c>
      <c r="F28" s="6">
        <v>1</v>
      </c>
      <c r="G28" s="8"/>
      <c r="H28" s="8"/>
      <c r="I28" s="8"/>
      <c r="J28" s="8"/>
      <c r="K28" s="8"/>
      <c r="M28" s="5"/>
    </row>
    <row r="29" spans="1:18" x14ac:dyDescent="0.3">
      <c r="A29" s="2" t="s">
        <v>42</v>
      </c>
      <c r="B29" s="6">
        <v>2</v>
      </c>
      <c r="C29" s="8"/>
      <c r="D29" s="8"/>
      <c r="E29" s="12" t="s">
        <v>6</v>
      </c>
      <c r="F29" s="6">
        <v>2</v>
      </c>
      <c r="G29" s="8"/>
      <c r="H29" s="8"/>
      <c r="I29" s="8"/>
      <c r="J29" s="8"/>
      <c r="K29" s="8"/>
      <c r="M29" s="5"/>
    </row>
    <row r="30" spans="1:18" x14ac:dyDescent="0.3">
      <c r="A30" s="2"/>
      <c r="B30" s="3" t="s">
        <v>33</v>
      </c>
      <c r="C30" s="9"/>
      <c r="D30" s="9"/>
      <c r="E30" s="12"/>
      <c r="F30" s="13" t="s">
        <v>47</v>
      </c>
      <c r="G30" s="15"/>
      <c r="H30" s="15"/>
      <c r="I30" s="9"/>
      <c r="J30" s="9"/>
      <c r="K30" s="9"/>
      <c r="M30" s="5"/>
    </row>
    <row r="31" spans="1:18" x14ac:dyDescent="0.3">
      <c r="A31" s="2" t="s">
        <v>43</v>
      </c>
      <c r="B31" s="6">
        <v>0</v>
      </c>
      <c r="C31" s="8"/>
      <c r="D31" s="8"/>
      <c r="E31" s="12" t="s">
        <v>7</v>
      </c>
      <c r="F31" s="6">
        <v>0</v>
      </c>
      <c r="G31" s="8"/>
      <c r="H31" s="8"/>
      <c r="I31" s="8"/>
      <c r="J31" s="8"/>
      <c r="K31" s="8"/>
      <c r="M31" s="5"/>
    </row>
    <row r="32" spans="1:18" x14ac:dyDescent="0.3">
      <c r="A32" s="2" t="s">
        <v>44</v>
      </c>
      <c r="B32" s="6">
        <v>1</v>
      </c>
      <c r="C32" s="8"/>
      <c r="D32" s="8"/>
      <c r="E32" s="12" t="s">
        <v>8</v>
      </c>
      <c r="F32" s="6">
        <v>1</v>
      </c>
      <c r="G32" s="8"/>
      <c r="H32" s="8"/>
      <c r="I32" s="8"/>
      <c r="J32" s="8"/>
      <c r="K32" s="8"/>
      <c r="M32" s="5"/>
    </row>
    <row r="33" spans="1:13" x14ac:dyDescent="0.3">
      <c r="A33" s="2" t="s">
        <v>45</v>
      </c>
      <c r="B33" s="6">
        <v>2</v>
      </c>
      <c r="C33" s="8"/>
      <c r="D33" s="8"/>
      <c r="E33" s="12" t="s">
        <v>9</v>
      </c>
      <c r="F33" s="6">
        <v>2</v>
      </c>
      <c r="G33" s="8"/>
      <c r="H33" s="8"/>
      <c r="I33" s="8"/>
      <c r="J33" s="8"/>
      <c r="K33" s="8"/>
      <c r="M33" s="5"/>
    </row>
    <row r="34" spans="1:13" x14ac:dyDescent="0.3">
      <c r="A34" s="2"/>
      <c r="B34" s="17" t="s">
        <v>54</v>
      </c>
      <c r="C34" s="5"/>
      <c r="D34" s="5"/>
      <c r="E34" s="5"/>
      <c r="M34" s="5"/>
    </row>
    <row r="35" spans="1:13" x14ac:dyDescent="0.3">
      <c r="A35" s="2" t="s">
        <v>55</v>
      </c>
      <c r="B35" s="6">
        <v>0</v>
      </c>
    </row>
    <row r="36" spans="1:13" x14ac:dyDescent="0.3">
      <c r="A36" s="2" t="s">
        <v>56</v>
      </c>
      <c r="B36" s="6">
        <v>1</v>
      </c>
    </row>
    <row r="37" spans="1:13" x14ac:dyDescent="0.3">
      <c r="A37" s="2" t="s">
        <v>57</v>
      </c>
      <c r="B37" s="6">
        <v>2</v>
      </c>
    </row>
  </sheetData>
  <mergeCells count="8">
    <mergeCell ref="B1:G1"/>
    <mergeCell ref="I1:K1"/>
    <mergeCell ref="C18:D18"/>
    <mergeCell ref="A2:B2"/>
    <mergeCell ref="C2:I2"/>
    <mergeCell ref="K2:O2"/>
    <mergeCell ref="A17:D17"/>
    <mergeCell ref="E17:K17"/>
  </mergeCells>
  <conditionalFormatting sqref="I4:I14">
    <cfRule type="cellIs" dxfId="11" priority="4" operator="greaterThanOrEqual">
      <formula>7</formula>
    </cfRule>
    <cfRule type="cellIs" dxfId="10" priority="5" operator="between">
      <formula>5</formula>
      <formula>6</formula>
    </cfRule>
    <cfRule type="cellIs" dxfId="9" priority="6" operator="between">
      <formula>0</formula>
      <formula>4</formula>
    </cfRule>
  </conditionalFormatting>
  <conditionalFormatting sqref="O4:O14">
    <cfRule type="cellIs" dxfId="8" priority="1" operator="greaterThanOrEqual">
      <formula>6</formula>
    </cfRule>
    <cfRule type="cellIs" dxfId="7" priority="2" operator="between">
      <formula>4</formula>
      <formula>5</formula>
    </cfRule>
    <cfRule type="cellIs" dxfId="6" priority="3" operator="between">
      <formula>0</formula>
      <formula>3</formula>
    </cfRule>
  </conditionalFormatting>
  <pageMargins left="0.7" right="0.7" top="0.75" bottom="0.75" header="0.3" footer="0.3"/>
  <pageSetup paperSize="9" scale="39" orientation="landscape" r:id="rId1"/>
  <headerFooter>
    <oddHeader>&amp;L&amp;"-,Grassetto"&amp;12D.06.03
Rev.0
del 27/01/2023&amp;C&amp;"-,Grassetto"&amp;14Lista Fornitore di Servizi&amp;R&amp;"-,Grassetto"&amp;12AGRUMIGEL S.r.l.
C.da Girotta snc
98051 Barcellona Pozzo di Gotto (ME)</oddHeader>
  </headerFooter>
  <rowBreaks count="1" manualBreakCount="1">
    <brk id="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16C2-ACDC-42B0-BAE7-3378C33968E7}">
  <sheetPr>
    <pageSetUpPr fitToPage="1"/>
  </sheetPr>
  <dimension ref="A1:R37"/>
  <sheetViews>
    <sheetView tabSelected="1" topLeftCell="F1" zoomScale="110" zoomScaleNormal="110" zoomScalePageLayoutView="70" workbookViewId="0">
      <selection activeCell="T8" sqref="T8"/>
    </sheetView>
  </sheetViews>
  <sheetFormatPr defaultColWidth="8.88671875" defaultRowHeight="14.4" x14ac:dyDescent="0.3"/>
  <cols>
    <col min="1" max="1" width="27.109375" bestFit="1" customWidth="1"/>
    <col min="2" max="2" width="19.88671875" customWidth="1"/>
    <col min="3" max="3" width="29.33203125" customWidth="1"/>
    <col min="4" max="4" width="21.6640625" customWidth="1"/>
    <col min="5" max="5" width="26.88671875" bestFit="1" customWidth="1"/>
    <col min="6" max="6" width="23.6640625" customWidth="1"/>
    <col min="7" max="7" width="21.109375" customWidth="1"/>
    <col min="8" max="8" width="38.33203125" bestFit="1" customWidth="1"/>
    <col min="9" max="9" width="12.5546875" customWidth="1"/>
    <col min="10" max="10" width="14.44140625" customWidth="1"/>
    <col min="11" max="11" width="10.5546875" customWidth="1"/>
    <col min="12" max="12" width="15.33203125" customWidth="1"/>
    <col min="15" max="15" width="12.109375" customWidth="1"/>
    <col min="16" max="16" width="19.44140625" customWidth="1"/>
    <col min="17" max="17" width="16.109375" customWidth="1"/>
    <col min="18" max="18" width="20.88671875" bestFit="1" customWidth="1"/>
  </cols>
  <sheetData>
    <row r="1" spans="1:18" ht="18.600000000000001" thickBot="1" x14ac:dyDescent="0.4">
      <c r="A1" s="49" t="s">
        <v>90</v>
      </c>
      <c r="B1" s="58" t="s">
        <v>93</v>
      </c>
      <c r="C1" s="59"/>
      <c r="D1" s="59"/>
      <c r="E1" s="59"/>
      <c r="F1" s="59"/>
      <c r="G1" s="60"/>
      <c r="H1" s="50" t="s">
        <v>91</v>
      </c>
      <c r="I1" s="61" t="s">
        <v>94</v>
      </c>
      <c r="J1" s="62"/>
      <c r="K1" s="63"/>
    </row>
    <row r="2" spans="1:18" x14ac:dyDescent="0.3">
      <c r="A2" s="66" t="s">
        <v>30</v>
      </c>
      <c r="B2" s="66"/>
      <c r="C2" s="67" t="s">
        <v>28</v>
      </c>
      <c r="D2" s="67"/>
      <c r="E2" s="67"/>
      <c r="F2" s="67"/>
      <c r="G2" s="67"/>
      <c r="H2" s="67"/>
      <c r="I2" s="68"/>
      <c r="J2" s="29"/>
      <c r="K2" s="69" t="s">
        <v>29</v>
      </c>
      <c r="L2" s="69"/>
      <c r="M2" s="69"/>
      <c r="N2" s="69"/>
      <c r="O2" s="70"/>
    </row>
    <row r="3" spans="1:18" ht="95.25" customHeight="1" x14ac:dyDescent="0.3">
      <c r="A3" s="30" t="s">
        <v>0</v>
      </c>
      <c r="B3" s="30" t="s">
        <v>10</v>
      </c>
      <c r="C3" s="31" t="s">
        <v>75</v>
      </c>
      <c r="D3" s="31" t="s">
        <v>76</v>
      </c>
      <c r="E3" s="31" t="s">
        <v>77</v>
      </c>
      <c r="F3" s="31" t="s">
        <v>78</v>
      </c>
      <c r="G3" s="31" t="s">
        <v>79</v>
      </c>
      <c r="H3" s="32" t="s">
        <v>52</v>
      </c>
      <c r="I3" s="33" t="s">
        <v>59</v>
      </c>
      <c r="J3" s="34" t="s">
        <v>50</v>
      </c>
      <c r="K3" s="35" t="s">
        <v>11</v>
      </c>
      <c r="L3" s="35" t="s">
        <v>12</v>
      </c>
      <c r="M3" s="35" t="s">
        <v>13</v>
      </c>
      <c r="N3" s="35" t="s">
        <v>1</v>
      </c>
      <c r="O3" s="35" t="s">
        <v>14</v>
      </c>
      <c r="P3" s="34" t="s">
        <v>51</v>
      </c>
      <c r="Q3" s="34" t="s">
        <v>15</v>
      </c>
      <c r="R3" s="34" t="s">
        <v>16</v>
      </c>
    </row>
    <row r="4" spans="1:18" s="42" customFormat="1" ht="27.6" customHeight="1" x14ac:dyDescent="0.3">
      <c r="A4" s="54" t="s">
        <v>66</v>
      </c>
      <c r="B4" s="54" t="s">
        <v>67</v>
      </c>
      <c r="C4" s="54">
        <v>0</v>
      </c>
      <c r="D4" s="54">
        <v>0</v>
      </c>
      <c r="E4" s="54">
        <v>0</v>
      </c>
      <c r="F4" s="54">
        <v>0</v>
      </c>
      <c r="G4" s="54">
        <v>0</v>
      </c>
      <c r="H4" s="55" t="s">
        <v>95</v>
      </c>
      <c r="I4" s="38">
        <f>SUM(C4:G4)</f>
        <v>0</v>
      </c>
      <c r="J4" s="39">
        <v>44207</v>
      </c>
      <c r="K4" s="53">
        <v>0</v>
      </c>
      <c r="L4" s="53">
        <v>0</v>
      </c>
      <c r="M4" s="53">
        <v>0</v>
      </c>
      <c r="N4" s="53">
        <v>0</v>
      </c>
      <c r="O4" s="38">
        <f>SUM(K4:N4)</f>
        <v>0</v>
      </c>
      <c r="P4" s="51" t="s">
        <v>17</v>
      </c>
      <c r="Q4" s="52">
        <v>45589</v>
      </c>
      <c r="R4" s="53" t="s">
        <v>96</v>
      </c>
    </row>
    <row r="5" spans="1:18" s="42" customFormat="1" ht="27.6" x14ac:dyDescent="0.3">
      <c r="A5" s="54" t="s">
        <v>68</v>
      </c>
      <c r="B5" s="54" t="s">
        <v>19</v>
      </c>
      <c r="C5" s="54">
        <v>0</v>
      </c>
      <c r="D5" s="54">
        <v>1</v>
      </c>
      <c r="E5" s="54">
        <v>0</v>
      </c>
      <c r="F5" s="54">
        <v>0</v>
      </c>
      <c r="G5" s="54">
        <v>0</v>
      </c>
      <c r="H5" s="56" t="s">
        <v>74</v>
      </c>
      <c r="I5" s="38">
        <f t="shared" ref="I5:I8" si="0">SUM(C5:G5)</f>
        <v>1</v>
      </c>
      <c r="J5" s="52">
        <v>44207</v>
      </c>
      <c r="K5" s="51">
        <v>1</v>
      </c>
      <c r="L5" s="51">
        <v>0</v>
      </c>
      <c r="M5" s="51">
        <v>1</v>
      </c>
      <c r="N5" s="51">
        <v>1</v>
      </c>
      <c r="O5" s="38">
        <f t="shared" ref="O5:O7" si="1">SUM(K5:N5)</f>
        <v>3</v>
      </c>
      <c r="P5" s="51" t="s">
        <v>17</v>
      </c>
      <c r="Q5" s="52">
        <v>45589</v>
      </c>
      <c r="R5" s="53" t="s">
        <v>96</v>
      </c>
    </row>
    <row r="6" spans="1:18" s="42" customFormat="1" ht="36" x14ac:dyDescent="0.3">
      <c r="A6" s="38" t="s">
        <v>69</v>
      </c>
      <c r="B6" s="38" t="s">
        <v>19</v>
      </c>
      <c r="C6" s="38">
        <v>0</v>
      </c>
      <c r="D6" s="38">
        <v>0</v>
      </c>
      <c r="E6" s="38">
        <v>0</v>
      </c>
      <c r="F6" s="38">
        <v>0</v>
      </c>
      <c r="G6" s="38">
        <v>0</v>
      </c>
      <c r="H6" s="43" t="s">
        <v>81</v>
      </c>
      <c r="I6" s="38">
        <f t="shared" si="0"/>
        <v>0</v>
      </c>
      <c r="J6" s="39">
        <v>44207</v>
      </c>
      <c r="K6" s="40">
        <v>0</v>
      </c>
      <c r="L6" s="40">
        <v>1</v>
      </c>
      <c r="M6" s="40">
        <v>1</v>
      </c>
      <c r="N6" s="40">
        <v>1</v>
      </c>
      <c r="O6" s="38">
        <f t="shared" si="1"/>
        <v>3</v>
      </c>
      <c r="P6" s="40" t="s">
        <v>17</v>
      </c>
      <c r="Q6" s="39">
        <v>44809</v>
      </c>
      <c r="R6" s="41" t="s">
        <v>18</v>
      </c>
    </row>
    <row r="7" spans="1:18" s="47" customFormat="1" ht="27.6" x14ac:dyDescent="0.3">
      <c r="A7" s="54" t="s">
        <v>70</v>
      </c>
      <c r="B7" s="73" t="s">
        <v>71</v>
      </c>
      <c r="C7" s="54">
        <v>0</v>
      </c>
      <c r="D7" s="54">
        <v>0</v>
      </c>
      <c r="E7" s="54">
        <v>0</v>
      </c>
      <c r="F7" s="54">
        <v>0</v>
      </c>
      <c r="G7" s="54">
        <v>0</v>
      </c>
      <c r="H7" s="56" t="s">
        <v>83</v>
      </c>
      <c r="I7" s="38">
        <f t="shared" si="0"/>
        <v>0</v>
      </c>
      <c r="J7" s="52">
        <v>45219</v>
      </c>
      <c r="K7" s="51">
        <v>0</v>
      </c>
      <c r="L7" s="51">
        <v>0</v>
      </c>
      <c r="M7" s="51">
        <v>0</v>
      </c>
      <c r="N7" s="51">
        <v>0</v>
      </c>
      <c r="O7" s="38">
        <f t="shared" si="1"/>
        <v>0</v>
      </c>
      <c r="P7" s="51" t="s">
        <v>17</v>
      </c>
      <c r="Q7" s="52">
        <v>45593</v>
      </c>
      <c r="R7" s="53" t="s">
        <v>96</v>
      </c>
    </row>
    <row r="8" spans="1:18" ht="27.6" customHeight="1" x14ac:dyDescent="0.3">
      <c r="A8" s="54" t="s">
        <v>72</v>
      </c>
      <c r="B8" s="54" t="s">
        <v>19</v>
      </c>
      <c r="C8" s="54">
        <v>0</v>
      </c>
      <c r="D8" s="54">
        <v>0</v>
      </c>
      <c r="E8" s="54">
        <v>0</v>
      </c>
      <c r="F8" s="54">
        <v>0</v>
      </c>
      <c r="G8" s="54">
        <v>0</v>
      </c>
      <c r="H8" s="55" t="s">
        <v>97</v>
      </c>
      <c r="I8" s="26">
        <f t="shared" si="0"/>
        <v>0</v>
      </c>
      <c r="J8" s="52">
        <v>45233</v>
      </c>
      <c r="K8" s="51">
        <v>0</v>
      </c>
      <c r="L8" s="51">
        <v>0</v>
      </c>
      <c r="M8" s="51">
        <v>0</v>
      </c>
      <c r="N8" s="51">
        <v>0</v>
      </c>
      <c r="O8" s="26"/>
      <c r="P8" s="51" t="s">
        <v>17</v>
      </c>
      <c r="Q8" s="52">
        <v>45589</v>
      </c>
      <c r="R8" s="53" t="s">
        <v>96</v>
      </c>
    </row>
    <row r="9" spans="1:18" s="42" customFormat="1" ht="27" customHeight="1" x14ac:dyDescent="0.3">
      <c r="A9" s="38" t="s">
        <v>82</v>
      </c>
      <c r="B9" s="38" t="s">
        <v>19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48" t="s">
        <v>73</v>
      </c>
      <c r="I9" s="44">
        <f>SUM(C9:G9)</f>
        <v>0</v>
      </c>
      <c r="J9" s="39">
        <v>45219</v>
      </c>
      <c r="K9" s="40">
        <v>0</v>
      </c>
      <c r="L9" s="40">
        <v>0</v>
      </c>
      <c r="M9" s="40">
        <v>0</v>
      </c>
      <c r="N9" s="40">
        <v>0</v>
      </c>
      <c r="O9" s="38">
        <f>SUM(K9:N9)</f>
        <v>0</v>
      </c>
      <c r="P9" s="40" t="s">
        <v>17</v>
      </c>
      <c r="Q9" s="39">
        <v>45219</v>
      </c>
      <c r="R9" s="41" t="s">
        <v>18</v>
      </c>
    </row>
    <row r="10" spans="1:18" ht="27.6" customHeight="1" x14ac:dyDescent="0.3">
      <c r="A10" s="54" t="s">
        <v>85</v>
      </c>
      <c r="B10" s="54" t="s">
        <v>88</v>
      </c>
      <c r="C10" s="54">
        <v>0</v>
      </c>
      <c r="D10" s="54">
        <v>1</v>
      </c>
      <c r="E10" s="54">
        <v>0</v>
      </c>
      <c r="F10" s="54">
        <v>0</v>
      </c>
      <c r="G10" s="54">
        <v>2</v>
      </c>
      <c r="H10" s="55" t="s">
        <v>83</v>
      </c>
      <c r="I10" s="26">
        <f>SUM(C10:G10)</f>
        <v>3</v>
      </c>
      <c r="J10" s="52">
        <v>45252</v>
      </c>
      <c r="K10" s="51">
        <v>0</v>
      </c>
      <c r="L10" s="51">
        <v>0</v>
      </c>
      <c r="M10" s="51">
        <v>0</v>
      </c>
      <c r="N10" s="51">
        <v>0</v>
      </c>
      <c r="O10" s="26">
        <f>SUM(K10:N10)</f>
        <v>0</v>
      </c>
      <c r="P10" s="51" t="s">
        <v>17</v>
      </c>
      <c r="Q10" s="52">
        <v>45589</v>
      </c>
      <c r="R10" s="53" t="s">
        <v>96</v>
      </c>
    </row>
    <row r="11" spans="1:18" ht="27.6" customHeight="1" x14ac:dyDescent="0.3">
      <c r="A11" s="54" t="s">
        <v>87</v>
      </c>
      <c r="B11" s="54" t="s">
        <v>88</v>
      </c>
      <c r="C11" s="54">
        <v>0</v>
      </c>
      <c r="D11" s="54">
        <v>1</v>
      </c>
      <c r="E11" s="54">
        <v>0</v>
      </c>
      <c r="F11" s="54">
        <v>0</v>
      </c>
      <c r="G11" s="54">
        <v>0</v>
      </c>
      <c r="H11" s="55" t="s">
        <v>89</v>
      </c>
      <c r="I11" s="26">
        <f t="shared" ref="I11:I12" si="2">SUM(C11:G11)</f>
        <v>1</v>
      </c>
      <c r="J11" s="52">
        <v>45251</v>
      </c>
      <c r="K11" s="51">
        <v>0</v>
      </c>
      <c r="L11" s="51">
        <v>0</v>
      </c>
      <c r="M11" s="51">
        <v>0</v>
      </c>
      <c r="N11" s="51">
        <v>0</v>
      </c>
      <c r="O11" s="26">
        <f>SUM(K11:N11)</f>
        <v>0</v>
      </c>
      <c r="P11" s="51" t="s">
        <v>17</v>
      </c>
      <c r="Q11" s="52">
        <v>45589</v>
      </c>
      <c r="R11" s="53" t="s">
        <v>96</v>
      </c>
    </row>
    <row r="12" spans="1:18" ht="27.6" customHeight="1" x14ac:dyDescent="0.3">
      <c r="A12" s="26" t="s">
        <v>86</v>
      </c>
      <c r="B12" s="26" t="s">
        <v>88</v>
      </c>
      <c r="C12" s="26">
        <v>0</v>
      </c>
      <c r="D12" s="26">
        <v>1</v>
      </c>
      <c r="E12" s="26">
        <v>0</v>
      </c>
      <c r="F12" s="26">
        <v>0</v>
      </c>
      <c r="G12" s="26">
        <v>2</v>
      </c>
      <c r="H12" s="27" t="s">
        <v>83</v>
      </c>
      <c r="I12" s="26">
        <f t="shared" si="2"/>
        <v>3</v>
      </c>
      <c r="J12" s="36">
        <v>45250</v>
      </c>
      <c r="K12" s="37">
        <v>0</v>
      </c>
      <c r="L12" s="37">
        <v>0</v>
      </c>
      <c r="M12" s="37">
        <v>0</v>
      </c>
      <c r="N12" s="37">
        <v>0</v>
      </c>
      <c r="O12" s="26">
        <f>SUM(K12:N12)</f>
        <v>0</v>
      </c>
      <c r="P12" s="40" t="s">
        <v>17</v>
      </c>
      <c r="Q12" s="36">
        <v>45250</v>
      </c>
      <c r="R12" s="41" t="s">
        <v>18</v>
      </c>
    </row>
    <row r="13" spans="1:18" ht="27.6" customHeight="1" x14ac:dyDescent="0.3">
      <c r="A13" s="54" t="s">
        <v>98</v>
      </c>
      <c r="B13" s="54" t="s">
        <v>99</v>
      </c>
      <c r="C13" s="54">
        <v>0</v>
      </c>
      <c r="D13" s="54">
        <v>0</v>
      </c>
      <c r="E13" s="54">
        <v>0</v>
      </c>
      <c r="F13" s="54">
        <v>0</v>
      </c>
      <c r="G13" s="54">
        <v>0</v>
      </c>
      <c r="H13" s="55" t="s">
        <v>100</v>
      </c>
      <c r="I13" s="26">
        <v>0</v>
      </c>
      <c r="J13" s="52">
        <v>45219</v>
      </c>
      <c r="K13" s="51">
        <v>0</v>
      </c>
      <c r="L13" s="51">
        <v>0</v>
      </c>
      <c r="M13" s="51">
        <v>0</v>
      </c>
      <c r="N13" s="51">
        <v>0</v>
      </c>
      <c r="O13" s="26"/>
      <c r="P13" s="51" t="s">
        <v>17</v>
      </c>
      <c r="Q13" s="52">
        <v>45589</v>
      </c>
      <c r="R13" s="53" t="s">
        <v>96</v>
      </c>
    </row>
    <row r="14" spans="1:18" ht="27.6" customHeight="1" x14ac:dyDescent="0.3">
      <c r="A14" s="26"/>
      <c r="B14" s="26"/>
      <c r="C14" s="26"/>
      <c r="D14" s="26"/>
      <c r="E14" s="26"/>
      <c r="F14" s="26"/>
      <c r="G14" s="26"/>
      <c r="H14" s="27"/>
      <c r="I14" s="26"/>
      <c r="J14" s="36"/>
      <c r="K14" s="37"/>
      <c r="L14" s="37"/>
      <c r="M14" s="37"/>
      <c r="N14" s="37"/>
      <c r="O14" s="26"/>
      <c r="P14" s="40"/>
      <c r="Q14" s="36"/>
      <c r="R14" s="41"/>
    </row>
    <row r="16" spans="1:18" x14ac:dyDescent="0.3">
      <c r="A16" s="57" t="s">
        <v>101</v>
      </c>
    </row>
    <row r="17" spans="1:18" ht="15.6" x14ac:dyDescent="0.3">
      <c r="A17" s="71"/>
      <c r="B17" s="72"/>
      <c r="C17" s="72"/>
      <c r="D17" s="72"/>
      <c r="E17" s="72">
        <v>0</v>
      </c>
      <c r="F17" s="72"/>
      <c r="G17" s="72"/>
      <c r="H17" s="72"/>
      <c r="I17" s="72"/>
      <c r="J17" s="72"/>
      <c r="K17" s="72"/>
      <c r="L17" s="1"/>
      <c r="M17" s="1"/>
      <c r="N17" s="1"/>
      <c r="O17" s="1"/>
      <c r="P17" s="1"/>
      <c r="Q17" s="1"/>
      <c r="R17" s="1"/>
    </row>
    <row r="18" spans="1:18" ht="15.6" x14ac:dyDescent="0.3">
      <c r="A18" s="2"/>
      <c r="B18" s="17" t="s">
        <v>58</v>
      </c>
      <c r="C18" s="64" t="s">
        <v>48</v>
      </c>
      <c r="D18" s="65"/>
      <c r="E18" s="2"/>
      <c r="F18" s="13" t="s">
        <v>20</v>
      </c>
      <c r="G18" s="13"/>
      <c r="H18" s="13"/>
      <c r="I18" s="4" t="s">
        <v>49</v>
      </c>
      <c r="J18" s="16"/>
      <c r="K18" s="10"/>
      <c r="M18" s="5"/>
      <c r="P18" s="1"/>
      <c r="Q18" s="1"/>
      <c r="R18" s="1"/>
    </row>
    <row r="19" spans="1:18" ht="15.6" x14ac:dyDescent="0.3">
      <c r="A19" s="2" t="s">
        <v>34</v>
      </c>
      <c r="B19" s="6">
        <v>0</v>
      </c>
      <c r="C19" s="22" t="s">
        <v>60</v>
      </c>
      <c r="D19" s="23" t="s">
        <v>2</v>
      </c>
      <c r="E19" s="12" t="s">
        <v>21</v>
      </c>
      <c r="F19" s="6">
        <v>0</v>
      </c>
      <c r="G19" s="14"/>
      <c r="H19" s="14"/>
      <c r="I19" s="22" t="s">
        <v>3</v>
      </c>
      <c r="J19" s="24" t="s">
        <v>2</v>
      </c>
      <c r="K19" s="22"/>
      <c r="M19" s="5"/>
      <c r="P19" s="1"/>
      <c r="Q19" s="1"/>
      <c r="R19" s="1"/>
    </row>
    <row r="20" spans="1:18" ht="15.6" x14ac:dyDescent="0.3">
      <c r="A20" s="2" t="s">
        <v>35</v>
      </c>
      <c r="B20" s="6">
        <v>1</v>
      </c>
      <c r="C20" s="18" t="s">
        <v>61</v>
      </c>
      <c r="D20" s="19" t="s">
        <v>62</v>
      </c>
      <c r="E20" s="12" t="s">
        <v>22</v>
      </c>
      <c r="F20" s="6">
        <v>1</v>
      </c>
      <c r="G20" s="14"/>
      <c r="H20" s="14"/>
      <c r="I20" s="18" t="s">
        <v>64</v>
      </c>
      <c r="J20" s="25" t="s">
        <v>62</v>
      </c>
      <c r="K20" s="19"/>
      <c r="M20" s="5"/>
      <c r="P20" s="1"/>
      <c r="Q20" s="1"/>
      <c r="R20" s="1"/>
    </row>
    <row r="21" spans="1:18" x14ac:dyDescent="0.3">
      <c r="A21" s="2" t="s">
        <v>36</v>
      </c>
      <c r="B21" s="6">
        <v>2</v>
      </c>
      <c r="C21" s="20" t="s">
        <v>63</v>
      </c>
      <c r="D21" s="21" t="s">
        <v>4</v>
      </c>
      <c r="E21" s="12" t="s">
        <v>23</v>
      </c>
      <c r="F21" s="6">
        <v>2</v>
      </c>
      <c r="G21" s="14"/>
      <c r="H21" s="14"/>
      <c r="I21" s="20" t="s">
        <v>65</v>
      </c>
      <c r="J21" s="20" t="s">
        <v>4</v>
      </c>
      <c r="K21" s="20"/>
      <c r="M21" s="5"/>
    </row>
    <row r="22" spans="1:18" x14ac:dyDescent="0.3">
      <c r="A22" s="2"/>
      <c r="B22" s="17" t="s">
        <v>31</v>
      </c>
      <c r="C22" s="7"/>
      <c r="D22" s="7"/>
      <c r="E22" s="12"/>
      <c r="F22" s="13" t="s">
        <v>46</v>
      </c>
      <c r="G22" s="15"/>
      <c r="H22" s="15"/>
      <c r="I22" s="7"/>
      <c r="J22" s="7"/>
      <c r="K22" s="7"/>
      <c r="M22" s="5"/>
    </row>
    <row r="23" spans="1:18" x14ac:dyDescent="0.3">
      <c r="A23" s="2" t="s">
        <v>37</v>
      </c>
      <c r="B23" s="6">
        <v>0</v>
      </c>
      <c r="C23" s="7"/>
      <c r="D23" s="7"/>
      <c r="E23" s="12" t="s">
        <v>24</v>
      </c>
      <c r="F23" s="6">
        <v>0</v>
      </c>
      <c r="G23" s="8"/>
      <c r="H23" s="8"/>
      <c r="I23" s="7"/>
      <c r="J23" s="7"/>
      <c r="K23" s="7"/>
      <c r="M23" s="5"/>
    </row>
    <row r="24" spans="1:18" x14ac:dyDescent="0.3">
      <c r="A24" s="2" t="s">
        <v>38</v>
      </c>
      <c r="B24" s="6">
        <v>1</v>
      </c>
      <c r="C24" s="11"/>
      <c r="D24" s="7"/>
      <c r="E24" s="12" t="s">
        <v>25</v>
      </c>
      <c r="F24" s="6">
        <v>1</v>
      </c>
      <c r="G24" s="8"/>
      <c r="H24" s="8"/>
      <c r="I24" s="11"/>
      <c r="J24" s="11"/>
      <c r="K24" s="7"/>
      <c r="M24" s="5"/>
    </row>
    <row r="25" spans="1:18" x14ac:dyDescent="0.3">
      <c r="A25" s="2" t="s">
        <v>39</v>
      </c>
      <c r="B25" s="6">
        <v>2</v>
      </c>
      <c r="C25" s="7"/>
      <c r="D25" s="7"/>
      <c r="E25" s="12" t="s">
        <v>26</v>
      </c>
      <c r="F25" s="6">
        <v>2</v>
      </c>
      <c r="G25" s="8"/>
      <c r="H25" s="8"/>
      <c r="I25" s="7"/>
      <c r="J25" s="7"/>
      <c r="K25" s="7"/>
      <c r="M25" s="5"/>
    </row>
    <row r="26" spans="1:18" x14ac:dyDescent="0.3">
      <c r="A26" s="2"/>
      <c r="B26" s="17" t="s">
        <v>32</v>
      </c>
      <c r="C26" s="7"/>
      <c r="D26" s="7"/>
      <c r="E26" s="12"/>
      <c r="F26" s="13" t="s">
        <v>53</v>
      </c>
      <c r="G26" s="15"/>
      <c r="H26" s="15"/>
      <c r="I26" s="7"/>
      <c r="J26" s="7"/>
      <c r="K26" s="7"/>
      <c r="M26" s="5"/>
    </row>
    <row r="27" spans="1:18" x14ac:dyDescent="0.3">
      <c r="A27" s="2" t="s">
        <v>40</v>
      </c>
      <c r="B27" s="6">
        <v>0</v>
      </c>
      <c r="C27" s="8"/>
      <c r="D27" s="8"/>
      <c r="E27" s="12" t="s">
        <v>27</v>
      </c>
      <c r="F27" s="6">
        <v>0</v>
      </c>
      <c r="G27" s="8"/>
      <c r="H27" s="8"/>
      <c r="I27" s="8"/>
      <c r="J27" s="8"/>
      <c r="K27" s="8"/>
      <c r="M27" s="5"/>
    </row>
    <row r="28" spans="1:18" x14ac:dyDescent="0.3">
      <c r="A28" s="2" t="s">
        <v>41</v>
      </c>
      <c r="B28" s="6">
        <v>1</v>
      </c>
      <c r="C28" s="8"/>
      <c r="D28" s="8"/>
      <c r="E28" s="12" t="s">
        <v>5</v>
      </c>
      <c r="F28" s="6">
        <v>1</v>
      </c>
      <c r="G28" s="8"/>
      <c r="H28" s="8"/>
      <c r="I28" s="8"/>
      <c r="J28" s="8"/>
      <c r="K28" s="8"/>
      <c r="M28" s="5"/>
    </row>
    <row r="29" spans="1:18" x14ac:dyDescent="0.3">
      <c r="A29" s="2" t="s">
        <v>42</v>
      </c>
      <c r="B29" s="6">
        <v>2</v>
      </c>
      <c r="C29" s="8"/>
      <c r="D29" s="8"/>
      <c r="E29" s="12" t="s">
        <v>6</v>
      </c>
      <c r="F29" s="6">
        <v>2</v>
      </c>
      <c r="G29" s="8"/>
      <c r="H29" s="8"/>
      <c r="I29" s="8"/>
      <c r="J29" s="8"/>
      <c r="K29" s="8"/>
      <c r="M29" s="5"/>
    </row>
    <row r="30" spans="1:18" x14ac:dyDescent="0.3">
      <c r="A30" s="2"/>
      <c r="B30" s="3" t="s">
        <v>33</v>
      </c>
      <c r="C30" s="9"/>
      <c r="D30" s="9"/>
      <c r="E30" s="12"/>
      <c r="F30" s="13" t="s">
        <v>47</v>
      </c>
      <c r="G30" s="15"/>
      <c r="H30" s="15"/>
      <c r="I30" s="9"/>
      <c r="J30" s="9"/>
      <c r="K30" s="9"/>
      <c r="M30" s="5"/>
    </row>
    <row r="31" spans="1:18" x14ac:dyDescent="0.3">
      <c r="A31" s="2" t="s">
        <v>43</v>
      </c>
      <c r="B31" s="6">
        <v>0</v>
      </c>
      <c r="C31" s="8"/>
      <c r="D31" s="8"/>
      <c r="E31" s="12" t="s">
        <v>7</v>
      </c>
      <c r="F31" s="6">
        <v>0</v>
      </c>
      <c r="G31" s="8"/>
      <c r="H31" s="8"/>
      <c r="I31" s="8"/>
      <c r="J31" s="8"/>
      <c r="K31" s="8"/>
      <c r="M31" s="5"/>
    </row>
    <row r="32" spans="1:18" x14ac:dyDescent="0.3">
      <c r="A32" s="2" t="s">
        <v>44</v>
      </c>
      <c r="B32" s="6">
        <v>1</v>
      </c>
      <c r="C32" s="8"/>
      <c r="D32" s="8"/>
      <c r="E32" s="12" t="s">
        <v>8</v>
      </c>
      <c r="F32" s="6">
        <v>1</v>
      </c>
      <c r="G32" s="8"/>
      <c r="H32" s="8"/>
      <c r="I32" s="8"/>
      <c r="J32" s="8"/>
      <c r="K32" s="8"/>
      <c r="M32" s="5"/>
    </row>
    <row r="33" spans="1:13" x14ac:dyDescent="0.3">
      <c r="A33" s="2" t="s">
        <v>45</v>
      </c>
      <c r="B33" s="6">
        <v>2</v>
      </c>
      <c r="C33" s="8"/>
      <c r="D33" s="8"/>
      <c r="E33" s="12" t="s">
        <v>9</v>
      </c>
      <c r="F33" s="6">
        <v>2</v>
      </c>
      <c r="G33" s="8"/>
      <c r="H33" s="8"/>
      <c r="I33" s="8"/>
      <c r="J33" s="8"/>
      <c r="K33" s="8"/>
      <c r="M33" s="5"/>
    </row>
    <row r="34" spans="1:13" x14ac:dyDescent="0.3">
      <c r="A34" s="2"/>
      <c r="B34" s="17" t="s">
        <v>54</v>
      </c>
      <c r="C34" s="5"/>
      <c r="D34" s="5"/>
      <c r="E34" s="5"/>
      <c r="M34" s="5"/>
    </row>
    <row r="35" spans="1:13" x14ac:dyDescent="0.3">
      <c r="A35" s="2" t="s">
        <v>55</v>
      </c>
      <c r="B35" s="6">
        <v>0</v>
      </c>
    </row>
    <row r="36" spans="1:13" x14ac:dyDescent="0.3">
      <c r="A36" s="2" t="s">
        <v>56</v>
      </c>
      <c r="B36" s="6">
        <v>1</v>
      </c>
    </row>
    <row r="37" spans="1:13" x14ac:dyDescent="0.3">
      <c r="A37" s="2" t="s">
        <v>57</v>
      </c>
      <c r="B37" s="6">
        <v>2</v>
      </c>
    </row>
  </sheetData>
  <mergeCells count="8">
    <mergeCell ref="C18:D18"/>
    <mergeCell ref="B1:G1"/>
    <mergeCell ref="I1:K1"/>
    <mergeCell ref="A2:B2"/>
    <mergeCell ref="C2:I2"/>
    <mergeCell ref="K2:O2"/>
    <mergeCell ref="A17:D17"/>
    <mergeCell ref="E17:K17"/>
  </mergeCells>
  <conditionalFormatting sqref="I4:I14">
    <cfRule type="cellIs" dxfId="5" priority="4" operator="greaterThanOrEqual">
      <formula>7</formula>
    </cfRule>
    <cfRule type="cellIs" dxfId="4" priority="5" operator="between">
      <formula>5</formula>
      <formula>6</formula>
    </cfRule>
    <cfRule type="cellIs" dxfId="3" priority="6" operator="between">
      <formula>0</formula>
      <formula>4</formula>
    </cfRule>
  </conditionalFormatting>
  <conditionalFormatting sqref="O4:O14">
    <cfRule type="cellIs" dxfId="2" priority="1" operator="greaterThanOrEqual">
      <formula>6</formula>
    </cfRule>
    <cfRule type="cellIs" dxfId="1" priority="2" operator="between">
      <formula>4</formula>
      <formula>5</formula>
    </cfRule>
    <cfRule type="cellIs" dxfId="0" priority="3" operator="between">
      <formula>0</formula>
      <formula>3</formula>
    </cfRule>
  </conditionalFormatting>
  <pageMargins left="0.7" right="0.7" top="0.75" bottom="0.75" header="0.3" footer="0.3"/>
  <pageSetup paperSize="9" scale="39" orientation="landscape" r:id="rId1"/>
  <headerFooter>
    <oddHeader>&amp;L&amp;"-,Grassetto"&amp;12D.06.03
Rev.0
del 27/01/2023&amp;C&amp;"-,Grassetto"&amp;14Lista Fornitore di Servizi&amp;R&amp;"-,Grassetto"&amp;12AGRUMIGEL S.r.l.
C.da Girotta snc
98051 Barcellona Pozzo di Gotto (ME)</oddHeader>
  </headerFooter>
  <rowBreaks count="1" manualBreakCount="1">
    <brk id="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Servizi 2024</vt:lpstr>
      <vt:lpstr>Servizi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</dc:creator>
  <cp:keywords/>
  <dc:description/>
  <cp:lastModifiedBy>Giovanna</cp:lastModifiedBy>
  <cp:revision/>
  <cp:lastPrinted>2023-10-16T17:53:26Z</cp:lastPrinted>
  <dcterms:created xsi:type="dcterms:W3CDTF">2014-03-28T13:48:16Z</dcterms:created>
  <dcterms:modified xsi:type="dcterms:W3CDTF">2025-04-28T14:28:42Z</dcterms:modified>
  <cp:category/>
  <cp:contentStatus/>
</cp:coreProperties>
</file>