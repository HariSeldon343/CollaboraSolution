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65ca427470d03bd1/Documenti/SCO/CONSULENZA/FORGEST/PL3 Group/2024/"/>
    </mc:Choice>
  </mc:AlternateContent>
  <xr:revisionPtr revIDLastSave="0" documentId="8_{6F2478D4-1064-4D70-A999-F40789B8800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ONTESTO" sheetId="3" r:id="rId1"/>
    <sheet name="MATRICE DEI RISCHI 2024" sheetId="5" r:id="rId2"/>
    <sheet name="MONITORAGGIO 2024" sheetId="4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6" i="5" l="1"/>
  <c r="K16" i="5"/>
  <c r="O12" i="5"/>
  <c r="K12" i="5"/>
  <c r="O11" i="5"/>
  <c r="K11" i="5"/>
  <c r="O10" i="5"/>
  <c r="K10" i="5"/>
  <c r="O9" i="5"/>
  <c r="K9" i="5"/>
  <c r="O6" i="5"/>
  <c r="K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barre</author>
  </authors>
  <commentList>
    <comment ref="A11" authorId="0" shapeId="0" xr:uid="{A50FE98C-B245-43A4-99E3-38A0B114B377}">
      <text>
        <r>
          <rPr>
            <b/>
            <sz val="9"/>
            <rFont val="Times New Roman"/>
          </rPr>
          <t>barre:</t>
        </r>
        <r>
          <rPr>
            <sz val="9"/>
            <rFont val="Times New Roman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<sst xmlns="http://schemas.openxmlformats.org/spreadsheetml/2006/main" count="272" uniqueCount="223">
  <si>
    <t xml:space="preserve">FATTORE DEL CONTESTO INTERNO </t>
  </si>
  <si>
    <t xml:space="preserve">FATTORE DEL CONTESTO ESTERNO </t>
  </si>
  <si>
    <t>PARTI INTERESSATE</t>
  </si>
  <si>
    <t>AREA DI INCERTEZZA RILEVATA</t>
  </si>
  <si>
    <t xml:space="preserve"> TARGET
FUNZIONE/OBIETTIVO </t>
  </si>
  <si>
    <t>PROCESSO  COINVOLTO</t>
  </si>
  <si>
    <t>PONDERAZIONE DEL RISCHIO</t>
  </si>
  <si>
    <t>RISCHIO RESIDUO (ATTESO)</t>
  </si>
  <si>
    <t>ACTION PLAN</t>
  </si>
  <si>
    <t>Rilevabilità</t>
  </si>
  <si>
    <t>Impatto</t>
  </si>
  <si>
    <t>Indice di Rischio</t>
  </si>
  <si>
    <t>Responsabilità</t>
  </si>
  <si>
    <t>Priorità</t>
  </si>
  <si>
    <t>Data Inizio</t>
  </si>
  <si>
    <t>Monitoraggio</t>
  </si>
  <si>
    <t>Data fine</t>
  </si>
  <si>
    <t>CRESCITA DEL VALORE AZIENDALE</t>
  </si>
  <si>
    <t>Perdita di competitività</t>
  </si>
  <si>
    <t>media</t>
  </si>
  <si>
    <t>cliente</t>
  </si>
  <si>
    <t>incomprensione delle richieste del cliente</t>
  </si>
  <si>
    <t>garantire il rispetto dei requisiti del cliente</t>
  </si>
  <si>
    <t>individuare correttamente le richieste del cliente</t>
  </si>
  <si>
    <t>alta</t>
  </si>
  <si>
    <t>Responsabile operativo</t>
  </si>
  <si>
    <t>definire la pianificazione e monitoraggio dei tempi</t>
  </si>
  <si>
    <t>manutenzione</t>
  </si>
  <si>
    <t>Carenza di manutenzione sui mezzi e le attrezzature</t>
  </si>
  <si>
    <t>bassa</t>
  </si>
  <si>
    <t>erogazione del servizio</t>
  </si>
  <si>
    <t>Indice del rischio</t>
  </si>
  <si>
    <t>livello di Rischio</t>
  </si>
  <si>
    <t>1 – 4</t>
  </si>
  <si>
    <t>LOW</t>
  </si>
  <si>
    <t>4: Critico: espone a rischio il business dell’intera Organizzazione</t>
  </si>
  <si>
    <t>4: Si manifesta solo dopo che l’evento è avvenuto</t>
  </si>
  <si>
    <t>3: Severo: compromette gli obiettivi di business dell’Organizzazione</t>
  </si>
  <si>
    <t>3: si manifesta in concomitanza dell’evento indesiderato</t>
  </si>
  <si>
    <t>4– 8</t>
  </si>
  <si>
    <t>MEDIUM</t>
  </si>
  <si>
    <t>2: Moderato: può ritardare il raggiungimento degli obiettivi di business dell’organizzazione</t>
  </si>
  <si>
    <t>2: si manifesta immediatamente prima dell’evento indesiderato; può essere mitigato se monitorato sistematicamente</t>
  </si>
  <si>
    <t>1: Minimo: nessun impatto sul business, ma può aumentare i costi e i tempi</t>
  </si>
  <si>
    <t>1: Si manifesta con adeguato anticipo dall’evento. Determinabile.</t>
  </si>
  <si>
    <t>8 – 16</t>
  </si>
  <si>
    <t>HIGH</t>
  </si>
  <si>
    <t>Competenza del personale</t>
  </si>
  <si>
    <t>dipendenti</t>
  </si>
  <si>
    <t>fornitori</t>
  </si>
  <si>
    <t>GESTION DEL PROCESSO</t>
  </si>
  <si>
    <t>reclami</t>
  </si>
  <si>
    <t>ottemperare ai requisiti dei servizi</t>
  </si>
  <si>
    <t xml:space="preserve">FINALITA ED OBIETTIVI STRATEGICI DELL'ORGANIZZAZIONE </t>
  </si>
  <si>
    <t>SODDISFAZIONE DEL CLIENTE</t>
  </si>
  <si>
    <t>impatto</t>
  </si>
  <si>
    <t>Mantemere la proposta del servizio  adeguata alle richieste del mercato</t>
  </si>
  <si>
    <t>Gestione delle risorse umane</t>
  </si>
  <si>
    <t>norme compotamentali</t>
  </si>
  <si>
    <t>innovazioni tecnologiche</t>
  </si>
  <si>
    <t>Proprietà</t>
  </si>
  <si>
    <t>Valori e comportamenti</t>
  </si>
  <si>
    <t>Sistemi di ascolto del cliente</t>
  </si>
  <si>
    <t>Rischio legato alla gestione dei tempi d'intervento</t>
  </si>
  <si>
    <t>Erogazione del servizio</t>
  </si>
  <si>
    <t>non corretta applicazione della normativa</t>
  </si>
  <si>
    <t>essere conformi alla normativa</t>
  </si>
  <si>
    <t>opportunità Item</t>
  </si>
  <si>
    <t>comunicazione esterna</t>
  </si>
  <si>
    <t>crescita in termini di fatturato</t>
  </si>
  <si>
    <t>presenza sul mercato di riferimento</t>
  </si>
  <si>
    <t>commrciale</t>
  </si>
  <si>
    <t>Offerte sul territorio di interesse</t>
  </si>
  <si>
    <t>acquisizione clienti</t>
  </si>
  <si>
    <t>RISCHIO
Item</t>
  </si>
  <si>
    <t>OPPORTUNITA'</t>
  </si>
  <si>
    <t xml:space="preserve">STRATEGIA PER COGLIERE LE OPPORTUNITA'
 </t>
  </si>
  <si>
    <t>partecipazione ad eventi</t>
  </si>
  <si>
    <t>esterndere la presenza sul mercato nazionale</t>
  </si>
  <si>
    <t>PONDERAZIONE DELL'OPPORTUNITA'</t>
  </si>
  <si>
    <t>Indice opportunità</t>
  </si>
  <si>
    <t>livello di opportunità</t>
  </si>
  <si>
    <t>strategico</t>
  </si>
  <si>
    <t>1: Non strategico</t>
  </si>
  <si>
    <t>3: strategico; va monitorato</t>
  </si>
  <si>
    <t>2: poco strategico; non monitorato</t>
  </si>
  <si>
    <t>4:molto importante; da monitorare sistematicamente</t>
  </si>
  <si>
    <t>4: Alto: opportunità per il business dell’intera Organizzazione</t>
  </si>
  <si>
    <t>3: importante: permette di raggiungere gli obiettivi di business dell’Organizzazione</t>
  </si>
  <si>
    <t>2: Moderato: incide poco sul raggiungimento degli obiettivi di business dell’organizzazione</t>
  </si>
  <si>
    <t xml:space="preserve">1: Minimo: nessun impatto sul business, </t>
  </si>
  <si>
    <t>Indice di opportunità</t>
  </si>
  <si>
    <t xml:space="preserve">STRATEGIA PER AFFRONTARE IL RISCHIO
 </t>
  </si>
  <si>
    <t>diffondere la politica e i valori aziendali</t>
  </si>
  <si>
    <t>definire un processo di gestione della compliance alle norme</t>
  </si>
  <si>
    <t>ore di formazione</t>
  </si>
  <si>
    <t>non previsto</t>
  </si>
  <si>
    <t>tempi non rispettati</t>
  </si>
  <si>
    <t>nc su requisiti</t>
  </si>
  <si>
    <t xml:space="preserve">adeguamento alla normativa sulla sicurezza nei luoghi di lavoro; </t>
  </si>
  <si>
    <t>implementazione della nuova normativa sulla privacy</t>
  </si>
  <si>
    <t>migliorare l'informatizzazione dei processi</t>
  </si>
  <si>
    <t>comunicazione della politica e della strategia</t>
  </si>
  <si>
    <t>Resp. qualità</t>
  </si>
  <si>
    <t>Div. Direzionale</t>
  </si>
  <si>
    <t>Amm. di sistema</t>
  </si>
  <si>
    <t>normative nazionali</t>
  </si>
  <si>
    <t>enti preposti</t>
  </si>
  <si>
    <t>pianificare il servizio coerentemente con le esigenze del cliente</t>
  </si>
  <si>
    <t>azioni</t>
  </si>
  <si>
    <t>corretta gestione della manutenzione programmata</t>
  </si>
  <si>
    <t>controllo dell'esecuzione della manutenzione</t>
  </si>
  <si>
    <t>DIMENSIONI DEL CONTESTO</t>
  </si>
  <si>
    <t>ISTITUZIONI</t>
  </si>
  <si>
    <t>BUSINESS PARTNER</t>
  </si>
  <si>
    <t>LAVORATORI</t>
  </si>
  <si>
    <t>FORNITORI</t>
  </si>
  <si>
    <t>Politica e Istituzioni</t>
  </si>
  <si>
    <t>1)Politiche del Governo, delle Regioni e azioni dei Partiti</t>
  </si>
  <si>
    <t>Norme e regolamentazione</t>
  </si>
  <si>
    <t>3) Regolazione Nazionale</t>
  </si>
  <si>
    <t>4) Regolazione Regionale</t>
  </si>
  <si>
    <t>Innovazioni tecnologiche</t>
  </si>
  <si>
    <t>8) Innovazioni tecnologiche</t>
  </si>
  <si>
    <t>Sistema della fornitura e Sistema socio economico</t>
  </si>
  <si>
    <t>10) Offerta locale di servizi</t>
  </si>
  <si>
    <t>15) Sistema produttivo</t>
  </si>
  <si>
    <t>Cultura aziendale evalori</t>
  </si>
  <si>
    <t>17) Valori e comportamenti auspicate</t>
  </si>
  <si>
    <t>18) Cultura aziendale radicata nelle prassi quotidiane</t>
  </si>
  <si>
    <t>Struttura Organizzativa, Processi, Servizi</t>
  </si>
  <si>
    <t>21) Relazioni tra i responsabili dell'organizzazione</t>
  </si>
  <si>
    <t>22) Erogazione del servizio/prodotto</t>
  </si>
  <si>
    <t>Sistemi informativi</t>
  </si>
  <si>
    <t>23) Sistema HW, SW e reti di comunicazione</t>
  </si>
  <si>
    <t>24) Archivi e sicurezza</t>
  </si>
  <si>
    <t>Rapporti con il Cliente</t>
  </si>
  <si>
    <t>25) Sistemi di ascolto del cliente</t>
  </si>
  <si>
    <t>26) Comunicazione esterna</t>
  </si>
  <si>
    <t>Gestione Risorse umane</t>
  </si>
  <si>
    <t>27) Politiche di sicurezza e tutela</t>
  </si>
  <si>
    <t>28) Piani di reclutamento e formazione</t>
  </si>
  <si>
    <t>29) Gestione delle performance</t>
  </si>
  <si>
    <t>Impianti e strumentazioni</t>
  </si>
  <si>
    <t>30) Obsolescenza / manutenzione</t>
  </si>
  <si>
    <t>31) Tipologia</t>
  </si>
  <si>
    <t>Es t e r n i</t>
  </si>
  <si>
    <t>Interni</t>
  </si>
  <si>
    <t>FATTORI</t>
  </si>
  <si>
    <t>CLIENTI</t>
  </si>
  <si>
    <t>PROPRIETA'</t>
  </si>
  <si>
    <t>CONTESTO AZIENDALE</t>
  </si>
  <si>
    <t>migliorare la presentazione aziendale sul sito</t>
  </si>
  <si>
    <t>sviluppare rete di contatti in altre regioni</t>
  </si>
  <si>
    <t>n° nuovi clienti</t>
  </si>
  <si>
    <t>div. Commerciale</t>
  </si>
  <si>
    <t>AZIONI PROPOSTE</t>
  </si>
  <si>
    <t xml:space="preserve">PREVISTE ENTRO IL </t>
  </si>
  <si>
    <t xml:space="preserve">applicare i requisiti minimi per la privacy; condurre verifica di efficacia del sistema </t>
  </si>
  <si>
    <t>completare gli adempimenti; completare la formazione.</t>
  </si>
  <si>
    <t>completare la formazione e l'adeguamento al GDPR</t>
  </si>
  <si>
    <t xml:space="preserve">approfondire il processo di gestione dei rischi per singolo servizio. </t>
  </si>
  <si>
    <t xml:space="preserve">Migliorare la gestione dell'informativa relativa alla privacy  </t>
  </si>
  <si>
    <t>Sicurezza sul lavoro: completare gli adempimenti; completare la formazione.</t>
  </si>
  <si>
    <t xml:space="preserve">Condurre verifica di efficacia del sistema </t>
  </si>
  <si>
    <t xml:space="preserve">Implementare il processo di gestione dei rischi per singolo servizio. </t>
  </si>
  <si>
    <t>PONDERAZIONE ATTESA</t>
  </si>
  <si>
    <t>11) Offerte sul territorio di interesse</t>
  </si>
  <si>
    <t>VALUTAZIONI</t>
  </si>
  <si>
    <t xml:space="preserve">La crescita aziendale e lo sviluppo su mercato nazionale con il riferimento a grossi clienti fa si che il confronto con la concorrenza diventa elemento di attenzione e analisi. Le parti interessate coinvolte sono principalmente la direzione e i clienti </t>
  </si>
  <si>
    <t>L'attenzione della direzione al miglioramento del proprio modello organizzativo al fine di adeguare il sistema produttivo all'esigenza del mercato e dei clienti che richiedono sempre più qualifiche ecompetenze.</t>
  </si>
  <si>
    <t xml:space="preserve">La direzione punta molto sulla crescita della cultura aziendale e sui comportamenti del personale. Al fine di supportare la crescita del sistema produttivo aziendale </t>
  </si>
  <si>
    <t>Importante stabilire un ottimo rapporto di collaborazione tra le varie funzioni. Il buon esito dell'attività dipende da una buona pianificazione ed organizzazione gestionale</t>
  </si>
  <si>
    <t>è uno dei fatori importanti per la gestione del cliente e per l'ottimizzazione del processo lavorativo</t>
  </si>
  <si>
    <t xml:space="preserve">l'emergenza sanitaria COVID si è conclusa, ma rimane alta l'attenzione per eventuali focolai o casi che possono comunque creare problemi sul lavoro. Sull'esperienza del Covid la Direzione ha attenzionato maggiormente la sicurezza sul lavoro.  </t>
  </si>
  <si>
    <t>Ambientale</t>
  </si>
  <si>
    <t>32) impato sul cambiamento del clima</t>
  </si>
  <si>
    <t>Azione già effettuata</t>
  </si>
  <si>
    <t>n. audit interni eseguiti</t>
  </si>
  <si>
    <t>n° di NC su processo a seguito di audit</t>
  </si>
  <si>
    <t>Ambiente</t>
  </si>
  <si>
    <t>impato sul cambiamento del clima</t>
  </si>
  <si>
    <t>Direzione</t>
  </si>
  <si>
    <t>impattare sul cambiamento climatico</t>
  </si>
  <si>
    <t>Ridurre le emissioni in atmosfera</t>
  </si>
  <si>
    <t>Sostituire le autovetture con vetture nuove che hanno minor impatto</t>
  </si>
  <si>
    <t>Avviare monitoraggio sostituzione autovetture</t>
  </si>
  <si>
    <t>n° di auto nuove</t>
  </si>
  <si>
    <t>aggiornato al 24.01.2024</t>
  </si>
  <si>
    <t>Non vi è un impatto specifico ma come per ogni azienda le politiche del governo e dalla politica nazionale possono influenzare con le varie manovre l'attività dell'azienda</t>
  </si>
  <si>
    <t>La conformità alle varie normative nazionali che  regolamentano le modalità di gestione dei dipendenti e l'erogazione del servizio devono essere sempre attenzionate</t>
  </si>
  <si>
    <t xml:space="preserve">a parte eventuali verifiche da parte dell'enti di controllo, non ha un impatto significativo sulla sotenibilità della struttura </t>
  </si>
  <si>
    <t>le innovazioni tecnologiche ed il confronto con il sistema produttivo del territorio impattano significativamente sulla sostenibilità della struttura in quanto sono alla base del livello qualitativo del servizio e riguardano in particolare le innovazioni in campo come la trasformazione digitale (Indisteria5.0; PNRR), occasioni da non tralasciare. Questo si riflette anche nella capacità di individuare fornitori qualificati.</t>
  </si>
  <si>
    <t xml:space="preserve">L'attività aziendale si basa sostanziamente sull'utilizzo del sistema informatico che rappresenta il principale strumento di lavoro. La gestione dei dati che siano cartacei ma soprattutto digitali è uno degli aspetti importanti ai fini della rintracciabilità e della privacy. </t>
  </si>
  <si>
    <t xml:space="preserve">Importante l'individuazione delle risorse in quanto il buon esito del processo lavorativo si basa soprattutto sulle competenze del personale. </t>
  </si>
  <si>
    <t>L'efficienza delle attrezzature e reti informatiche sono aspetti importanti per evitare disservizi.</t>
  </si>
  <si>
    <t>l'impatto delle attività aziendali sul cambiamento del clima è legato alla mobilità con l'emissione dei gas di scarico del parco autovetture, che si è ridotto sostanzialmente con il lavoro da remoto. il consumo di fonti energetiche con Il riscaldamento in ufficio. Impatto limitato</t>
  </si>
  <si>
    <t>aggiornato al 30.08.2024</t>
  </si>
  <si>
    <t>attuazione di un modello di valutazione del personale e un piano di formazione finalizzato alla cresita professionale del personale</t>
  </si>
  <si>
    <t xml:space="preserve">Completare il modello di valutazione del personale; Completare il programma di formazione previsto per la sicurezza; privacy. </t>
  </si>
  <si>
    <t>monitoraggio delle innovazioni</t>
  </si>
  <si>
    <t>consulenti</t>
  </si>
  <si>
    <t>non correta applicazione delle disposizioni del cliente</t>
  </si>
  <si>
    <t>Attuare monitoraggio eed eseguire verifiche da parte del PM</t>
  </si>
  <si>
    <t>PM</t>
  </si>
  <si>
    <t>risultati questionari</t>
  </si>
  <si>
    <t>raccolta dei questionari di soddisfazione</t>
  </si>
  <si>
    <t>essere presenti con le proposte competitive ed innovative</t>
  </si>
  <si>
    <t xml:space="preserve"> Resp. commerciale</t>
  </si>
  <si>
    <t>Completare la gestione del contratto con il riesame</t>
  </si>
  <si>
    <t>n° contratti
 senza firma/riesame</t>
  </si>
  <si>
    <t>Resp. Delivery</t>
  </si>
  <si>
    <t>ottimizzare il canale di comunicazione con il cliente migliorando la gestione dei sistemi informativi; sensibilizzazione del personale</t>
  </si>
  <si>
    <t>rispetto dei tempi di proogetto</t>
  </si>
  <si>
    <t>Acquisti</t>
  </si>
  <si>
    <t>Resp. Qualità</t>
  </si>
  <si>
    <t>STATO DI AVANZAMENTO AL 30.12.2024</t>
  </si>
  <si>
    <t>STATO DI AVANZAMENTO AL 31/12/20225</t>
  </si>
  <si>
    <t xml:space="preserve"> Completare il programma di formazione previsto per la sicurezza; privacy. </t>
  </si>
  <si>
    <t>Completare il modello di valutazione del personale;</t>
  </si>
  <si>
    <t>estrapolazione dei dati</t>
  </si>
  <si>
    <t>eseguire questionario di soddisfazione/raccolta feedback dal cliente</t>
  </si>
  <si>
    <t>monitoraggio soddisfazione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</si>
</sst>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2"/>
      <color theme="1"/>
      <name val="Tahoma"/>
      <charset val="134"/>
    </font>
    <font>
      <b/>
      <i/>
      <sz val="12"/>
      <color theme="1"/>
      <name val="Tahoma"/>
      <charset val="134"/>
    </font>
    <font>
      <i/>
      <sz val="12"/>
      <color theme="1"/>
      <name val="Tahoma"/>
      <charset val="134"/>
    </font>
    <font>
      <sz val="12"/>
      <color theme="1"/>
      <name val="Times New Roman"/>
      <charset val="134"/>
    </font>
    <font>
      <b/>
      <sz val="9"/>
      <name val="Times New Roman"/>
    </font>
    <font>
      <sz val="9"/>
      <name val="Times New Roman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7"/>
      <color theme="1"/>
      <name val="Times New Roman"/>
      <family val="1"/>
    </font>
    <font>
      <b/>
      <sz val="8"/>
      <color theme="1"/>
      <name val="Trebuchet MS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rgb="FFFF0000"/>
      <name val="Times New Roman"/>
      <family val="1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8DB4E2"/>
        <bgColor indexed="64"/>
      </patternFill>
    </fill>
    <fill>
      <patternFill patternType="solid">
        <fgColor rgb="FF8DB3E1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0" fontId="20" fillId="17" borderId="0" applyNumberFormat="0" applyBorder="0" applyAlignment="0" applyProtection="0"/>
    <xf numFmtId="0" fontId="3" fillId="18" borderId="0" applyNumberFormat="0" applyBorder="0" applyAlignment="0" applyProtection="0"/>
  </cellStyleXfs>
  <cellXfs count="292">
    <xf numFmtId="0" fontId="0" fillId="0" borderId="0" xfId="0"/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3" xfId="0" applyFill="1" applyBorder="1"/>
    <xf numFmtId="0" fontId="0" fillId="0" borderId="3" xfId="0" applyBorder="1"/>
    <xf numFmtId="0" fontId="0" fillId="2" borderId="10" xfId="0" applyFill="1" applyBorder="1"/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3" xfId="0" applyFill="1" applyBorder="1"/>
    <xf numFmtId="0" fontId="0" fillId="3" borderId="14" xfId="0" applyFill="1" applyBorder="1"/>
    <xf numFmtId="0" fontId="0" fillId="4" borderId="14" xfId="0" applyFill="1" applyBorder="1"/>
    <xf numFmtId="0" fontId="0" fillId="5" borderId="15" xfId="0" applyFill="1" applyBorder="1"/>
    <xf numFmtId="0" fontId="0" fillId="0" borderId="15" xfId="0" applyBorder="1" applyAlignment="1">
      <alignment wrapText="1"/>
    </xf>
    <xf numFmtId="0" fontId="0" fillId="0" borderId="15" xfId="0" applyBorder="1"/>
    <xf numFmtId="0" fontId="8" fillId="8" borderId="16" xfId="0" applyFont="1" applyFill="1" applyBorder="1" applyAlignment="1">
      <alignment horizontal="justify" wrapText="1"/>
    </xf>
    <xf numFmtId="0" fontId="8" fillId="8" borderId="17" xfId="0" applyFont="1" applyFill="1" applyBorder="1" applyAlignment="1">
      <alignment horizontal="justify" wrapText="1"/>
    </xf>
    <xf numFmtId="0" fontId="8" fillId="9" borderId="0" xfId="0" applyFont="1" applyFill="1" applyAlignment="1">
      <alignment horizontal="justify"/>
    </xf>
    <xf numFmtId="0" fontId="11" fillId="0" borderId="0" xfId="0" applyFont="1" applyAlignment="1">
      <alignment horizontal="justify"/>
    </xf>
    <xf numFmtId="0" fontId="11" fillId="0" borderId="0" xfId="0" applyFont="1" applyAlignment="1">
      <alignment horizontal="justify" vertical="top"/>
    </xf>
    <xf numFmtId="0" fontId="11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16" borderId="26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13" borderId="25" xfId="0" applyFill="1" applyBorder="1"/>
    <xf numFmtId="0" fontId="0" fillId="12" borderId="25" xfId="0" applyFill="1" applyBorder="1"/>
    <xf numFmtId="0" fontId="0" fillId="0" borderId="14" xfId="0" applyBorder="1"/>
    <xf numFmtId="0" fontId="0" fillId="0" borderId="27" xfId="0" applyBorder="1"/>
    <xf numFmtId="0" fontId="0" fillId="0" borderId="28" xfId="0" applyBorder="1"/>
    <xf numFmtId="0" fontId="4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14" borderId="23" xfId="0" applyFont="1" applyFill="1" applyBorder="1" applyAlignment="1">
      <alignment horizontal="center" wrapText="1"/>
    </xf>
    <xf numFmtId="0" fontId="18" fillId="0" borderId="0" xfId="0" applyFont="1" applyAlignment="1">
      <alignment horizontal="justify"/>
    </xf>
    <xf numFmtId="0" fontId="19" fillId="8" borderId="16" xfId="0" applyFont="1" applyFill="1" applyBorder="1" applyAlignment="1">
      <alignment horizontal="justify" wrapText="1"/>
    </xf>
    <xf numFmtId="0" fontId="19" fillId="8" borderId="17" xfId="0" applyFont="1" applyFill="1" applyBorder="1" applyAlignment="1">
      <alignment horizontal="justify" wrapText="1"/>
    </xf>
    <xf numFmtId="0" fontId="19" fillId="9" borderId="0" xfId="0" applyFont="1" applyFill="1" applyAlignment="1">
      <alignment horizontal="justify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justify" vertical="top"/>
    </xf>
    <xf numFmtId="0" fontId="16" fillId="0" borderId="1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0" fontId="0" fillId="0" borderId="0" xfId="0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 wrapText="1"/>
    </xf>
    <xf numFmtId="0" fontId="0" fillId="4" borderId="5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0" borderId="25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0" borderId="25" xfId="0" applyFont="1" applyFill="1" applyBorder="1" applyAlignment="1">
      <alignment horizontal="center"/>
    </xf>
    <xf numFmtId="0" fontId="22" fillId="12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6" fillId="0" borderId="39" xfId="0" applyFont="1" applyBorder="1" applyAlignment="1">
      <alignment vertical="center" wrapText="1"/>
    </xf>
    <xf numFmtId="0" fontId="24" fillId="13" borderId="39" xfId="0" applyFont="1" applyFill="1" applyBorder="1" applyAlignment="1">
      <alignment vertical="center" wrapText="1"/>
    </xf>
    <xf numFmtId="0" fontId="24" fillId="19" borderId="39" xfId="0" applyFont="1" applyFill="1" applyBorder="1" applyAlignment="1">
      <alignment vertical="center" wrapText="1"/>
    </xf>
    <xf numFmtId="0" fontId="24" fillId="20" borderId="39" xfId="0" applyFont="1" applyFill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4" fillId="21" borderId="39" xfId="0" applyFont="1" applyFill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0" borderId="39" xfId="0" applyFont="1" applyBorder="1" applyAlignment="1">
      <alignment vertical="center" wrapText="1"/>
    </xf>
    <xf numFmtId="0" fontId="30" fillId="0" borderId="0" xfId="0" applyFont="1"/>
    <xf numFmtId="14" fontId="0" fillId="0" borderId="1" xfId="0" applyNumberFormat="1" applyBorder="1" applyAlignment="1">
      <alignment horizontal="center" vertical="center"/>
    </xf>
    <xf numFmtId="0" fontId="3" fillId="18" borderId="1" xfId="3" applyBorder="1" applyAlignment="1">
      <alignment horizontal="center" vertical="center"/>
    </xf>
    <xf numFmtId="0" fontId="20" fillId="17" borderId="1" xfId="2" applyBorder="1" applyAlignment="1">
      <alignment horizontal="center" vertical="center" wrapText="1"/>
    </xf>
    <xf numFmtId="0" fontId="14" fillId="7" borderId="12" xfId="1" applyFont="1" applyFill="1" applyBorder="1" applyAlignment="1">
      <alignment horizontal="center" vertical="center"/>
    </xf>
    <xf numFmtId="0" fontId="0" fillId="22" borderId="44" xfId="0" applyFill="1" applyBorder="1" applyAlignment="1">
      <alignment horizontal="right" vertical="center"/>
    </xf>
    <xf numFmtId="0" fontId="14" fillId="22" borderId="12" xfId="1" applyFont="1" applyFill="1" applyBorder="1" applyAlignment="1">
      <alignment horizontal="center" vertical="center"/>
    </xf>
    <xf numFmtId="0" fontId="22" fillId="22" borderId="9" xfId="0" applyFont="1" applyFill="1" applyBorder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2" fillId="22" borderId="46" xfId="0" applyFont="1" applyFill="1" applyBorder="1" applyAlignment="1">
      <alignment horizontal="center" vertical="center"/>
    </xf>
    <xf numFmtId="0" fontId="21" fillId="22" borderId="8" xfId="0" applyFont="1" applyFill="1" applyBorder="1" applyAlignment="1">
      <alignment horizontal="center" vertical="center"/>
    </xf>
    <xf numFmtId="0" fontId="0" fillId="22" borderId="0" xfId="0" applyFill="1" applyAlignment="1">
      <alignment horizontal="center" vertical="center" wrapText="1"/>
    </xf>
    <xf numFmtId="14" fontId="0" fillId="22" borderId="0" xfId="0" applyNumberFormat="1" applyFill="1" applyAlignment="1">
      <alignment vertical="center"/>
    </xf>
    <xf numFmtId="0" fontId="0" fillId="22" borderId="0" xfId="0" applyFill="1"/>
    <xf numFmtId="0" fontId="21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31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12" borderId="1" xfId="0" applyFill="1" applyBorder="1"/>
    <xf numFmtId="0" fontId="2" fillId="2" borderId="45" xfId="0" applyFont="1" applyFill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10" borderId="53" xfId="0" applyFont="1" applyFill="1" applyBorder="1" applyAlignment="1">
      <alignment horizontal="center" vertical="center"/>
    </xf>
    <xf numFmtId="0" fontId="22" fillId="10" borderId="4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12" borderId="0" xfId="0" applyFill="1"/>
    <xf numFmtId="0" fontId="2" fillId="22" borderId="45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 wrapText="1"/>
    </xf>
    <xf numFmtId="14" fontId="2" fillId="22" borderId="0" xfId="0" applyNumberFormat="1" applyFont="1" applyFill="1" applyAlignment="1">
      <alignment vertical="center"/>
    </xf>
    <xf numFmtId="0" fontId="2" fillId="2" borderId="2" xfId="0" applyFont="1" applyFill="1" applyBorder="1"/>
    <xf numFmtId="0" fontId="2" fillId="5" borderId="3" xfId="0" applyFont="1" applyFill="1" applyBorder="1"/>
    <xf numFmtId="0" fontId="2" fillId="0" borderId="26" xfId="0" applyFont="1" applyBorder="1" applyAlignment="1">
      <alignment wrapText="1"/>
    </xf>
    <xf numFmtId="0" fontId="2" fillId="0" borderId="1" xfId="0" applyFont="1" applyBorder="1"/>
    <xf numFmtId="0" fontId="2" fillId="0" borderId="3" xfId="0" applyFont="1" applyBorder="1"/>
    <xf numFmtId="0" fontId="2" fillId="4" borderId="1" xfId="0" applyFont="1" applyFill="1" applyBorder="1"/>
    <xf numFmtId="0" fontId="2" fillId="0" borderId="0" xfId="0" applyFont="1"/>
    <xf numFmtId="0" fontId="0" fillId="2" borderId="29" xfId="0" applyFill="1" applyBorder="1" applyAlignment="1">
      <alignment horizontal="right" vertical="center"/>
    </xf>
    <xf numFmtId="0" fontId="2" fillId="23" borderId="47" xfId="0" applyFont="1" applyFill="1" applyBorder="1" applyAlignment="1">
      <alignment horizontal="center" vertical="center" wrapText="1"/>
    </xf>
    <xf numFmtId="0" fontId="2" fillId="23" borderId="48" xfId="0" applyFont="1" applyFill="1" applyBorder="1" applyAlignment="1">
      <alignment horizontal="center" vertical="center" wrapText="1"/>
    </xf>
    <xf numFmtId="0" fontId="2" fillId="23" borderId="42" xfId="0" applyFont="1" applyFill="1" applyBorder="1" applyAlignment="1">
      <alignment horizontal="center" vertical="center" wrapText="1"/>
    </xf>
    <xf numFmtId="0" fontId="2" fillId="23" borderId="51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2" fillId="23" borderId="43" xfId="0" applyFont="1" applyFill="1" applyBorder="1" applyAlignment="1">
      <alignment horizontal="center" vertical="center" wrapText="1"/>
    </xf>
    <xf numFmtId="0" fontId="2" fillId="23" borderId="49" xfId="0" applyFont="1" applyFill="1" applyBorder="1" applyAlignment="1">
      <alignment horizontal="center" vertical="center" wrapText="1"/>
    </xf>
    <xf numFmtId="0" fontId="2" fillId="23" borderId="44" xfId="0" applyFont="1" applyFill="1" applyBorder="1" applyAlignment="1">
      <alignment horizontal="center" vertical="center" wrapText="1"/>
    </xf>
    <xf numFmtId="0" fontId="2" fillId="23" borderId="45" xfId="0" applyFont="1" applyFill="1" applyBorder="1" applyAlignment="1">
      <alignment horizontal="center" vertical="center" wrapText="1"/>
    </xf>
    <xf numFmtId="0" fontId="0" fillId="23" borderId="48" xfId="0" applyFill="1" applyBorder="1" applyAlignment="1">
      <alignment horizontal="center" vertical="center" wrapText="1"/>
    </xf>
    <xf numFmtId="0" fontId="0" fillId="23" borderId="42" xfId="0" applyFill="1" applyBorder="1" applyAlignment="1">
      <alignment horizontal="center" vertical="center" wrapText="1"/>
    </xf>
    <xf numFmtId="0" fontId="0" fillId="23" borderId="49" xfId="0" applyFill="1" applyBorder="1" applyAlignment="1">
      <alignment horizontal="center" vertical="center" wrapText="1"/>
    </xf>
    <xf numFmtId="0" fontId="0" fillId="23" borderId="44" xfId="0" applyFill="1" applyBorder="1" applyAlignment="1">
      <alignment horizontal="center" vertical="center" wrapText="1"/>
    </xf>
    <xf numFmtId="0" fontId="0" fillId="23" borderId="45" xfId="0" applyFill="1" applyBorder="1" applyAlignment="1">
      <alignment horizontal="center" vertical="center" wrapText="1"/>
    </xf>
    <xf numFmtId="0" fontId="0" fillId="23" borderId="50" xfId="0" applyFill="1" applyBorder="1" applyAlignment="1">
      <alignment horizontal="center" vertical="center" wrapText="1"/>
    </xf>
    <xf numFmtId="0" fontId="0" fillId="23" borderId="41" xfId="0" applyFill="1" applyBorder="1" applyAlignment="1">
      <alignment horizontal="center" vertical="center" wrapText="1"/>
    </xf>
    <xf numFmtId="0" fontId="0" fillId="23" borderId="29" xfId="0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wrapText="1"/>
    </xf>
    <xf numFmtId="0" fontId="0" fillId="23" borderId="1" xfId="0" applyFill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26" fillId="0" borderId="36" xfId="0" applyFont="1" applyBorder="1" applyAlignment="1">
      <alignment horizontal="center" vertical="center" textRotation="90" wrapText="1"/>
    </xf>
    <xf numFmtId="0" fontId="26" fillId="0" borderId="37" xfId="0" applyFont="1" applyBorder="1" applyAlignment="1">
      <alignment horizontal="center" vertical="center" textRotation="90" wrapText="1"/>
    </xf>
    <xf numFmtId="0" fontId="26" fillId="0" borderId="38" xfId="0" applyFont="1" applyBorder="1" applyAlignment="1">
      <alignment horizontal="center" vertical="center" textRotation="90" wrapText="1"/>
    </xf>
    <xf numFmtId="0" fontId="27" fillId="0" borderId="36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4" fillId="0" borderId="36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4" fillId="19" borderId="36" xfId="0" applyFont="1" applyFill="1" applyBorder="1" applyAlignment="1">
      <alignment vertical="center" wrapText="1"/>
    </xf>
    <xf numFmtId="0" fontId="24" fillId="19" borderId="38" xfId="0" applyFont="1" applyFill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29" fillId="0" borderId="38" xfId="0" applyFont="1" applyBorder="1" applyAlignment="1">
      <alignment vertical="center" wrapText="1"/>
    </xf>
    <xf numFmtId="0" fontId="24" fillId="21" borderId="36" xfId="0" applyFont="1" applyFill="1" applyBorder="1" applyAlignment="1">
      <alignment vertical="center" wrapText="1"/>
    </xf>
    <xf numFmtId="0" fontId="24" fillId="21" borderId="38" xfId="0" applyFont="1" applyFill="1" applyBorder="1" applyAlignment="1">
      <alignment vertical="center" wrapText="1"/>
    </xf>
    <xf numFmtId="0" fontId="24" fillId="13" borderId="36" xfId="0" applyFont="1" applyFill="1" applyBorder="1" applyAlignment="1">
      <alignment vertical="center" wrapText="1"/>
    </xf>
    <xf numFmtId="0" fontId="24" fillId="13" borderId="38" xfId="0" applyFont="1" applyFill="1" applyBorder="1" applyAlignment="1">
      <alignment vertical="center" wrapText="1"/>
    </xf>
    <xf numFmtId="0" fontId="24" fillId="19" borderId="40" xfId="0" applyFont="1" applyFill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4" fillId="21" borderId="40" xfId="0" applyFont="1" applyFill="1" applyBorder="1" applyAlignment="1">
      <alignment vertical="center" wrapText="1"/>
    </xf>
    <xf numFmtId="0" fontId="24" fillId="20" borderId="36" xfId="0" applyFont="1" applyFill="1" applyBorder="1" applyAlignment="1">
      <alignment vertical="center" wrapText="1"/>
    </xf>
    <xf numFmtId="0" fontId="24" fillId="20" borderId="38" xfId="0" applyFont="1" applyFill="1" applyBorder="1" applyAlignment="1">
      <alignment vertical="center" wrapText="1"/>
    </xf>
    <xf numFmtId="0" fontId="9" fillId="12" borderId="18" xfId="0" applyFont="1" applyFill="1" applyBorder="1" applyAlignment="1">
      <alignment horizontal="justify" wrapText="1"/>
    </xf>
    <xf numFmtId="0" fontId="10" fillId="11" borderId="19" xfId="0" applyFont="1" applyFill="1" applyBorder="1" applyAlignment="1">
      <alignment horizontal="justify" wrapText="1"/>
    </xf>
    <xf numFmtId="0" fontId="9" fillId="13" borderId="18" xfId="0" applyFont="1" applyFill="1" applyBorder="1" applyAlignment="1">
      <alignment horizontal="justify" wrapText="1"/>
    </xf>
    <xf numFmtId="0" fontId="15" fillId="14" borderId="20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4" fillId="15" borderId="20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justify" wrapText="1"/>
    </xf>
    <xf numFmtId="0" fontId="2" fillId="0" borderId="3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4" fillId="7" borderId="5" xfId="1" applyFont="1" applyFill="1" applyBorder="1" applyAlignment="1">
      <alignment horizontal="center" vertical="center"/>
    </xf>
    <xf numFmtId="0" fontId="14" fillId="7" borderId="7" xfId="1" applyFont="1" applyFill="1" applyBorder="1" applyAlignment="1">
      <alignment horizontal="center" vertical="center"/>
    </xf>
    <xf numFmtId="0" fontId="14" fillId="7" borderId="12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/>
    </xf>
    <xf numFmtId="0" fontId="6" fillId="14" borderId="22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12" borderId="30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/>
    </xf>
    <xf numFmtId="0" fontId="23" fillId="12" borderId="35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10" borderId="7" xfId="0" applyFont="1" applyFill="1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right" vertical="center"/>
    </xf>
    <xf numFmtId="0" fontId="0" fillId="2" borderId="33" xfId="0" applyFill="1" applyBorder="1" applyAlignment="1">
      <alignment horizontal="right" vertical="center"/>
    </xf>
    <xf numFmtId="0" fontId="0" fillId="2" borderId="34" xfId="0" applyFill="1" applyBorder="1" applyAlignment="1">
      <alignment horizontal="right" vertic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12" xfId="0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2" fillId="13" borderId="30" xfId="0" applyFont="1" applyFill="1" applyBorder="1" applyAlignment="1">
      <alignment horizontal="center" vertical="center"/>
    </xf>
    <xf numFmtId="0" fontId="22" fillId="13" borderId="31" xfId="0" applyFont="1" applyFill="1" applyBorder="1" applyAlignment="1">
      <alignment horizontal="center" vertical="center"/>
    </xf>
    <xf numFmtId="0" fontId="22" fillId="13" borderId="35" xfId="0" applyFont="1" applyFill="1" applyBorder="1" applyAlignment="1">
      <alignment horizontal="center" vertical="center"/>
    </xf>
    <xf numFmtId="0" fontId="22" fillId="12" borderId="5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5" fillId="14" borderId="21" xfId="0" applyFont="1" applyFill="1" applyBorder="1" applyAlignment="1">
      <alignment horizontal="center" vertical="center"/>
    </xf>
    <xf numFmtId="0" fontId="15" fillId="14" borderId="2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" fillId="18" borderId="1" xfId="3" applyBorder="1" applyAlignment="1">
      <alignment horizontal="center" vertical="center"/>
    </xf>
    <xf numFmtId="0" fontId="1" fillId="23" borderId="1" xfId="0" applyFont="1" applyFill="1" applyBorder="1" applyAlignment="1">
      <alignment horizontal="center" wrapText="1"/>
    </xf>
    <xf numFmtId="0" fontId="1" fillId="23" borderId="4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4">
    <cellStyle name="60% - Colore 1" xfId="3" builtinId="32"/>
    <cellStyle name="Collegamento ipertestuale" xfId="1" builtinId="8"/>
    <cellStyle name="Normale" xfId="0" builtinId="0"/>
    <cellStyle name="Valore valido" xfId="2" builtinId="26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2E04-858E-4A7A-A86E-F472EF436708}">
  <dimension ref="B2:M38"/>
  <sheetViews>
    <sheetView tabSelected="1" topLeftCell="B1" workbookViewId="0">
      <selection activeCell="E37" sqref="E37"/>
    </sheetView>
  </sheetViews>
  <sheetFormatPr defaultRowHeight="14.5"/>
  <cols>
    <col min="2" max="2" width="9.08984375" bestFit="1" customWidth="1"/>
    <col min="3" max="3" width="10.7265625" customWidth="1"/>
    <col min="4" max="4" width="24.81640625" bestFit="1" customWidth="1"/>
    <col min="11" max="11" width="13.1796875" customWidth="1"/>
    <col min="12" max="12" width="12.90625" customWidth="1"/>
    <col min="13" max="13" width="14.6328125" customWidth="1"/>
  </cols>
  <sheetData>
    <row r="2" spans="2:13">
      <c r="B2" s="165" t="s">
        <v>151</v>
      </c>
      <c r="C2" s="165"/>
      <c r="D2" s="165"/>
    </row>
    <row r="3" spans="2:13" ht="15" thickBot="1"/>
    <row r="4" spans="2:13" ht="17" customHeight="1">
      <c r="B4" s="175"/>
      <c r="C4" s="178" t="s">
        <v>112</v>
      </c>
      <c r="D4" s="178" t="s">
        <v>148</v>
      </c>
      <c r="E4" s="166" t="s">
        <v>150</v>
      </c>
      <c r="F4" s="166" t="s">
        <v>113</v>
      </c>
      <c r="G4" s="166" t="s">
        <v>114</v>
      </c>
      <c r="H4" s="166" t="s">
        <v>115</v>
      </c>
      <c r="I4" s="166" t="s">
        <v>149</v>
      </c>
      <c r="J4" s="166" t="s">
        <v>116</v>
      </c>
      <c r="K4" s="162" t="s">
        <v>168</v>
      </c>
      <c r="L4" s="162"/>
      <c r="M4" s="162"/>
    </row>
    <row r="5" spans="2:13">
      <c r="B5" s="176"/>
      <c r="C5" s="179"/>
      <c r="D5" s="179"/>
      <c r="E5" s="167"/>
      <c r="F5" s="167"/>
      <c r="G5" s="167"/>
      <c r="H5" s="167"/>
      <c r="I5" s="167"/>
      <c r="J5" s="167"/>
      <c r="K5" s="162"/>
      <c r="L5" s="162"/>
      <c r="M5" s="162"/>
    </row>
    <row r="6" spans="2:13">
      <c r="B6" s="176"/>
      <c r="C6" s="179"/>
      <c r="D6" s="179"/>
      <c r="E6" s="167"/>
      <c r="F6" s="167"/>
      <c r="G6" s="167"/>
      <c r="H6" s="167"/>
      <c r="I6" s="167"/>
      <c r="J6" s="167"/>
      <c r="K6" s="162"/>
      <c r="L6" s="162"/>
      <c r="M6" s="162"/>
    </row>
    <row r="7" spans="2:13" ht="15" thickBot="1">
      <c r="B7" s="177"/>
      <c r="C7" s="180"/>
      <c r="D7" s="180"/>
      <c r="E7" s="168"/>
      <c r="F7" s="168"/>
      <c r="G7" s="168"/>
      <c r="H7" s="168"/>
      <c r="I7" s="168"/>
      <c r="J7" s="168"/>
      <c r="K7" s="162"/>
      <c r="L7" s="162"/>
      <c r="M7" s="162"/>
    </row>
    <row r="8" spans="2:13" ht="72.5" customHeight="1" thickBot="1">
      <c r="B8" s="169" t="s">
        <v>146</v>
      </c>
      <c r="C8" s="70" t="s">
        <v>117</v>
      </c>
      <c r="D8" s="70" t="s">
        <v>118</v>
      </c>
      <c r="E8" s="73"/>
      <c r="F8" s="73"/>
      <c r="G8" s="72"/>
      <c r="H8" s="74"/>
      <c r="I8" s="74"/>
      <c r="J8" s="74"/>
      <c r="K8" s="280" t="s">
        <v>189</v>
      </c>
      <c r="L8" s="164"/>
      <c r="M8" s="164"/>
    </row>
    <row r="9" spans="2:13" ht="37.5" customHeight="1">
      <c r="B9" s="170"/>
      <c r="C9" s="172" t="s">
        <v>119</v>
      </c>
      <c r="D9" s="183" t="s">
        <v>120</v>
      </c>
      <c r="E9" s="187"/>
      <c r="F9" s="185"/>
      <c r="G9" s="175"/>
      <c r="H9" s="193"/>
      <c r="I9" s="175"/>
      <c r="J9" s="193"/>
      <c r="K9" s="280" t="s">
        <v>190</v>
      </c>
      <c r="L9" s="163"/>
      <c r="M9" s="163"/>
    </row>
    <row r="10" spans="2:13" ht="48" customHeight="1" thickBot="1">
      <c r="B10" s="170"/>
      <c r="C10" s="173"/>
      <c r="D10" s="184"/>
      <c r="E10" s="188"/>
      <c r="F10" s="186"/>
      <c r="G10" s="177"/>
      <c r="H10" s="194"/>
      <c r="I10" s="177"/>
      <c r="J10" s="194"/>
      <c r="K10" s="163"/>
      <c r="L10" s="163"/>
      <c r="M10" s="163"/>
    </row>
    <row r="11" spans="2:13" ht="82" customHeight="1" thickBot="1">
      <c r="B11" s="170"/>
      <c r="C11" s="174"/>
      <c r="D11" s="70" t="s">
        <v>121</v>
      </c>
      <c r="E11" s="71"/>
      <c r="F11" s="72"/>
      <c r="G11" s="74"/>
      <c r="H11" s="72"/>
      <c r="I11" s="74"/>
      <c r="J11" s="74"/>
      <c r="K11" s="280" t="s">
        <v>191</v>
      </c>
      <c r="L11" s="164"/>
      <c r="M11" s="164"/>
    </row>
    <row r="12" spans="2:13" ht="76.5" customHeight="1" thickBot="1">
      <c r="B12" s="170"/>
      <c r="C12" s="70" t="s">
        <v>122</v>
      </c>
      <c r="D12" s="77" t="s">
        <v>123</v>
      </c>
      <c r="E12" s="73"/>
      <c r="F12" s="74"/>
      <c r="G12" s="74"/>
      <c r="H12" s="71"/>
      <c r="I12" s="71"/>
      <c r="J12" s="73"/>
      <c r="K12" s="281" t="s">
        <v>192</v>
      </c>
      <c r="L12" s="145"/>
      <c r="M12" s="146"/>
    </row>
    <row r="13" spans="2:13" ht="71" customHeight="1" thickBot="1">
      <c r="B13" s="170"/>
      <c r="C13" s="172" t="s">
        <v>124</v>
      </c>
      <c r="D13" s="70" t="s">
        <v>125</v>
      </c>
      <c r="E13" s="71"/>
      <c r="F13" s="74"/>
      <c r="G13" s="72"/>
      <c r="H13" s="74"/>
      <c r="I13" s="72"/>
      <c r="J13" s="71"/>
      <c r="K13" s="150"/>
      <c r="L13" s="151"/>
      <c r="M13" s="152"/>
    </row>
    <row r="14" spans="2:13" ht="114" customHeight="1" thickBot="1">
      <c r="B14" s="170"/>
      <c r="C14" s="173"/>
      <c r="D14" s="70" t="s">
        <v>167</v>
      </c>
      <c r="E14" s="71"/>
      <c r="F14" s="74"/>
      <c r="G14" s="72"/>
      <c r="H14" s="72"/>
      <c r="I14" s="71"/>
      <c r="J14" s="72"/>
      <c r="K14" s="158" t="s">
        <v>169</v>
      </c>
      <c r="L14" s="159"/>
      <c r="M14" s="160"/>
    </row>
    <row r="15" spans="2:13" ht="74" customHeight="1" thickBot="1">
      <c r="B15" s="171"/>
      <c r="C15" s="174"/>
      <c r="D15" s="70" t="s">
        <v>126</v>
      </c>
      <c r="E15" s="71"/>
      <c r="F15" s="74"/>
      <c r="G15" s="72"/>
      <c r="H15" s="71"/>
      <c r="I15" s="72"/>
      <c r="J15" s="71"/>
      <c r="K15" s="158" t="s">
        <v>170</v>
      </c>
      <c r="L15" s="159"/>
      <c r="M15" s="160"/>
    </row>
    <row r="16" spans="2:13" ht="37.5" customHeight="1">
      <c r="B16" s="169" t="s">
        <v>147</v>
      </c>
      <c r="C16" s="172" t="s">
        <v>127</v>
      </c>
      <c r="D16" s="183" t="s">
        <v>128</v>
      </c>
      <c r="E16" s="187"/>
      <c r="F16" s="175"/>
      <c r="G16" s="175"/>
      <c r="H16" s="187"/>
      <c r="I16" s="193"/>
      <c r="J16" s="185"/>
      <c r="K16" s="161" t="s">
        <v>171</v>
      </c>
      <c r="L16" s="161"/>
      <c r="M16" s="161"/>
    </row>
    <row r="17" spans="2:13" ht="37.5" customHeight="1" thickBot="1">
      <c r="B17" s="170"/>
      <c r="C17" s="173"/>
      <c r="D17" s="184"/>
      <c r="E17" s="188"/>
      <c r="F17" s="177"/>
      <c r="G17" s="177"/>
      <c r="H17" s="188"/>
      <c r="I17" s="194"/>
      <c r="J17" s="186"/>
      <c r="K17" s="161"/>
      <c r="L17" s="161"/>
      <c r="M17" s="161"/>
    </row>
    <row r="18" spans="2:13" ht="37.5" customHeight="1" thickBot="1">
      <c r="B18" s="170"/>
      <c r="C18" s="174"/>
      <c r="D18" s="70" t="s">
        <v>129</v>
      </c>
      <c r="E18" s="71"/>
      <c r="F18" s="74"/>
      <c r="G18" s="74"/>
      <c r="H18" s="71"/>
      <c r="I18" s="73"/>
      <c r="J18" s="73"/>
      <c r="K18" s="161"/>
      <c r="L18" s="161"/>
      <c r="M18" s="161"/>
    </row>
    <row r="19" spans="2:13" ht="37.5" customHeight="1" thickBot="1">
      <c r="B19" s="170"/>
      <c r="C19" s="172" t="s">
        <v>130</v>
      </c>
      <c r="D19" s="70" t="s">
        <v>131</v>
      </c>
      <c r="E19" s="75"/>
      <c r="F19" s="74"/>
      <c r="G19" s="74"/>
      <c r="H19" s="71"/>
      <c r="I19" s="74"/>
      <c r="J19" s="71"/>
      <c r="K19" s="144" t="s">
        <v>172</v>
      </c>
      <c r="L19" s="145"/>
      <c r="M19" s="146"/>
    </row>
    <row r="20" spans="2:13" ht="37.5" customHeight="1">
      <c r="B20" s="170"/>
      <c r="C20" s="173"/>
      <c r="D20" s="183" t="s">
        <v>132</v>
      </c>
      <c r="E20" s="181"/>
      <c r="F20" s="175"/>
      <c r="G20" s="175"/>
      <c r="H20" s="187"/>
      <c r="I20" s="187"/>
      <c r="J20" s="181"/>
      <c r="K20" s="147"/>
      <c r="L20" s="148"/>
      <c r="M20" s="149"/>
    </row>
    <row r="21" spans="2:13" ht="37.5" customHeight="1" thickBot="1">
      <c r="B21" s="170"/>
      <c r="C21" s="174"/>
      <c r="D21" s="184"/>
      <c r="E21" s="182"/>
      <c r="F21" s="177"/>
      <c r="G21" s="177"/>
      <c r="H21" s="188"/>
      <c r="I21" s="188"/>
      <c r="J21" s="182"/>
      <c r="K21" s="150"/>
      <c r="L21" s="151"/>
      <c r="M21" s="152"/>
    </row>
    <row r="22" spans="2:13" ht="37.5" customHeight="1">
      <c r="B22" s="170"/>
      <c r="C22" s="172" t="s">
        <v>133</v>
      </c>
      <c r="D22" s="190" t="s">
        <v>134</v>
      </c>
      <c r="E22" s="185"/>
      <c r="F22" s="185"/>
      <c r="G22" s="185"/>
      <c r="H22" s="187"/>
      <c r="I22" s="181"/>
      <c r="J22" s="181"/>
      <c r="K22" s="281" t="s">
        <v>193</v>
      </c>
      <c r="L22" s="145"/>
      <c r="M22" s="146"/>
    </row>
    <row r="23" spans="2:13" ht="37.5" customHeight="1" thickBot="1">
      <c r="B23" s="170"/>
      <c r="C23" s="173"/>
      <c r="D23" s="191"/>
      <c r="E23" s="192"/>
      <c r="F23" s="192"/>
      <c r="G23" s="192"/>
      <c r="H23" s="188"/>
      <c r="I23" s="189"/>
      <c r="J23" s="189"/>
      <c r="K23" s="147"/>
      <c r="L23" s="148"/>
      <c r="M23" s="149"/>
    </row>
    <row r="24" spans="2:13" ht="45" customHeight="1" thickBot="1">
      <c r="B24" s="170"/>
      <c r="C24" s="174"/>
      <c r="D24" s="70" t="s">
        <v>135</v>
      </c>
      <c r="E24" s="71"/>
      <c r="F24" s="74"/>
      <c r="G24" s="74"/>
      <c r="H24" s="71"/>
      <c r="I24" s="71"/>
      <c r="J24" s="72"/>
      <c r="K24" s="147"/>
      <c r="L24" s="148"/>
      <c r="M24" s="149"/>
    </row>
    <row r="25" spans="2:13" ht="37.5" customHeight="1">
      <c r="B25" s="170"/>
      <c r="C25" s="172" t="s">
        <v>136</v>
      </c>
      <c r="D25" s="183" t="s">
        <v>137</v>
      </c>
      <c r="E25" s="187"/>
      <c r="F25" s="175"/>
      <c r="G25" s="175"/>
      <c r="H25" s="187"/>
      <c r="I25" s="187"/>
      <c r="J25" s="175"/>
      <c r="K25" s="144" t="s">
        <v>173</v>
      </c>
      <c r="L25" s="145"/>
      <c r="M25" s="146"/>
    </row>
    <row r="26" spans="2:13" ht="37.5" customHeight="1" thickBot="1">
      <c r="B26" s="170"/>
      <c r="C26" s="173"/>
      <c r="D26" s="184"/>
      <c r="E26" s="188"/>
      <c r="F26" s="177"/>
      <c r="G26" s="177"/>
      <c r="H26" s="188"/>
      <c r="I26" s="188"/>
      <c r="J26" s="177"/>
      <c r="K26" s="147"/>
      <c r="L26" s="148"/>
      <c r="M26" s="149"/>
    </row>
    <row r="27" spans="2:13" ht="37.5" customHeight="1" thickBot="1">
      <c r="B27" s="170"/>
      <c r="C27" s="174"/>
      <c r="D27" s="70" t="s">
        <v>138</v>
      </c>
      <c r="E27" s="71"/>
      <c r="F27" s="76"/>
      <c r="G27" s="72"/>
      <c r="H27" s="71"/>
      <c r="I27" s="71"/>
      <c r="J27" s="72"/>
      <c r="K27" s="150"/>
      <c r="L27" s="151"/>
      <c r="M27" s="152"/>
    </row>
    <row r="28" spans="2:13" ht="37.5" customHeight="1">
      <c r="B28" s="170"/>
      <c r="C28" s="172" t="s">
        <v>139</v>
      </c>
      <c r="D28" s="183" t="s">
        <v>140</v>
      </c>
      <c r="E28" s="187"/>
      <c r="F28" s="181"/>
      <c r="G28" s="175"/>
      <c r="H28" s="187"/>
      <c r="I28" s="181"/>
      <c r="J28" s="181"/>
      <c r="K28" s="144" t="s">
        <v>174</v>
      </c>
      <c r="L28" s="153"/>
      <c r="M28" s="154"/>
    </row>
    <row r="29" spans="2:13" ht="102" customHeight="1" thickBot="1">
      <c r="B29" s="170"/>
      <c r="C29" s="173"/>
      <c r="D29" s="184"/>
      <c r="E29" s="188"/>
      <c r="F29" s="182"/>
      <c r="G29" s="177"/>
      <c r="H29" s="188"/>
      <c r="I29" s="182"/>
      <c r="J29" s="182"/>
      <c r="K29" s="155"/>
      <c r="L29" s="156"/>
      <c r="M29" s="157"/>
    </row>
    <row r="30" spans="2:13" ht="37.5" customHeight="1" thickBot="1">
      <c r="B30" s="170"/>
      <c r="C30" s="173"/>
      <c r="D30" s="77" t="s">
        <v>141</v>
      </c>
      <c r="E30" s="71"/>
      <c r="F30" s="74"/>
      <c r="G30" s="74"/>
      <c r="H30" s="71"/>
      <c r="I30" s="74"/>
      <c r="J30" s="74"/>
      <c r="K30" s="281" t="s">
        <v>194</v>
      </c>
      <c r="L30" s="145"/>
      <c r="M30" s="146"/>
    </row>
    <row r="31" spans="2:13" ht="37.5" customHeight="1" thickBot="1">
      <c r="B31" s="170"/>
      <c r="C31" s="174"/>
      <c r="D31" s="77" t="s">
        <v>142</v>
      </c>
      <c r="E31" s="71"/>
      <c r="F31" s="74"/>
      <c r="G31" s="74"/>
      <c r="H31" s="71"/>
      <c r="I31" s="71"/>
      <c r="J31" s="71"/>
      <c r="K31" s="150"/>
      <c r="L31" s="151"/>
      <c r="M31" s="152"/>
    </row>
    <row r="32" spans="2:13" ht="37.5" customHeight="1">
      <c r="B32" s="170"/>
      <c r="C32" s="172" t="s">
        <v>143</v>
      </c>
      <c r="D32" s="183" t="s">
        <v>144</v>
      </c>
      <c r="E32" s="181"/>
      <c r="F32" s="175"/>
      <c r="G32" s="175"/>
      <c r="H32" s="181"/>
      <c r="I32" s="175"/>
      <c r="J32" s="185"/>
      <c r="K32" s="281" t="s">
        <v>195</v>
      </c>
      <c r="L32" s="145"/>
      <c r="M32" s="146"/>
    </row>
    <row r="33" spans="2:13" ht="37.5" customHeight="1" thickBot="1">
      <c r="B33" s="170"/>
      <c r="C33" s="173"/>
      <c r="D33" s="184"/>
      <c r="E33" s="182"/>
      <c r="F33" s="177"/>
      <c r="G33" s="177"/>
      <c r="H33" s="182"/>
      <c r="I33" s="177"/>
      <c r="J33" s="186"/>
      <c r="K33" s="147"/>
      <c r="L33" s="148"/>
      <c r="M33" s="149"/>
    </row>
    <row r="34" spans="2:13" ht="37.5" customHeight="1" thickBot="1">
      <c r="B34" s="170"/>
      <c r="C34" s="174"/>
      <c r="D34" s="70" t="s">
        <v>145</v>
      </c>
      <c r="E34" s="72"/>
      <c r="F34" s="74"/>
      <c r="G34" s="74"/>
      <c r="H34" s="72"/>
      <c r="I34" s="74"/>
      <c r="J34" s="72"/>
      <c r="K34" s="150"/>
      <c r="L34" s="151"/>
      <c r="M34" s="152"/>
    </row>
    <row r="35" spans="2:13" ht="106" customHeight="1" thickBot="1">
      <c r="B35" s="171"/>
      <c r="C35" s="70" t="s">
        <v>175</v>
      </c>
      <c r="D35" s="77" t="s">
        <v>176</v>
      </c>
      <c r="E35" s="72"/>
      <c r="F35" s="74"/>
      <c r="G35" s="74"/>
      <c r="H35" s="72"/>
      <c r="I35" s="74"/>
      <c r="J35" s="72"/>
      <c r="K35" s="281" t="s">
        <v>196</v>
      </c>
      <c r="L35" s="145"/>
      <c r="M35" s="146"/>
    </row>
    <row r="38" spans="2:13" ht="18.5">
      <c r="B38" s="78" t="s">
        <v>197</v>
      </c>
    </row>
  </sheetData>
  <mergeCells count="84">
    <mergeCell ref="D9:D10"/>
    <mergeCell ref="E9:E10"/>
    <mergeCell ref="F9:F10"/>
    <mergeCell ref="G9:G10"/>
    <mergeCell ref="H9:H10"/>
    <mergeCell ref="I9:I10"/>
    <mergeCell ref="J9:J10"/>
    <mergeCell ref="G4:G7"/>
    <mergeCell ref="H4:H7"/>
    <mergeCell ref="I4:I7"/>
    <mergeCell ref="J4:J7"/>
    <mergeCell ref="J16:J17"/>
    <mergeCell ref="D20:D21"/>
    <mergeCell ref="E20:E21"/>
    <mergeCell ref="F20:F21"/>
    <mergeCell ref="G20:G21"/>
    <mergeCell ref="H20:H21"/>
    <mergeCell ref="I20:I21"/>
    <mergeCell ref="J20:J21"/>
    <mergeCell ref="D16:D17"/>
    <mergeCell ref="E16:E17"/>
    <mergeCell ref="F16:F17"/>
    <mergeCell ref="G16:G17"/>
    <mergeCell ref="H16:H17"/>
    <mergeCell ref="I16:I17"/>
    <mergeCell ref="J22:J23"/>
    <mergeCell ref="D25:D26"/>
    <mergeCell ref="E25:E26"/>
    <mergeCell ref="F25:F26"/>
    <mergeCell ref="G25:G26"/>
    <mergeCell ref="H25:H26"/>
    <mergeCell ref="I25:I26"/>
    <mergeCell ref="J25:J26"/>
    <mergeCell ref="D22:D23"/>
    <mergeCell ref="E22:E23"/>
    <mergeCell ref="F22:F23"/>
    <mergeCell ref="G22:G23"/>
    <mergeCell ref="H22:H23"/>
    <mergeCell ref="I22:I23"/>
    <mergeCell ref="J28:J29"/>
    <mergeCell ref="D32:D33"/>
    <mergeCell ref="E32:E33"/>
    <mergeCell ref="F32:F33"/>
    <mergeCell ref="G32:G33"/>
    <mergeCell ref="H32:H33"/>
    <mergeCell ref="I32:I33"/>
    <mergeCell ref="J32:J33"/>
    <mergeCell ref="D28:D29"/>
    <mergeCell ref="E28:E29"/>
    <mergeCell ref="F28:F29"/>
    <mergeCell ref="G28:G29"/>
    <mergeCell ref="H28:H29"/>
    <mergeCell ref="I28:I29"/>
    <mergeCell ref="B16:B35"/>
    <mergeCell ref="C32:C34"/>
    <mergeCell ref="C28:C31"/>
    <mergeCell ref="C25:C27"/>
    <mergeCell ref="C22:C24"/>
    <mergeCell ref="C19:C21"/>
    <mergeCell ref="C16:C18"/>
    <mergeCell ref="B2:D2"/>
    <mergeCell ref="E4:E7"/>
    <mergeCell ref="F4:F7"/>
    <mergeCell ref="B8:B15"/>
    <mergeCell ref="C13:C15"/>
    <mergeCell ref="C9:C11"/>
    <mergeCell ref="B4:B7"/>
    <mergeCell ref="D4:D7"/>
    <mergeCell ref="C4:C7"/>
    <mergeCell ref="K4:M7"/>
    <mergeCell ref="K8:M8"/>
    <mergeCell ref="K9:M10"/>
    <mergeCell ref="K11:M11"/>
    <mergeCell ref="K12:M13"/>
    <mergeCell ref="K14:M14"/>
    <mergeCell ref="K15:M15"/>
    <mergeCell ref="K16:M18"/>
    <mergeCell ref="K19:M21"/>
    <mergeCell ref="K22:M24"/>
    <mergeCell ref="K25:M27"/>
    <mergeCell ref="K28:M29"/>
    <mergeCell ref="K30:M31"/>
    <mergeCell ref="K32:M34"/>
    <mergeCell ref="K35:M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0E34-97FC-4616-9955-D9A5121BD12E}">
  <dimension ref="A1:AZ34"/>
  <sheetViews>
    <sheetView topLeftCell="J1" zoomScale="67" workbookViewId="0">
      <selection activeCell="Q3" sqref="Q3:R3"/>
    </sheetView>
  </sheetViews>
  <sheetFormatPr defaultColWidth="9" defaultRowHeight="14.5"/>
  <cols>
    <col min="1" max="1" width="8.54296875" customWidth="1"/>
    <col min="2" max="2" width="29.54296875" customWidth="1"/>
    <col min="3" max="3" width="29.1796875" bestFit="1" customWidth="1"/>
    <col min="4" max="5" width="20.81640625" customWidth="1"/>
    <col min="6" max="6" width="55.54296875" customWidth="1"/>
    <col min="7" max="7" width="41.1796875" customWidth="1"/>
    <col min="8" max="8" width="25.81640625" customWidth="1"/>
    <col min="9" max="10" width="15.81640625" customWidth="1"/>
    <col min="11" max="11" width="37.453125" bestFit="1" customWidth="1"/>
    <col min="12" max="12" width="69.6328125" bestFit="1" customWidth="1"/>
    <col min="13" max="15" width="15.81640625" customWidth="1"/>
    <col min="16" max="16" width="16.81640625" customWidth="1"/>
    <col min="17" max="17" width="15.81640625" customWidth="1"/>
    <col min="18" max="18" width="28.54296875" customWidth="1"/>
    <col min="19" max="19" width="9.81640625" customWidth="1"/>
    <col min="20" max="20" width="11.81640625" bestFit="1" customWidth="1"/>
    <col min="21" max="21" width="15.81640625" customWidth="1"/>
    <col min="22" max="22" width="11.81640625" bestFit="1" customWidth="1"/>
  </cols>
  <sheetData>
    <row r="1" spans="1:52" ht="43.5">
      <c r="A1" s="44" t="s">
        <v>74</v>
      </c>
      <c r="B1" s="3" t="s">
        <v>53</v>
      </c>
      <c r="C1" s="4" t="s">
        <v>0</v>
      </c>
      <c r="D1" s="5" t="s">
        <v>1</v>
      </c>
      <c r="E1" s="6" t="s">
        <v>2</v>
      </c>
      <c r="F1" s="7" t="s">
        <v>3</v>
      </c>
      <c r="G1" s="8" t="s">
        <v>4</v>
      </c>
      <c r="H1" s="9" t="s">
        <v>5</v>
      </c>
      <c r="I1" s="238" t="s">
        <v>6</v>
      </c>
      <c r="J1" s="199"/>
      <c r="K1" s="239"/>
      <c r="L1" s="46" t="s">
        <v>92</v>
      </c>
      <c r="M1" s="238" t="s">
        <v>7</v>
      </c>
      <c r="N1" s="199"/>
      <c r="O1" s="200"/>
      <c r="P1" s="201" t="s">
        <v>8</v>
      </c>
      <c r="Q1" s="202"/>
      <c r="R1" s="202"/>
      <c r="S1" s="202"/>
      <c r="T1" s="202"/>
      <c r="U1" s="202"/>
      <c r="V1" s="203"/>
    </row>
    <row r="2" spans="1:52" ht="22.25" customHeight="1">
      <c r="A2" s="10"/>
      <c r="B2" s="10"/>
      <c r="C2" s="11"/>
      <c r="D2" s="12"/>
      <c r="E2" s="13"/>
      <c r="F2" s="14"/>
      <c r="G2" s="14"/>
      <c r="H2" s="1"/>
      <c r="I2" s="30" t="s">
        <v>9</v>
      </c>
      <c r="J2" s="30" t="s">
        <v>10</v>
      </c>
      <c r="K2" s="31" t="s">
        <v>11</v>
      </c>
      <c r="L2" s="32"/>
      <c r="M2" s="30" t="s">
        <v>9</v>
      </c>
      <c r="N2" s="30" t="s">
        <v>10</v>
      </c>
      <c r="O2" s="31" t="s">
        <v>11</v>
      </c>
      <c r="P2" s="33" t="s">
        <v>12</v>
      </c>
      <c r="Q2" s="240" t="s">
        <v>109</v>
      </c>
      <c r="R2" s="241"/>
      <c r="S2" s="30" t="s">
        <v>13</v>
      </c>
      <c r="T2" s="39" t="s">
        <v>14</v>
      </c>
      <c r="U2" s="39" t="s">
        <v>15</v>
      </c>
      <c r="V2" s="31" t="s">
        <v>16</v>
      </c>
    </row>
    <row r="3" spans="1:52" ht="64" customHeight="1">
      <c r="A3" s="10">
        <v>29</v>
      </c>
      <c r="B3" s="210" t="s">
        <v>17</v>
      </c>
      <c r="C3" s="11" t="s">
        <v>47</v>
      </c>
      <c r="D3" s="42"/>
      <c r="E3" s="105" t="s">
        <v>48</v>
      </c>
      <c r="F3" s="212" t="s">
        <v>18</v>
      </c>
      <c r="G3" s="214" t="s">
        <v>56</v>
      </c>
      <c r="H3" s="41" t="s">
        <v>57</v>
      </c>
      <c r="I3" s="62">
        <v>4</v>
      </c>
      <c r="J3" s="62">
        <v>3</v>
      </c>
      <c r="K3" s="63">
        <v>12</v>
      </c>
      <c r="L3" s="58" t="s">
        <v>198</v>
      </c>
      <c r="M3" s="62">
        <v>2</v>
      </c>
      <c r="N3" s="62">
        <v>2</v>
      </c>
      <c r="O3" s="69">
        <v>4</v>
      </c>
      <c r="P3" s="106" t="s">
        <v>103</v>
      </c>
      <c r="Q3" s="282" t="s">
        <v>199</v>
      </c>
      <c r="R3" s="207"/>
      <c r="S3" s="102" t="s">
        <v>24</v>
      </c>
      <c r="T3" s="108">
        <v>45295</v>
      </c>
      <c r="U3" s="109" t="s">
        <v>95</v>
      </c>
      <c r="V3" s="110">
        <v>46022</v>
      </c>
    </row>
    <row r="4" spans="1:52" ht="37.5" customHeight="1">
      <c r="A4" s="10">
        <v>17</v>
      </c>
      <c r="B4" s="211"/>
      <c r="C4" s="111" t="s">
        <v>61</v>
      </c>
      <c r="D4" s="42"/>
      <c r="E4" s="105" t="s">
        <v>48</v>
      </c>
      <c r="F4" s="213"/>
      <c r="G4" s="215"/>
      <c r="H4" s="41" t="s">
        <v>58</v>
      </c>
      <c r="I4" s="62">
        <v>2</v>
      </c>
      <c r="J4" s="62">
        <v>2</v>
      </c>
      <c r="K4" s="64">
        <v>4</v>
      </c>
      <c r="L4" s="57" t="s">
        <v>93</v>
      </c>
      <c r="M4" s="62">
        <v>2</v>
      </c>
      <c r="N4" s="62">
        <v>2</v>
      </c>
      <c r="O4" s="69">
        <v>4</v>
      </c>
      <c r="P4" s="106" t="s">
        <v>104</v>
      </c>
      <c r="Q4" s="205" t="s">
        <v>102</v>
      </c>
      <c r="R4" s="207"/>
      <c r="S4" s="102" t="s">
        <v>29</v>
      </c>
      <c r="T4" s="108">
        <v>45295</v>
      </c>
      <c r="U4" s="109" t="s">
        <v>177</v>
      </c>
      <c r="V4" s="110">
        <v>46022</v>
      </c>
    </row>
    <row r="5" spans="1:52" ht="78.5" customHeight="1">
      <c r="A5" s="10">
        <v>8</v>
      </c>
      <c r="B5" s="211"/>
      <c r="C5" s="11"/>
      <c r="D5" s="112" t="s">
        <v>59</v>
      </c>
      <c r="E5" s="105" t="s">
        <v>60</v>
      </c>
      <c r="F5" s="213"/>
      <c r="G5" s="215"/>
      <c r="H5" s="41" t="s">
        <v>27</v>
      </c>
      <c r="I5" s="62">
        <v>2</v>
      </c>
      <c r="J5" s="62">
        <v>2</v>
      </c>
      <c r="K5" s="64">
        <v>4</v>
      </c>
      <c r="L5" s="57" t="s">
        <v>200</v>
      </c>
      <c r="M5" s="62">
        <v>2</v>
      </c>
      <c r="N5" s="62">
        <v>2</v>
      </c>
      <c r="O5" s="69">
        <v>4</v>
      </c>
      <c r="P5" s="106" t="s">
        <v>105</v>
      </c>
      <c r="Q5" s="205" t="s">
        <v>164</v>
      </c>
      <c r="R5" s="206"/>
      <c r="S5" s="17" t="s">
        <v>24</v>
      </c>
      <c r="T5" s="108">
        <v>45295</v>
      </c>
      <c r="U5" s="107" t="s">
        <v>178</v>
      </c>
      <c r="V5" s="110">
        <v>45657</v>
      </c>
    </row>
    <row r="6" spans="1:52" ht="58" customHeight="1">
      <c r="A6" s="15">
        <v>25</v>
      </c>
      <c r="B6" s="219" t="s">
        <v>54</v>
      </c>
      <c r="C6" s="222" t="s">
        <v>62</v>
      </c>
      <c r="D6" s="59"/>
      <c r="E6" s="228" t="s">
        <v>20</v>
      </c>
      <c r="F6" s="212" t="s">
        <v>21</v>
      </c>
      <c r="G6" s="260" t="s">
        <v>22</v>
      </c>
      <c r="H6" s="216" t="s">
        <v>50</v>
      </c>
      <c r="I6" s="242">
        <v>3</v>
      </c>
      <c r="J6" s="242">
        <v>2</v>
      </c>
      <c r="K6" s="245">
        <f t="shared" ref="K6:K12" si="0">I6*J6</f>
        <v>6</v>
      </c>
      <c r="L6" s="248" t="s">
        <v>23</v>
      </c>
      <c r="M6" s="242">
        <v>2</v>
      </c>
      <c r="N6" s="242">
        <v>2</v>
      </c>
      <c r="O6" s="251">
        <f t="shared" ref="O6:O12" si="1">M6*N6</f>
        <v>4</v>
      </c>
      <c r="P6" s="285" t="s">
        <v>208</v>
      </c>
      <c r="Q6" s="282" t="s">
        <v>209</v>
      </c>
      <c r="R6" s="206"/>
      <c r="S6" s="17" t="s">
        <v>19</v>
      </c>
      <c r="T6" s="108">
        <v>45295</v>
      </c>
      <c r="U6" s="288" t="s">
        <v>210</v>
      </c>
      <c r="V6" s="110">
        <v>45656</v>
      </c>
    </row>
    <row r="7" spans="1:52" ht="48" customHeight="1">
      <c r="A7" s="15"/>
      <c r="B7" s="220"/>
      <c r="C7" s="223"/>
      <c r="D7" s="60"/>
      <c r="E7" s="229"/>
      <c r="F7" s="213"/>
      <c r="G7" s="261"/>
      <c r="H7" s="217"/>
      <c r="I7" s="243"/>
      <c r="J7" s="243"/>
      <c r="K7" s="246"/>
      <c r="L7" s="249"/>
      <c r="M7" s="243"/>
      <c r="N7" s="243"/>
      <c r="O7" s="252"/>
      <c r="P7" s="285" t="s">
        <v>211</v>
      </c>
      <c r="Q7" s="205" t="s">
        <v>165</v>
      </c>
      <c r="R7" s="206"/>
      <c r="S7" s="17" t="s">
        <v>24</v>
      </c>
      <c r="T7" s="108">
        <v>45295</v>
      </c>
      <c r="U7" s="107" t="s">
        <v>179</v>
      </c>
      <c r="V7" s="110">
        <v>45656</v>
      </c>
    </row>
    <row r="8" spans="1:52" ht="48" customHeight="1">
      <c r="A8" s="15"/>
      <c r="B8" s="220"/>
      <c r="C8" s="224"/>
      <c r="D8" s="61"/>
      <c r="E8" s="230"/>
      <c r="F8" s="259"/>
      <c r="G8" s="261"/>
      <c r="H8" s="217"/>
      <c r="I8" s="244"/>
      <c r="J8" s="244"/>
      <c r="K8" s="247"/>
      <c r="L8" s="250"/>
      <c r="M8" s="244"/>
      <c r="N8" s="244"/>
      <c r="O8" s="253"/>
      <c r="P8" s="285" t="s">
        <v>211</v>
      </c>
      <c r="Q8" s="282" t="s">
        <v>212</v>
      </c>
      <c r="R8" s="207"/>
      <c r="S8" s="17" t="s">
        <v>19</v>
      </c>
      <c r="T8" s="108">
        <v>45295</v>
      </c>
      <c r="U8" s="109" t="s">
        <v>51</v>
      </c>
      <c r="V8" s="110">
        <v>45656</v>
      </c>
    </row>
    <row r="9" spans="1:52" ht="18.5">
      <c r="A9" s="10">
        <v>22</v>
      </c>
      <c r="B9" s="257"/>
      <c r="C9" s="111" t="s">
        <v>64</v>
      </c>
      <c r="D9" s="60"/>
      <c r="E9" s="43" t="s">
        <v>25</v>
      </c>
      <c r="F9" s="115" t="s">
        <v>63</v>
      </c>
      <c r="G9" s="261"/>
      <c r="H9" s="217"/>
      <c r="I9" s="65">
        <v>4</v>
      </c>
      <c r="J9" s="65">
        <v>3</v>
      </c>
      <c r="K9" s="66">
        <f t="shared" si="0"/>
        <v>12</v>
      </c>
      <c r="L9" s="57" t="s">
        <v>26</v>
      </c>
      <c r="M9" s="62">
        <v>3</v>
      </c>
      <c r="N9" s="62">
        <v>2</v>
      </c>
      <c r="O9" s="68">
        <f t="shared" si="1"/>
        <v>6</v>
      </c>
      <c r="P9" s="285" t="s">
        <v>204</v>
      </c>
      <c r="Q9" s="208" t="s">
        <v>213</v>
      </c>
      <c r="R9" s="209"/>
      <c r="S9" s="17" t="s">
        <v>19</v>
      </c>
      <c r="T9" s="108">
        <v>45295</v>
      </c>
      <c r="U9" s="109" t="s">
        <v>97</v>
      </c>
      <c r="V9" s="110">
        <v>45656</v>
      </c>
    </row>
    <row r="10" spans="1:52" ht="16" customHeight="1">
      <c r="A10" s="10">
        <v>30</v>
      </c>
      <c r="B10" s="257"/>
      <c r="C10" s="11" t="s">
        <v>27</v>
      </c>
      <c r="D10" s="60"/>
      <c r="E10" s="43" t="s">
        <v>49</v>
      </c>
      <c r="F10" s="16" t="s">
        <v>28</v>
      </c>
      <c r="G10" s="261"/>
      <c r="H10" s="217"/>
      <c r="I10" s="65">
        <v>2</v>
      </c>
      <c r="J10" s="65">
        <v>2</v>
      </c>
      <c r="K10" s="67">
        <f t="shared" si="0"/>
        <v>4</v>
      </c>
      <c r="L10" s="57" t="s">
        <v>110</v>
      </c>
      <c r="M10" s="62">
        <v>1</v>
      </c>
      <c r="N10" s="62">
        <v>2</v>
      </c>
      <c r="O10" s="69">
        <f t="shared" si="1"/>
        <v>2</v>
      </c>
      <c r="P10" s="285" t="s">
        <v>214</v>
      </c>
      <c r="Q10" s="234" t="s">
        <v>111</v>
      </c>
      <c r="R10" s="235"/>
      <c r="S10" s="17" t="s">
        <v>29</v>
      </c>
      <c r="T10" s="108">
        <v>45295</v>
      </c>
      <c r="U10" s="109" t="s">
        <v>96</v>
      </c>
      <c r="V10" s="110">
        <v>45656</v>
      </c>
    </row>
    <row r="11" spans="1:52" ht="30.5" customHeight="1">
      <c r="A11" s="10">
        <v>28</v>
      </c>
      <c r="B11" s="258"/>
      <c r="C11" s="111" t="s">
        <v>30</v>
      </c>
      <c r="D11" s="61"/>
      <c r="E11" s="283" t="s">
        <v>201</v>
      </c>
      <c r="F11" s="284" t="s">
        <v>202</v>
      </c>
      <c r="G11" s="262"/>
      <c r="H11" s="217"/>
      <c r="I11" s="65">
        <v>4</v>
      </c>
      <c r="J11" s="65">
        <v>3</v>
      </c>
      <c r="K11" s="66">
        <f t="shared" si="0"/>
        <v>12</v>
      </c>
      <c r="L11" s="57" t="s">
        <v>203</v>
      </c>
      <c r="M11" s="62">
        <v>2</v>
      </c>
      <c r="N11" s="62">
        <v>3</v>
      </c>
      <c r="O11" s="68">
        <f t="shared" si="1"/>
        <v>6</v>
      </c>
      <c r="P11" s="285" t="s">
        <v>215</v>
      </c>
      <c r="Q11" s="282" t="s">
        <v>206</v>
      </c>
      <c r="R11" s="206"/>
      <c r="S11" s="102" t="s">
        <v>24</v>
      </c>
      <c r="T11" s="108">
        <v>45295</v>
      </c>
      <c r="U11" s="286" t="s">
        <v>205</v>
      </c>
      <c r="V11" s="110">
        <v>45656</v>
      </c>
    </row>
    <row r="12" spans="1:52" s="56" customFormat="1" ht="44" customHeight="1">
      <c r="A12" s="254">
        <v>4</v>
      </c>
      <c r="B12" s="219" t="s">
        <v>52</v>
      </c>
      <c r="C12" s="222"/>
      <c r="D12" s="225" t="s">
        <v>106</v>
      </c>
      <c r="E12" s="228" t="s">
        <v>107</v>
      </c>
      <c r="F12" s="231" t="s">
        <v>65</v>
      </c>
      <c r="G12" s="263" t="s">
        <v>66</v>
      </c>
      <c r="H12" s="217"/>
      <c r="I12" s="242">
        <v>4</v>
      </c>
      <c r="J12" s="242">
        <v>3</v>
      </c>
      <c r="K12" s="266">
        <f t="shared" si="0"/>
        <v>12</v>
      </c>
      <c r="L12" s="248" t="s">
        <v>94</v>
      </c>
      <c r="M12" s="242">
        <v>2</v>
      </c>
      <c r="N12" s="242">
        <v>3</v>
      </c>
      <c r="O12" s="269">
        <f t="shared" si="1"/>
        <v>6</v>
      </c>
      <c r="P12" s="289" t="s">
        <v>103</v>
      </c>
      <c r="Q12" s="236" t="s">
        <v>163</v>
      </c>
      <c r="R12" s="237"/>
      <c r="S12" s="263" t="s">
        <v>24</v>
      </c>
      <c r="T12" s="108">
        <v>45295</v>
      </c>
      <c r="U12" s="117" t="s">
        <v>98</v>
      </c>
      <c r="V12" s="118">
        <v>45656</v>
      </c>
    </row>
    <row r="13" spans="1:52" s="1" customFormat="1" ht="34.5" customHeight="1">
      <c r="A13" s="255"/>
      <c r="B13" s="220"/>
      <c r="C13" s="223"/>
      <c r="D13" s="226"/>
      <c r="E13" s="229"/>
      <c r="F13" s="232"/>
      <c r="G13" s="264"/>
      <c r="H13" s="217"/>
      <c r="I13" s="243"/>
      <c r="J13" s="243"/>
      <c r="K13" s="267"/>
      <c r="L13" s="249"/>
      <c r="M13" s="243"/>
      <c r="N13" s="243"/>
      <c r="O13" s="270"/>
      <c r="P13" s="264"/>
      <c r="Q13" s="272" t="s">
        <v>160</v>
      </c>
      <c r="R13" s="273"/>
      <c r="S13" s="264"/>
      <c r="T13" s="108">
        <v>45295</v>
      </c>
      <c r="U13" s="102" t="s">
        <v>98</v>
      </c>
      <c r="V13" s="118">
        <v>45656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1" customFormat="1" ht="34.5" customHeight="1">
      <c r="A14" s="255"/>
      <c r="B14" s="220"/>
      <c r="C14" s="223"/>
      <c r="D14" s="226"/>
      <c r="E14" s="229"/>
      <c r="F14" s="232"/>
      <c r="G14" s="264"/>
      <c r="H14" s="217"/>
      <c r="I14" s="243"/>
      <c r="J14" s="243"/>
      <c r="K14" s="267"/>
      <c r="L14" s="249"/>
      <c r="M14" s="243"/>
      <c r="N14" s="243"/>
      <c r="O14" s="270"/>
      <c r="P14" s="264"/>
      <c r="Q14" s="272"/>
      <c r="R14" s="273"/>
      <c r="S14" s="264"/>
      <c r="T14" s="108">
        <v>45295</v>
      </c>
      <c r="U14" s="102" t="s">
        <v>96</v>
      </c>
      <c r="V14" s="118">
        <v>45656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122" customFormat="1" ht="30" customHeight="1">
      <c r="A15" s="256"/>
      <c r="B15" s="221"/>
      <c r="C15" s="224"/>
      <c r="D15" s="227"/>
      <c r="E15" s="230"/>
      <c r="F15" s="233"/>
      <c r="G15" s="265"/>
      <c r="H15" s="218"/>
      <c r="I15" s="244"/>
      <c r="J15" s="244"/>
      <c r="K15" s="268"/>
      <c r="L15" s="250"/>
      <c r="M15" s="244"/>
      <c r="N15" s="244"/>
      <c r="O15" s="271"/>
      <c r="P15" s="265"/>
      <c r="Q15" s="272"/>
      <c r="R15" s="273"/>
      <c r="S15" s="264"/>
      <c r="T15" s="108">
        <v>45295</v>
      </c>
      <c r="U15" s="102"/>
      <c r="V15" s="118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129" customFormat="1" ht="30" customHeight="1">
      <c r="A16" s="143">
        <v>32</v>
      </c>
      <c r="B16" s="123" t="s">
        <v>180</v>
      </c>
      <c r="C16" s="113" t="s">
        <v>181</v>
      </c>
      <c r="D16" s="119"/>
      <c r="E16" s="114" t="s">
        <v>182</v>
      </c>
      <c r="F16" s="120" t="s">
        <v>183</v>
      </c>
      <c r="G16" s="121" t="s">
        <v>184</v>
      </c>
      <c r="H16" s="82" t="s">
        <v>50</v>
      </c>
      <c r="I16" s="124">
        <v>2</v>
      </c>
      <c r="J16" s="125">
        <v>2</v>
      </c>
      <c r="K16" s="126">
        <f t="shared" ref="K16" si="2">I16*J16</f>
        <v>4</v>
      </c>
      <c r="L16" s="92" t="s">
        <v>185</v>
      </c>
      <c r="M16" s="125">
        <v>2</v>
      </c>
      <c r="N16" s="125">
        <v>2</v>
      </c>
      <c r="O16" s="127">
        <f t="shared" ref="O16" si="3">M16*N16</f>
        <v>4</v>
      </c>
      <c r="P16" s="290" t="s">
        <v>214</v>
      </c>
      <c r="Q16" s="272" t="s">
        <v>186</v>
      </c>
      <c r="R16" s="273"/>
      <c r="S16" s="128"/>
      <c r="T16" s="108">
        <v>45295</v>
      </c>
      <c r="U16" s="102" t="s">
        <v>187</v>
      </c>
      <c r="V16" s="118">
        <v>45656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22" s="91" customFormat="1" ht="30" customHeight="1" thickBot="1">
      <c r="A17" s="83"/>
      <c r="B17" s="130"/>
      <c r="C17" s="131"/>
      <c r="D17" s="131"/>
      <c r="E17" s="131"/>
      <c r="F17" s="132"/>
      <c r="G17" s="131"/>
      <c r="H17" s="84"/>
      <c r="I17" s="85"/>
      <c r="J17" s="86"/>
      <c r="K17" s="87"/>
      <c r="L17" s="88"/>
      <c r="M17" s="86"/>
      <c r="N17" s="86"/>
      <c r="O17" s="86"/>
      <c r="P17" s="133"/>
      <c r="Q17" s="134"/>
      <c r="R17" s="89"/>
      <c r="S17" s="133"/>
      <c r="T17" s="135"/>
      <c r="U17" s="133"/>
      <c r="V17" s="90"/>
    </row>
    <row r="18" spans="1:22" ht="31.5" customHeight="1">
      <c r="A18" s="2" t="s">
        <v>67</v>
      </c>
      <c r="B18" s="3" t="s">
        <v>53</v>
      </c>
      <c r="C18" s="4" t="s">
        <v>0</v>
      </c>
      <c r="D18" s="5" t="s">
        <v>1</v>
      </c>
      <c r="E18" s="6" t="s">
        <v>2</v>
      </c>
      <c r="F18" s="45" t="s">
        <v>75</v>
      </c>
      <c r="G18" s="8" t="s">
        <v>4</v>
      </c>
      <c r="H18" s="9" t="s">
        <v>5</v>
      </c>
      <c r="I18" s="198" t="s">
        <v>79</v>
      </c>
      <c r="J18" s="275"/>
      <c r="K18" s="276"/>
      <c r="L18" s="46" t="s">
        <v>76</v>
      </c>
      <c r="M18" s="198" t="s">
        <v>166</v>
      </c>
      <c r="N18" s="199"/>
      <c r="O18" s="200"/>
      <c r="P18" s="201" t="s">
        <v>8</v>
      </c>
      <c r="Q18" s="202"/>
      <c r="R18" s="202"/>
      <c r="S18" s="202"/>
      <c r="T18" s="202"/>
      <c r="U18" s="202"/>
      <c r="V18" s="203"/>
    </row>
    <row r="19" spans="1:22">
      <c r="I19" s="53" t="s">
        <v>82</v>
      </c>
      <c r="J19" s="30" t="s">
        <v>10</v>
      </c>
      <c r="K19" s="54" t="s">
        <v>91</v>
      </c>
    </row>
    <row r="20" spans="1:22">
      <c r="A20" s="10">
        <v>26</v>
      </c>
      <c r="B20" s="136" t="s">
        <v>17</v>
      </c>
      <c r="C20" s="111" t="s">
        <v>68</v>
      </c>
      <c r="D20" s="12"/>
      <c r="E20" s="137" t="s">
        <v>20</v>
      </c>
      <c r="F20" s="116" t="s">
        <v>70</v>
      </c>
      <c r="G20" s="96" t="s">
        <v>69</v>
      </c>
      <c r="H20" s="41" t="s">
        <v>71</v>
      </c>
      <c r="I20" s="1">
        <v>3</v>
      </c>
      <c r="J20" s="1">
        <v>2</v>
      </c>
      <c r="K20" s="35">
        <v>6</v>
      </c>
      <c r="L20" s="138" t="s">
        <v>77</v>
      </c>
      <c r="M20" s="1">
        <v>3</v>
      </c>
      <c r="N20" s="1">
        <v>2</v>
      </c>
      <c r="O20" s="35">
        <v>6</v>
      </c>
      <c r="P20" s="139" t="s">
        <v>155</v>
      </c>
      <c r="Q20" s="274" t="s">
        <v>152</v>
      </c>
      <c r="R20" s="235"/>
      <c r="S20" s="139" t="s">
        <v>19</v>
      </c>
      <c r="T20" s="55">
        <v>43194</v>
      </c>
      <c r="U20" s="140" t="s">
        <v>96</v>
      </c>
      <c r="V20" s="79">
        <v>45656</v>
      </c>
    </row>
    <row r="21" spans="1:22">
      <c r="A21" s="10">
        <v>11</v>
      </c>
      <c r="B21" s="10" t="s">
        <v>54</v>
      </c>
      <c r="C21" s="111"/>
      <c r="D21" s="141" t="s">
        <v>72</v>
      </c>
      <c r="E21" s="137" t="s">
        <v>20</v>
      </c>
      <c r="F21" s="287" t="s">
        <v>207</v>
      </c>
      <c r="G21" s="140" t="s">
        <v>73</v>
      </c>
      <c r="H21" s="41" t="s">
        <v>71</v>
      </c>
      <c r="I21" s="1">
        <v>4</v>
      </c>
      <c r="J21" s="1">
        <v>2</v>
      </c>
      <c r="K21" s="34">
        <v>12</v>
      </c>
      <c r="L21" s="138" t="s">
        <v>78</v>
      </c>
      <c r="M21" s="1">
        <v>4</v>
      </c>
      <c r="N21" s="1">
        <v>3</v>
      </c>
      <c r="O21" s="34">
        <v>12</v>
      </c>
      <c r="P21" s="139" t="s">
        <v>155</v>
      </c>
      <c r="Q21" s="274" t="s">
        <v>153</v>
      </c>
      <c r="R21" s="235"/>
      <c r="S21" s="139" t="s">
        <v>24</v>
      </c>
      <c r="T21" s="55">
        <v>43709</v>
      </c>
      <c r="U21" s="140" t="s">
        <v>154</v>
      </c>
      <c r="V21" s="79">
        <v>45656</v>
      </c>
    </row>
    <row r="22" spans="1:22" ht="15" thickBot="1">
      <c r="A22" s="18"/>
      <c r="B22" s="18"/>
      <c r="C22" s="19"/>
      <c r="D22" s="20"/>
      <c r="E22" s="21"/>
      <c r="F22" s="22"/>
      <c r="G22" s="23"/>
      <c r="H22" s="40"/>
      <c r="I22" s="36"/>
      <c r="J22" s="36"/>
      <c r="K22" s="37"/>
      <c r="L22" s="38"/>
      <c r="M22" s="36"/>
      <c r="N22" s="36"/>
      <c r="O22" s="36"/>
      <c r="P22" s="36"/>
      <c r="Q22" s="36"/>
      <c r="R22" s="36"/>
      <c r="S22" s="36"/>
      <c r="T22" s="23"/>
      <c r="U22" s="23"/>
      <c r="V22" s="37"/>
    </row>
    <row r="24" spans="1:22">
      <c r="L24" s="142"/>
    </row>
    <row r="25" spans="1:22" ht="32.5" customHeight="1">
      <c r="B25" s="78" t="s">
        <v>188</v>
      </c>
    </row>
    <row r="26" spans="1:22" ht="15" thickBot="1"/>
    <row r="27" spans="1:22" ht="31.5" thickTop="1" thickBot="1">
      <c r="D27" s="24" t="s">
        <v>31</v>
      </c>
      <c r="E27" s="25" t="s">
        <v>32</v>
      </c>
      <c r="F27" s="26" t="s">
        <v>55</v>
      </c>
      <c r="G27" s="26" t="s">
        <v>9</v>
      </c>
      <c r="I27" s="48" t="s">
        <v>80</v>
      </c>
      <c r="J27" s="49" t="s">
        <v>81</v>
      </c>
      <c r="K27" s="26" t="s">
        <v>55</v>
      </c>
      <c r="L27" s="50" t="s">
        <v>82</v>
      </c>
    </row>
    <row r="28" spans="1:22" ht="37" customHeight="1" thickTop="1" thickBot="1">
      <c r="D28" s="204" t="s">
        <v>33</v>
      </c>
      <c r="E28" s="196" t="s">
        <v>34</v>
      </c>
      <c r="F28" s="27" t="s">
        <v>35</v>
      </c>
      <c r="G28" s="28" t="s">
        <v>36</v>
      </c>
      <c r="I28" s="204" t="s">
        <v>33</v>
      </c>
      <c r="J28" s="196" t="s">
        <v>34</v>
      </c>
      <c r="K28" s="47" t="s">
        <v>87</v>
      </c>
      <c r="L28" s="52" t="s">
        <v>86</v>
      </c>
    </row>
    <row r="29" spans="1:22" ht="39" customHeight="1" thickTop="1" thickBot="1">
      <c r="D29" s="204"/>
      <c r="E29" s="196"/>
      <c r="F29" s="27" t="s">
        <v>37</v>
      </c>
      <c r="G29" s="28" t="s">
        <v>38</v>
      </c>
      <c r="I29" s="204"/>
      <c r="J29" s="196"/>
      <c r="K29" s="47" t="s">
        <v>88</v>
      </c>
      <c r="L29" s="52" t="s">
        <v>84</v>
      </c>
    </row>
    <row r="30" spans="1:22" ht="51.5" customHeight="1" thickTop="1" thickBot="1">
      <c r="D30" s="195" t="s">
        <v>39</v>
      </c>
      <c r="E30" s="196" t="s">
        <v>40</v>
      </c>
      <c r="F30" s="28" t="s">
        <v>41</v>
      </c>
      <c r="G30" s="28" t="s">
        <v>42</v>
      </c>
      <c r="I30" s="195" t="s">
        <v>39</v>
      </c>
      <c r="J30" s="196" t="s">
        <v>40</v>
      </c>
      <c r="K30" s="52" t="s">
        <v>89</v>
      </c>
      <c r="L30" s="52" t="s">
        <v>85</v>
      </c>
    </row>
    <row r="31" spans="1:22" ht="30.5" customHeight="1" thickTop="1" thickBot="1">
      <c r="D31" s="195"/>
      <c r="E31" s="196"/>
      <c r="F31" s="29" t="s">
        <v>43</v>
      </c>
      <c r="G31" s="29" t="s">
        <v>44</v>
      </c>
      <c r="I31" s="195"/>
      <c r="J31" s="196"/>
      <c r="K31" s="51" t="s">
        <v>90</v>
      </c>
      <c r="L31" s="51" t="s">
        <v>83</v>
      </c>
    </row>
    <row r="32" spans="1:22" ht="32" customHeight="1" thickTop="1" thickBot="1">
      <c r="D32" s="197" t="s">
        <v>45</v>
      </c>
      <c r="E32" s="196" t="s">
        <v>46</v>
      </c>
      <c r="I32" s="197" t="s">
        <v>45</v>
      </c>
      <c r="J32" s="196" t="s">
        <v>46</v>
      </c>
    </row>
    <row r="33" spans="4:10" ht="32" customHeight="1" thickTop="1" thickBot="1">
      <c r="D33" s="197"/>
      <c r="E33" s="196"/>
      <c r="I33" s="197"/>
      <c r="J33" s="196"/>
    </row>
    <row r="34" spans="4:10" ht="15" thickTop="1"/>
  </sheetData>
  <mergeCells count="67">
    <mergeCell ref="S12:S15"/>
    <mergeCell ref="Q16:R16"/>
    <mergeCell ref="Q21:R21"/>
    <mergeCell ref="Q15:R15"/>
    <mergeCell ref="I18:K18"/>
    <mergeCell ref="M12:M15"/>
    <mergeCell ref="N12:N15"/>
    <mergeCell ref="O12:O15"/>
    <mergeCell ref="Q13:R13"/>
    <mergeCell ref="Q14:R14"/>
    <mergeCell ref="P12:P15"/>
    <mergeCell ref="G6:G11"/>
    <mergeCell ref="G12:G15"/>
    <mergeCell ref="I12:I15"/>
    <mergeCell ref="J12:J15"/>
    <mergeCell ref="K12:K15"/>
    <mergeCell ref="A12:A15"/>
    <mergeCell ref="B6:B11"/>
    <mergeCell ref="C6:C8"/>
    <mergeCell ref="E6:E8"/>
    <mergeCell ref="F6:F8"/>
    <mergeCell ref="Q10:R10"/>
    <mergeCell ref="Q11:R11"/>
    <mergeCell ref="Q12:R12"/>
    <mergeCell ref="I1:K1"/>
    <mergeCell ref="M1:O1"/>
    <mergeCell ref="P1:V1"/>
    <mergeCell ref="Q2:R2"/>
    <mergeCell ref="I6:I8"/>
    <mergeCell ref="J6:J8"/>
    <mergeCell ref="K6:K8"/>
    <mergeCell ref="L6:L8"/>
    <mergeCell ref="M6:M8"/>
    <mergeCell ref="N6:N8"/>
    <mergeCell ref="O6:O8"/>
    <mergeCell ref="L12:L15"/>
    <mergeCell ref="Q6:R6"/>
    <mergeCell ref="Q7:R7"/>
    <mergeCell ref="Q8:R8"/>
    <mergeCell ref="Q9:R9"/>
    <mergeCell ref="B3:B5"/>
    <mergeCell ref="F3:F5"/>
    <mergeCell ref="G3:G5"/>
    <mergeCell ref="Q3:R3"/>
    <mergeCell ref="Q4:R4"/>
    <mergeCell ref="Q5:R5"/>
    <mergeCell ref="H6:H15"/>
    <mergeCell ref="B12:B15"/>
    <mergeCell ref="C12:C15"/>
    <mergeCell ref="D12:D15"/>
    <mergeCell ref="E12:E15"/>
    <mergeCell ref="F12:F15"/>
    <mergeCell ref="M18:O18"/>
    <mergeCell ref="P18:V18"/>
    <mergeCell ref="D28:D29"/>
    <mergeCell ref="E28:E29"/>
    <mergeCell ref="I28:I29"/>
    <mergeCell ref="J28:J29"/>
    <mergeCell ref="Q20:R20"/>
    <mergeCell ref="D30:D31"/>
    <mergeCell ref="E30:E31"/>
    <mergeCell ref="I30:I31"/>
    <mergeCell ref="J30:J31"/>
    <mergeCell ref="D32:D33"/>
    <mergeCell ref="E32:E33"/>
    <mergeCell ref="I32:I33"/>
    <mergeCell ref="J32:J3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79F3-84BA-4CE0-8A81-F4A74A394D8C}">
  <dimension ref="A1:F34"/>
  <sheetViews>
    <sheetView topLeftCell="A3" workbookViewId="0">
      <selection activeCell="E10" sqref="E10"/>
    </sheetView>
  </sheetViews>
  <sheetFormatPr defaultColWidth="9" defaultRowHeight="14.5"/>
  <cols>
    <col min="1" max="1" width="24.453125" customWidth="1"/>
    <col min="2" max="2" width="21.54296875" customWidth="1"/>
    <col min="3" max="3" width="23.1796875" customWidth="1"/>
    <col min="4" max="4" width="24.81640625" customWidth="1"/>
    <col min="5" max="5" width="27.6328125" bestFit="1" customWidth="1"/>
    <col min="6" max="6" width="24.81640625" customWidth="1"/>
  </cols>
  <sheetData>
    <row r="1" spans="1:6" ht="59.5" customHeight="1">
      <c r="A1" s="279" t="s">
        <v>156</v>
      </c>
      <c r="B1" s="279"/>
      <c r="C1" s="279"/>
      <c r="D1" s="80" t="s">
        <v>157</v>
      </c>
      <c r="E1" s="81" t="s">
        <v>216</v>
      </c>
      <c r="F1" s="81" t="s">
        <v>217</v>
      </c>
    </row>
    <row r="2" spans="1:6" ht="105.65" customHeight="1">
      <c r="A2" s="273" t="s">
        <v>56</v>
      </c>
      <c r="B2" s="96" t="s">
        <v>219</v>
      </c>
      <c r="C2" s="291" t="s">
        <v>218</v>
      </c>
      <c r="D2" s="79">
        <v>46021</v>
      </c>
      <c r="E2" s="94"/>
      <c r="F2" s="95"/>
    </row>
    <row r="3" spans="1:6" ht="58">
      <c r="A3" s="273"/>
      <c r="B3" s="96" t="s">
        <v>101</v>
      </c>
      <c r="C3" s="93" t="s">
        <v>158</v>
      </c>
      <c r="D3" s="79">
        <v>45656</v>
      </c>
      <c r="E3" s="94"/>
      <c r="F3" s="96"/>
    </row>
    <row r="4" spans="1:6" ht="58">
      <c r="A4" s="273" t="s">
        <v>66</v>
      </c>
      <c r="B4" s="93" t="s">
        <v>99</v>
      </c>
      <c r="C4" s="96" t="s">
        <v>159</v>
      </c>
      <c r="D4" s="79">
        <v>45656</v>
      </c>
      <c r="E4" s="97"/>
      <c r="F4" s="98"/>
    </row>
    <row r="5" spans="1:6" ht="43.5">
      <c r="A5" s="273"/>
      <c r="B5" s="96" t="s">
        <v>100</v>
      </c>
      <c r="C5" s="96" t="s">
        <v>160</v>
      </c>
      <c r="D5" s="79">
        <v>45656</v>
      </c>
      <c r="E5" s="97"/>
      <c r="F5" s="98"/>
    </row>
    <row r="6" spans="1:6" ht="43.5">
      <c r="A6" s="272" t="s">
        <v>22</v>
      </c>
      <c r="B6" s="272" t="s">
        <v>108</v>
      </c>
      <c r="C6" s="93" t="s">
        <v>161</v>
      </c>
      <c r="D6" s="79">
        <v>45656</v>
      </c>
      <c r="E6" s="99"/>
      <c r="F6" s="95"/>
    </row>
    <row r="7" spans="1:6" ht="58" customHeight="1">
      <c r="A7" s="272"/>
      <c r="B7" s="272"/>
      <c r="C7" s="272" t="s">
        <v>162</v>
      </c>
      <c r="D7" s="277">
        <v>45656</v>
      </c>
      <c r="E7" s="278"/>
      <c r="F7" s="272"/>
    </row>
    <row r="8" spans="1:6">
      <c r="A8" s="272"/>
      <c r="B8" s="272"/>
      <c r="C8" s="272"/>
      <c r="D8" s="277"/>
      <c r="E8" s="278"/>
      <c r="F8" s="272"/>
    </row>
    <row r="9" spans="1:6" ht="72" customHeight="1">
      <c r="A9" s="272"/>
      <c r="B9" s="100" t="s">
        <v>26</v>
      </c>
      <c r="C9" s="103" t="s">
        <v>220</v>
      </c>
      <c r="D9" s="79">
        <v>45656</v>
      </c>
      <c r="E9" s="101"/>
      <c r="F9" s="102"/>
    </row>
    <row r="10" spans="1:6" ht="73.25" customHeight="1">
      <c r="A10" s="272"/>
      <c r="B10" s="103" t="s">
        <v>221</v>
      </c>
      <c r="C10" s="103" t="s">
        <v>222</v>
      </c>
      <c r="D10" s="79">
        <v>45656</v>
      </c>
      <c r="E10" s="101"/>
      <c r="F10" s="93"/>
    </row>
    <row r="11" spans="1:6">
      <c r="B11" s="103"/>
      <c r="E11" s="104"/>
    </row>
    <row r="12" spans="1:6">
      <c r="B12" s="95"/>
      <c r="E12" s="104"/>
    </row>
    <row r="13" spans="1:6">
      <c r="E13" s="104"/>
    </row>
    <row r="14" spans="1:6">
      <c r="E14" s="104"/>
    </row>
    <row r="15" spans="1:6">
      <c r="E15" s="104"/>
    </row>
    <row r="16" spans="1:6">
      <c r="E16" s="104"/>
    </row>
    <row r="17" spans="5:5">
      <c r="E17" s="104"/>
    </row>
    <row r="18" spans="5:5">
      <c r="E18" s="104"/>
    </row>
    <row r="19" spans="5:5">
      <c r="E19" s="104"/>
    </row>
    <row r="20" spans="5:5">
      <c r="E20" s="104"/>
    </row>
    <row r="21" spans="5:5">
      <c r="E21" s="104"/>
    </row>
    <row r="22" spans="5:5">
      <c r="E22" s="104"/>
    </row>
    <row r="23" spans="5:5">
      <c r="E23" s="104"/>
    </row>
    <row r="24" spans="5:5">
      <c r="E24" s="104"/>
    </row>
    <row r="25" spans="5:5">
      <c r="E25" s="104"/>
    </row>
    <row r="26" spans="5:5">
      <c r="E26" s="104"/>
    </row>
    <row r="27" spans="5:5">
      <c r="E27" s="104"/>
    </row>
    <row r="28" spans="5:5">
      <c r="E28" s="104"/>
    </row>
    <row r="29" spans="5:5">
      <c r="E29" s="104"/>
    </row>
    <row r="30" spans="5:5">
      <c r="E30" s="104"/>
    </row>
    <row r="31" spans="5:5">
      <c r="E31" s="104"/>
    </row>
    <row r="32" spans="5:5">
      <c r="E32" s="104"/>
    </row>
    <row r="33" spans="5:5">
      <c r="E33" s="104"/>
    </row>
    <row r="34" spans="5:5">
      <c r="E34" s="104"/>
    </row>
  </sheetData>
  <mergeCells count="9">
    <mergeCell ref="D7:D8"/>
    <mergeCell ref="E7:E8"/>
    <mergeCell ref="F7:F8"/>
    <mergeCell ref="A1:C1"/>
    <mergeCell ref="A2:A3"/>
    <mergeCell ref="A4:A5"/>
    <mergeCell ref="A6:A10"/>
    <mergeCell ref="B6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CONTESTO</vt:lpstr>
      <vt:lpstr>MATRICE DEI RISCHI 2024</vt:lpstr>
      <vt:lpstr>MONITORAGGIO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andrea.mallo</dc:creator>
  <cp:lastModifiedBy>sco barreca</cp:lastModifiedBy>
  <cp:lastPrinted>2018-02-22T11:04:00Z</cp:lastPrinted>
  <dcterms:created xsi:type="dcterms:W3CDTF">2018-02-14T14:19:00Z</dcterms:created>
  <dcterms:modified xsi:type="dcterms:W3CDTF">2024-09-09T11:04:27Z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