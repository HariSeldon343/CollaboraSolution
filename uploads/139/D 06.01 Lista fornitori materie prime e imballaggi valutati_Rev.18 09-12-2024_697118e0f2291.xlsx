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Foglio1" sheetId="1" state="visible" r:id="rId2"/>
    <sheet name="2023" sheetId="2" state="visible" r:id="rId3"/>
    <sheet name="2024" sheetId="3" state="visible" r:id="rId4"/>
    <sheet name="2025" sheetId="4" state="visible" r:id="rId5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<sst xmlns="http://schemas.openxmlformats.org/spreadsheetml/2006/main" count="254" uniqueCount="254">
  <si>
    <r>
      <t xml:space="preserve">LISTA FORNITORI VALUTATI (CAMPAGNA 2022/2023) - </t>
    </r>
    <r>
      <rPr>
        <b/>
        <sz val="16"/>
        <color indexed="2"/>
        <rFont val="Calibri"/>
        <scheme val="minor"/>
      </rPr>
      <t xml:space="preserve">D 06.01</t>
    </r>
  </si>
  <si>
    <t xml:space="preserve">Data ultimo aggiornamento: 30/09/2022</t>
  </si>
  <si>
    <t xml:space="preserve">Agrumi-gel </t>
  </si>
  <si>
    <t>BUONO</t>
  </si>
  <si>
    <t xml:space="preserve">Revisione N.16</t>
  </si>
  <si>
    <t>SUFFICIENTE</t>
  </si>
  <si>
    <t xml:space="preserve">Emesso da: Elsa Liga</t>
  </si>
  <si>
    <t xml:space="preserve">SOSPESI </t>
  </si>
  <si>
    <t xml:space="preserve">Approvato da: Salvatore Rizzo</t>
  </si>
  <si>
    <t xml:space="preserve">NON QUALIFICATI</t>
  </si>
  <si>
    <t xml:space="preserve">VALUTAZIONE 2021/2022</t>
  </si>
  <si>
    <t xml:space="preserve">VALUTAZIONE 2022/2023</t>
  </si>
  <si>
    <t xml:space="preserve">SCADENZE CERTIFICATI</t>
  </si>
  <si>
    <t>FORNITORE</t>
  </si>
  <si>
    <t xml:space="preserve">TIPO DI FORNITURA</t>
  </si>
  <si>
    <t xml:space="preserve">INDIRIZZI MAIL</t>
  </si>
  <si>
    <t xml:space="preserve">N. TELEFONO</t>
  </si>
  <si>
    <t xml:space="preserve">Non conformità del periodo</t>
  </si>
  <si>
    <t xml:space="preserve">Valutazione del questionario </t>
  </si>
  <si>
    <t xml:space="preserve">Esito Verifica Ispettiva</t>
  </si>
  <si>
    <t>Valutazione</t>
  </si>
  <si>
    <t xml:space="preserve">Livello di rischio</t>
  </si>
  <si>
    <t xml:space="preserve">DATA DELLA VALUTAZIONE</t>
  </si>
  <si>
    <t xml:space="preserve">Non conformità del periodo2</t>
  </si>
  <si>
    <t xml:space="preserve">Valutazione del questionario 2</t>
  </si>
  <si>
    <t xml:space="preserve">Esito Verifica Ispettiva2</t>
  </si>
  <si>
    <t>Valutazione2</t>
  </si>
  <si>
    <t xml:space="preserve">Livello di rischio2</t>
  </si>
  <si>
    <t xml:space="preserve">DATA DELLA VALUTAZIONE2</t>
  </si>
  <si>
    <t xml:space="preserve">Scadenza certificato ISO 9001</t>
  </si>
  <si>
    <t xml:space="preserve">Scadenza Certificato ISO 14001</t>
  </si>
  <si>
    <t xml:space="preserve">Scadenza Certificati BRC/IFS</t>
  </si>
  <si>
    <t xml:space="preserve">Scadenza Certificati Global G.A.P. + GRASP</t>
  </si>
  <si>
    <t xml:space="preserve">Scadenza Altri Certificati</t>
  </si>
  <si>
    <t xml:space="preserve">Data di scadenza del Certificato di Conformità Biologica</t>
  </si>
  <si>
    <t xml:space="preserve">Autorizzazione IGP/DOP</t>
  </si>
  <si>
    <t xml:space="preserve">Agrotrade Srl</t>
  </si>
  <si>
    <t>AGRUMI</t>
  </si>
  <si>
    <t>agrotrade@virgilio.it</t>
  </si>
  <si>
    <t>N.A.</t>
  </si>
  <si>
    <t>B</t>
  </si>
  <si>
    <t xml:space="preserve">AZ Caniglia di Caniglia Rocco</t>
  </si>
  <si>
    <t>info@azcaniglia.it</t>
  </si>
  <si>
    <t xml:space="preserve">0952938622 </t>
  </si>
  <si>
    <t xml:space="preserve">valido campagna 2022/2023</t>
  </si>
  <si>
    <t xml:space="preserve">Azienda Agricola "La Grazia" di Rapisarda Stefano</t>
  </si>
  <si>
    <t>FRUTTA</t>
  </si>
  <si>
    <t xml:space="preserve"> lagraziadirapisarda@tiscali.it / lagraziadistefanorapisarda@gmail.com</t>
  </si>
  <si>
    <t xml:space="preserve">Ecofruit Soc. Coop.</t>
  </si>
  <si>
    <t>info@ecofruit.it</t>
  </si>
  <si>
    <t>0918169921</t>
  </si>
  <si>
    <t xml:space="preserve">BRC 17/04/2023                   IFS 10/05/2023</t>
  </si>
  <si>
    <t xml:space="preserve">ISO 22005 15/03/2025                       DEMETER 31/12/2022                      BIO SUISSE 31/03/2023</t>
  </si>
  <si>
    <t xml:space="preserve">FRUTTA DOC di Toia Giuseppe</t>
  </si>
  <si>
    <t>fruttadocsrl@gmail.com</t>
  </si>
  <si>
    <t xml:space="preserve">O.P. Consorzio APAM Soc. Coop arl</t>
  </si>
  <si>
    <t>info@consorzioapam.it</t>
  </si>
  <si>
    <t>0941958036</t>
  </si>
  <si>
    <t xml:space="preserve">BRC 25/01/2023           IFS 04/02/2023</t>
  </si>
  <si>
    <t xml:space="preserve">DEMETER 31/12/2023                         IGP 30/09/2022                               NATURLAND 30/04/2023</t>
  </si>
  <si>
    <t>x</t>
  </si>
  <si>
    <t xml:space="preserve">O.P. Esperidio Soc.Coop.</t>
  </si>
  <si>
    <t>INFO@OPESPERIDIO.EU</t>
  </si>
  <si>
    <t xml:space="preserve">BRC /IFS 25/01/2023</t>
  </si>
  <si>
    <t xml:space="preserve">Colleroni S.r.l. (Piana Eleonora)</t>
  </si>
  <si>
    <t>info@colleroni.it</t>
  </si>
  <si>
    <t xml:space="preserve">GLOBAL GAP 14/01/2023     GRASP 03/12/2022</t>
  </si>
  <si>
    <t xml:space="preserve">Polpa Rossa s.r.l.</t>
  </si>
  <si>
    <t>polparossa@pec.it</t>
  </si>
  <si>
    <t xml:space="preserve">Red Orange Srl </t>
  </si>
  <si>
    <t xml:space="preserve">AGRUMI </t>
  </si>
  <si>
    <t>redorangesrls@gmail.com</t>
  </si>
  <si>
    <t xml:space="preserve">Uno Sicilia Soc. Coop. ARL</t>
  </si>
  <si>
    <t>'amministrazione@unosicilia.it'</t>
  </si>
  <si>
    <t>RIFRA</t>
  </si>
  <si>
    <t>DERATTIZZAZIONE</t>
  </si>
  <si>
    <t>info@rifrasrl.eu</t>
  </si>
  <si>
    <t xml:space="preserve">0923 756020</t>
  </si>
  <si>
    <t xml:space="preserve">UNI EN 16636 01/08/2025</t>
  </si>
  <si>
    <t xml:space="preserve">CASONE SPA</t>
  </si>
  <si>
    <t>IMBALLAGGI</t>
  </si>
  <si>
    <t>contenitori_vendite@casone.it</t>
  </si>
  <si>
    <t>0521668811</t>
  </si>
  <si>
    <t xml:space="preserve">FSSC 22000 25/02/2023</t>
  </si>
  <si>
    <t xml:space="preserve">IMBALLAGGI CEFALU' SRL</t>
  </si>
  <si>
    <t>info@imballaggicefalu.com</t>
  </si>
  <si>
    <t>0923651189</t>
  </si>
  <si>
    <t>CIELLE</t>
  </si>
  <si>
    <t>confermeordini@ciellesrl.com</t>
  </si>
  <si>
    <t>0931711311</t>
  </si>
  <si>
    <t xml:space="preserve">BRC 11/04/2023</t>
  </si>
  <si>
    <t xml:space="preserve">ISO 45001 10/12/2024</t>
  </si>
  <si>
    <t xml:space="preserve">DERIBLOK SPA</t>
  </si>
  <si>
    <t>francesca.barile@deriblok.it</t>
  </si>
  <si>
    <t xml:space="preserve">0828 304360</t>
  </si>
  <si>
    <t xml:space="preserve">ISO 45001 16/04/2025</t>
  </si>
  <si>
    <t>OMCE</t>
  </si>
  <si>
    <t>Enrico.Ciferri@omce.com</t>
  </si>
  <si>
    <t>071791101</t>
  </si>
  <si>
    <t xml:space="preserve">ISO 45001  20/12/2023</t>
  </si>
  <si>
    <t xml:space="preserve">GOGLIO SPA</t>
  </si>
  <si>
    <t>Giuseppe.DAntuono@goglio.it</t>
  </si>
  <si>
    <t xml:space="preserve">0332 940 111</t>
  </si>
  <si>
    <t xml:space="preserve">BRC 02/12/2022</t>
  </si>
  <si>
    <t xml:space="preserve">ISCC PLUS  23/01/2023                      ISO 45001  17/07/2023            HALAL 19/07/2023</t>
  </si>
  <si>
    <t>GIUTTARI</t>
  </si>
  <si>
    <t>arredamentigiuttari@live.it</t>
  </si>
  <si>
    <t xml:space="preserve">BERLIN  PACKAGING INDUSTRIAL ITALY</t>
  </si>
  <si>
    <t>Info.Industrial.IT@BerlinPackaging.com</t>
  </si>
  <si>
    <t xml:space="preserve">TORRE SRL</t>
  </si>
  <si>
    <t xml:space="preserve">SERVIZI RIFIUTI</t>
  </si>
  <si>
    <t>inertitorresrl@gmail.com</t>
  </si>
  <si>
    <t>0909782098</t>
  </si>
  <si>
    <t xml:space="preserve">HUB AMBIENTE</t>
  </si>
  <si>
    <t>fatturazione@hubambiente.com</t>
  </si>
  <si>
    <t>0957357473</t>
  </si>
  <si>
    <t xml:space="preserve">LABORATORIO GENOVESE</t>
  </si>
  <si>
    <t xml:space="preserve">MISURAZIONE E CONTROLLO  </t>
  </si>
  <si>
    <t>info@laboratoriogenovese.it</t>
  </si>
  <si>
    <t>0909703283</t>
  </si>
  <si>
    <t xml:space="preserve">ACCREDIA 02/05/2025</t>
  </si>
  <si>
    <t xml:space="preserve">SIALAB SRL</t>
  </si>
  <si>
    <t xml:space="preserve">rapportidiprova@sialabsrl.it / 0931 564220 </t>
  </si>
  <si>
    <t xml:space="preserve">3343111571 </t>
  </si>
  <si>
    <t xml:space="preserve">ISO 45001 10/11/2024</t>
  </si>
  <si>
    <t>CHELAB</t>
  </si>
  <si>
    <t xml:space="preserve">assistenza.alimentare@mxns.com / labresult1.italy@mxns.com / +39 0423 717698</t>
  </si>
  <si>
    <t xml:space="preserve">0423 717698</t>
  </si>
  <si>
    <t xml:space="preserve">RIFRA SRL</t>
  </si>
  <si>
    <t>ADDITIVI</t>
  </si>
  <si>
    <t>controllo.qualita@rifrasrl.eu</t>
  </si>
  <si>
    <t xml:space="preserve"> 0923 990777</t>
  </si>
  <si>
    <t xml:space="preserve">SERVICE CALATINO SOCIETA’ COOPERATIVA</t>
  </si>
  <si>
    <t>DIPENDENTI</t>
  </si>
  <si>
    <t>coopservicecalatino@gmail.com</t>
  </si>
  <si>
    <t xml:space="preserve">Data ultimo aggiornamento: 26/06/2023</t>
  </si>
  <si>
    <t xml:space="preserve">Revisione N.17</t>
  </si>
  <si>
    <r>
      <t xml:space="preserve">LISTA FORNITORI VALUTATI (CAMPAGNA 2023/2024) - </t>
    </r>
    <r>
      <rPr>
        <b/>
        <sz val="16"/>
        <color indexed="2"/>
        <rFont val="Calibri"/>
        <scheme val="minor"/>
      </rPr>
      <t xml:space="preserve">D 06.01</t>
    </r>
  </si>
  <si>
    <t xml:space="preserve">Data ultimo aggiornamento: 26/11/2023</t>
  </si>
  <si>
    <r>
      <t xml:space="preserve">PER FOOD FRAUD:</t>
    </r>
    <r>
      <rPr>
        <b/>
        <i/>
        <u val="single"/>
        <sz val="11"/>
        <color theme="1"/>
        <rFont val="Calibri"/>
      </rPr>
      <t xml:space="preserve"> </t>
    </r>
    <r>
      <rPr>
        <i/>
        <u val="single"/>
        <sz val="11"/>
        <color theme="1"/>
        <rFont val="Calibri"/>
      </rPr>
      <t xml:space="preserve">VALORI AL DI SOTTO DI 9 </t>
    </r>
    <r>
      <rPr>
        <sz val="11"/>
        <color theme="1"/>
        <rFont val="Calibri"/>
      </rPr>
      <t xml:space="preserve">SONO CONSIDERATI NON CONFORMI E VERRANNO CHIESTE </t>
    </r>
  </si>
  <si>
    <t xml:space="preserve">ULTERIORI GARANZIE AI FORNITORI DI TALI MATERIE PRIME FINO AL RAGGIUNGIMENTO</t>
  </si>
  <si>
    <t xml:space="preserve">DEL VALORE DI ACCETTABILITA'; IN CASO CONTRARIO LA MATERIE PRIME/CONF. PRIMARIO </t>
  </si>
  <si>
    <t xml:space="preserve">VERRANNO RICHIESTI AD ALTRO FORNITORE, VALIUTANDO ANCHE LA SOSTITUZIONE IN TOTO </t>
  </si>
  <si>
    <t xml:space="preserve">DEL FORNITORE</t>
  </si>
  <si>
    <r>
      <rPr>
        <i/>
        <u val="single"/>
        <sz val="11"/>
        <color theme="1"/>
        <rFont val="Calibri"/>
      </rPr>
      <t xml:space="preserve">VALORI TRA 9 E 11 </t>
    </r>
    <r>
      <rPr>
        <sz val="11"/>
        <color theme="1"/>
        <rFont val="Calibri"/>
      </rPr>
      <t xml:space="preserve">PUR CONFORMI NECESSITANO DI APPROFONDIMENTI </t>
    </r>
  </si>
  <si>
    <t>LEGENDA</t>
  </si>
  <si>
    <t xml:space="preserve">&lt; 9</t>
  </si>
  <si>
    <t xml:space="preserve">CRITICITA' ALTA</t>
  </si>
  <si>
    <t xml:space="preserve"> &gt; 9</t>
  </si>
  <si>
    <t xml:space="preserve">CRITICITA' BASSA</t>
  </si>
  <si>
    <t xml:space="preserve">&gt; 9 ma &lt; 11</t>
  </si>
  <si>
    <t xml:space="preserve">DA APPROFONDIRE</t>
  </si>
  <si>
    <t xml:space="preserve">VALUTAZIONE 2023/2024</t>
  </si>
  <si>
    <t xml:space="preserve">FOOD FRAUD</t>
  </si>
  <si>
    <t xml:space="preserve">Valutazione del questionario
(allergeni, corpi estranei, micorbiologia, chimico/radioattivo)</t>
  </si>
  <si>
    <t xml:space="preserve">Evidenze storiche di contraffazione o adulterazione</t>
  </si>
  <si>
    <t xml:space="preserve">Fattori economici che possano rendere adulterazioni e contraffazioni maggiormente remunerative</t>
  </si>
  <si>
    <t xml:space="preserve">Facilità di accesso alla materie prime lungo la catena di fornitura</t>
  </si>
  <si>
    <t xml:space="preserve">Complessità dei test ordinari per identificare i prodotti adulterati</t>
  </si>
  <si>
    <t xml:space="preserve">Tipologia della materia prima</t>
  </si>
  <si>
    <t>TOT.</t>
  </si>
  <si>
    <t xml:space="preserve">AGRUMI CONVENZIONALI</t>
  </si>
  <si>
    <t xml:space="preserve">AGRUMI BIO</t>
  </si>
  <si>
    <t xml:space="preserve">Barbera Società Cooperativa Agricola</t>
  </si>
  <si>
    <t>luis@barbara-international.com</t>
  </si>
  <si>
    <t xml:space="preserve">095 7601071</t>
  </si>
  <si>
    <t xml:space="preserve">BRC - 02.02.2024                            IFS - 16.02.2024</t>
  </si>
  <si>
    <t xml:space="preserve">SPRING SGS ITALIA - 08.12.2023</t>
  </si>
  <si>
    <t>30.09.2025</t>
  </si>
  <si>
    <t>17.04.2025</t>
  </si>
  <si>
    <t xml:space="preserve">IFS -  10.05.2024                  BRC - 18.04.2024</t>
  </si>
  <si>
    <t xml:space="preserve">BIOSUISSE - 30.09.2024                                 DEMETER - 31.12.2023</t>
  </si>
  <si>
    <t>28.07.2025</t>
  </si>
  <si>
    <t>11.07.2025</t>
  </si>
  <si>
    <t xml:space="preserve"> </t>
  </si>
  <si>
    <t>039995515</t>
  </si>
  <si>
    <t xml:space="preserve">IFS - 01.07.2024                 BRC - 20.05.2024</t>
  </si>
  <si>
    <t>04.02.2024</t>
  </si>
  <si>
    <t>03.03.2025</t>
  </si>
  <si>
    <t>24.02.2025</t>
  </si>
  <si>
    <t xml:space="preserve">IMBALLAGGI (secchielli)</t>
  </si>
  <si>
    <t>04.06.2024</t>
  </si>
  <si>
    <t xml:space="preserve">FSSC 22000 - 25.02.2026</t>
  </si>
  <si>
    <t xml:space="preserve">IMBALLAGGI (octabins)</t>
  </si>
  <si>
    <t xml:space="preserve">IMBALLAGGI (sacchi polietilene)</t>
  </si>
  <si>
    <t>11.12.2023</t>
  </si>
  <si>
    <t>04.08.2025</t>
  </si>
  <si>
    <t xml:space="preserve">BRC - 14.02.2024</t>
  </si>
  <si>
    <t xml:space="preserve">ISO 45001 - 10.12.2024                                              UNI-PDR125 - 16.10.2026</t>
  </si>
  <si>
    <t xml:space="preserve">IMBALLAGGI (velofilm)</t>
  </si>
  <si>
    <t>09.12.2024</t>
  </si>
  <si>
    <t>05.02.2025</t>
  </si>
  <si>
    <t xml:space="preserve">ISO 45001 - 16.04.2025</t>
  </si>
  <si>
    <t xml:space="preserve">IMBALLAGGI (fusti)</t>
  </si>
  <si>
    <t>3</t>
  </si>
  <si>
    <t>20.05.2024</t>
  </si>
  <si>
    <t xml:space="preserve">ISO 45001 - 20.12.2023</t>
  </si>
  <si>
    <t xml:space="preserve">IMBALLAGGI (sacchi asettici)</t>
  </si>
  <si>
    <t>05.06.2026</t>
  </si>
  <si>
    <t>12.01.2023</t>
  </si>
  <si>
    <t xml:space="preserve">BRC - 02.12.2023</t>
  </si>
  <si>
    <t xml:space="preserve">FSCC 22000 - 22.10.2026                                        KOSHER - 30.04.2024                                                             ISO 45001 - 17.07.2026</t>
  </si>
  <si>
    <t xml:space="preserve">IMBALLAGGI (fustini)</t>
  </si>
  <si>
    <t xml:space="preserve">RENATO GIUTTARI</t>
  </si>
  <si>
    <t>PEDANE</t>
  </si>
  <si>
    <t>0909731753</t>
  </si>
  <si>
    <t xml:space="preserve">COADIUVANTI E ADDITIVI</t>
  </si>
  <si>
    <t>06.08.2024</t>
  </si>
  <si>
    <t xml:space="preserve">EN 16636:2015 - 01.08.2025</t>
  </si>
  <si>
    <t>01.02.2026</t>
  </si>
  <si>
    <t xml:space="preserve">RI.FRA srl (DMS)</t>
  </si>
  <si>
    <t xml:space="preserve">Rapidase C-max </t>
  </si>
  <si>
    <t xml:space="preserve">RI.FRA srl (Citribel)</t>
  </si>
  <si>
    <t xml:space="preserve">Acido citrico</t>
  </si>
  <si>
    <t xml:space="preserve">RI.FRA srl (Diversey)</t>
  </si>
  <si>
    <t xml:space="preserve">Divosan </t>
  </si>
  <si>
    <r>
      <t xml:space="preserve">LISTA FORNITORI VALUTATI (CAMPAGNA 2024/2025) - </t>
    </r>
    <r>
      <rPr>
        <b/>
        <sz val="16"/>
        <color indexed="2"/>
        <rFont val="Calibri"/>
        <scheme val="minor"/>
      </rPr>
      <t xml:space="preserve">D 06.01</t>
    </r>
  </si>
  <si>
    <t xml:space="preserve">Data ultimo aggiornamento: 09/12/2024</t>
  </si>
  <si>
    <t xml:space="preserve">Revisione N.18</t>
  </si>
  <si>
    <t xml:space="preserve">Emesso da: Team Qualità</t>
  </si>
  <si>
    <t xml:space="preserve">Ultimo aggiornamento 09/12/2024</t>
  </si>
  <si>
    <t xml:space="preserve">VALUTAZIONE 2024/2025</t>
  </si>
  <si>
    <t xml:space="preserve">PERICOLO ALLERGENI
(da 1 a 4)</t>
  </si>
  <si>
    <t xml:space="preserve">PERICOLO CHIMICO / RADIOATTIVO
(da 1 a 4)</t>
  </si>
  <si>
    <t xml:space="preserve">PERICOLO CORPI ESTRANEI
(da 1 a 4)</t>
  </si>
  <si>
    <t xml:space="preserve">PERICOLO MICROBIOLOGICO
(da 1 a 4)</t>
  </si>
  <si>
    <t xml:space="preserve">RILEVANZA DELLA MATERIA PRIMA SUL PRODOTTO FINITO
(da 2 a 4)</t>
  </si>
  <si>
    <t xml:space="preserve">VALUTAZIONE (su valore minimo rilevato)
con food fraud</t>
  </si>
  <si>
    <t xml:space="preserve">CONTEGGI </t>
  </si>
  <si>
    <t xml:space="preserve">TOT. 
(DA 1 a 4)</t>
  </si>
  <si>
    <t xml:space="preserve">OP Esperidio Soc. Agr. Sempl.</t>
  </si>
  <si>
    <t>agroffice@opesperidio.eu</t>
  </si>
  <si>
    <t>0957953653</t>
  </si>
  <si>
    <t>BASSO</t>
  </si>
  <si>
    <t xml:space="preserve">BRC - 25/01/2025                       IFS - 25/01/2025</t>
  </si>
  <si>
    <t xml:space="preserve">BUREAU VERITAS 15/12/2025</t>
  </si>
  <si>
    <t xml:space="preserve">ECOGRUPPO - 01/11/2025</t>
  </si>
  <si>
    <t xml:space="preserve">Giovanni Grasso SRL</t>
  </si>
  <si>
    <t>zagara@zagara.com</t>
  </si>
  <si>
    <t xml:space="preserve">095 7765252</t>
  </si>
  <si>
    <t xml:space="preserve">IFS - 19/07/2025</t>
  </si>
  <si>
    <t xml:space="preserve">GLOBAL GAP - 30/09/2025</t>
  </si>
  <si>
    <t xml:space="preserve">BRC - 20/05/2025                     IFS - 01/07/2025</t>
  </si>
  <si>
    <t xml:space="preserve">NSF - 13/02/2025</t>
  </si>
  <si>
    <t xml:space="preserve">ECOGRUPPO - 03/03/2025</t>
  </si>
  <si>
    <t xml:space="preserve">Josephine SRL</t>
  </si>
  <si>
    <t>caniglia.giusy@gmail.com</t>
  </si>
  <si>
    <t>0958838557</t>
  </si>
  <si>
    <t xml:space="preserve">PRO-GEST SPA (Aartonificio Fiorentino)</t>
  </si>
  <si>
    <t>info@pro-gestspa.it</t>
  </si>
  <si>
    <t>0422730888</t>
  </si>
  <si>
    <t xml:space="preserve">ISO 45001 - 03/04/2027                                                  FSC - 31/01/2028                                                                  PEFC - 31/01/2025</t>
  </si>
  <si>
    <t xml:space="preserve">BRC-P 28/03/2025</t>
  </si>
  <si>
    <t xml:space="preserve">ISO 45001-2018 - 10/12/2024                                       UNI-PDR125-2022 - 16/10/2026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</si>
</sst>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20.000000"/>
      <color theme="1"/>
      <name val="Calibri"/>
      <scheme val="minor"/>
    </font>
    <font>
      <sz val="11.000000"/>
      <name val="Calibri"/>
      <scheme val="minor"/>
    </font>
    <font>
      <sz val="11.000000"/>
      <color indexed="2"/>
      <name val="Calibri"/>
      <scheme val="minor"/>
    </font>
    <font>
      <sz val="10.000000"/>
      <color indexed="64"/>
      <name val="Arial"/>
    </font>
    <font>
      <sz val="10.000000"/>
      <color theme="1"/>
      <name val="Calibri"/>
      <scheme val="minor"/>
    </font>
    <font>
      <sz val="18.000000"/>
      <color theme="1"/>
      <name val="Calibri"/>
      <scheme val="minor"/>
    </font>
    <font>
      <b/>
      <sz val="11.000000"/>
      <color theme="1"/>
      <name val="Calibri"/>
    </font>
    <font>
      <sz val="11.000000"/>
      <color theme="1"/>
      <name val="Calibri"/>
    </font>
    <font>
      <b/>
      <sz val="11.000000"/>
      <color indexed="2"/>
      <name val="Calibri"/>
    </font>
    <font>
      <b/>
      <sz val="11.000000"/>
      <color theme="6" tint="-0.499984740745262"/>
      <name val="Calibri"/>
    </font>
    <font>
      <b/>
      <sz val="11.000000"/>
      <color rgb="FFBCB800"/>
      <name val="Calibri"/>
    </font>
    <font>
      <b/>
      <sz val="10.000000"/>
      <color theme="1"/>
      <name val="Arial Narrow"/>
    </font>
    <font>
      <b/>
      <i/>
      <sz val="10.000000"/>
      <color theme="1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7" tint="0.39997558519241921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indexed="5"/>
      </patternFill>
    </fill>
  </fills>
  <borders count="2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medium">
        <color indexed="64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12">
    <xf fontId="0" fillId="0" borderId="0" numFmtId="0" xfId="0"/>
    <xf fontId="0" fillId="0" borderId="0" numFmtId="0" xfId="0" applyAlignment="1">
      <alignment horizontal="center"/>
    </xf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0" fillId="0" borderId="7" numFmtId="0" xfId="0" applyBorder="1" applyAlignment="1">
      <alignment horizontal="left"/>
    </xf>
    <xf fontId="0" fillId="0" borderId="8" numFmtId="0" xfId="0" applyBorder="1" applyAlignment="1">
      <alignment horizontal="left"/>
    </xf>
    <xf fontId="0" fillId="0" borderId="0" numFmtId="0" xfId="0" applyAlignment="1">
      <alignment horizontal="left"/>
    </xf>
    <xf fontId="3" fillId="0" borderId="0" numFmtId="0" xfId="0" applyFont="1" applyAlignment="1">
      <alignment horizontal="center"/>
    </xf>
    <xf fontId="4" fillId="0" borderId="1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3" fillId="0" borderId="7" numFmtId="0" xfId="0" applyFont="1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left"/>
    </xf>
    <xf fontId="0" fillId="0" borderId="10" numFmtId="0" xfId="0" applyBorder="1" applyAlignment="1">
      <alignment horizontal="left"/>
    </xf>
    <xf fontId="4" fillId="0" borderId="11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3" fillId="0" borderId="9" numFmtId="0" xfId="0" applyFont="1" applyBorder="1" applyAlignment="1">
      <alignment horizontal="center"/>
    </xf>
    <xf fontId="0" fillId="0" borderId="10" numFmtId="0" xfId="0" applyBorder="1" applyAlignment="1">
      <alignment horizontal="center"/>
    </xf>
    <xf fontId="4" fillId="0" borderId="4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0" fillId="0" borderId="13" numFmtId="0" xfId="0" applyBorder="1" applyAlignment="1">
      <alignment horizontal="left"/>
    </xf>
    <xf fontId="0" fillId="0" borderId="14" numFmtId="0" xfId="0" applyBorder="1" applyAlignment="1">
      <alignment horizontal="left"/>
    </xf>
    <xf fontId="3" fillId="0" borderId="13" numFmtId="0" xfId="0" applyFont="1" applyBorder="1" applyAlignment="1">
      <alignment horizontal="center"/>
    </xf>
    <xf fontId="0" fillId="0" borderId="14" numFmtId="0" xfId="0" applyBorder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/>
    </xf>
    <xf fontId="3" fillId="3" borderId="2" numFmtId="0" xfId="0" applyFont="1" applyFill="1" applyBorder="1" applyAlignment="1">
      <alignment horizontal="center" vertical="center"/>
    </xf>
    <xf fontId="3" fillId="3" borderId="3" numFmtId="0" xfId="0" applyFont="1" applyFill="1" applyBorder="1" applyAlignment="1">
      <alignment horizontal="center" vertical="center"/>
    </xf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0" fillId="0" borderId="0" numFmtId="0" xfId="0" applyAlignment="1">
      <alignment vertical="center" wrapText="1"/>
    </xf>
    <xf fontId="3" fillId="0" borderId="4" numFmtId="0" xfId="0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0" fillId="0" borderId="5" numFmtId="0" xfId="0" applyBorder="1" applyAlignment="1">
      <alignment horizontal="center" wrapText="1"/>
    </xf>
    <xf fontId="0" fillId="0" borderId="6" numFmtId="0" xfId="0" applyBorder="1" applyAlignment="1">
      <alignment horizontal="center" vertical="center" wrapText="1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1" applyFont="1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14" xfId="0" applyNumberFormat="1" applyBorder="1" applyAlignment="1">
      <alignment horizontal="center" vertical="center"/>
    </xf>
    <xf fontId="5" fillId="0" borderId="0" numFmtId="14" xfId="0" applyNumberFormat="1" applyFont="1" applyAlignment="1">
      <alignment horizontal="center"/>
    </xf>
    <xf fontId="6" fillId="0" borderId="0" numFmtId="0" xfId="0" applyFont="1"/>
    <xf fontId="0" fillId="0" borderId="0" numFmtId="0" xfId="0" applyAlignment="1">
      <alignment horizontal="left" vertical="center"/>
    </xf>
    <xf fontId="7" fillId="0" borderId="0" numFmtId="49" xfId="0" applyNumberFormat="1" applyFont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 wrapText="1"/>
    </xf>
    <xf fontId="7" fillId="0" borderId="0" numFmtId="0" xfId="0" applyFont="1" applyAlignment="1">
      <alignment horizontal="center" vertical="center" wrapText="1"/>
    </xf>
    <xf fontId="7" fillId="0" borderId="15" numFmtId="49" xfId="0" applyNumberFormat="1" applyFont="1" applyBorder="1" applyAlignment="1">
      <alignment horizontal="center" vertical="center" wrapText="1"/>
    </xf>
    <xf fontId="8" fillId="0" borderId="0" numFmtId="0" xfId="0" applyFont="1" applyAlignment="1">
      <alignment horizontal="center" vertical="center" wrapText="1"/>
    </xf>
    <xf fontId="0" fillId="0" borderId="0" numFmtId="14" xfId="0" applyNumberFormat="1" applyAlignment="1">
      <alignment horizontal="center"/>
    </xf>
    <xf fontId="0" fillId="0" borderId="11" numFmtId="0" xfId="0" applyBorder="1"/>
    <xf fontId="0" fillId="0" borderId="12" numFmtId="0" xfId="0" applyBorder="1"/>
    <xf fontId="5" fillId="0" borderId="0" numFmtId="0" xfId="1" applyFont="1" applyAlignment="1">
      <alignment horizontal="center" vertical="center"/>
    </xf>
    <xf fontId="8" fillId="0" borderId="0" numFmtId="0" xfId="0" applyFont="1" applyAlignment="1">
      <alignment horizontal="center" vertical="center"/>
    </xf>
    <xf fontId="0" fillId="0" borderId="11" numFmtId="49" xfId="0" applyNumberFormat="1" applyBorder="1" applyAlignment="1">
      <alignment horizontal="center"/>
    </xf>
    <xf fontId="0" fillId="0" borderId="12" numFmtId="14" xfId="0" applyNumberFormat="1" applyBorder="1" applyAlignment="1">
      <alignment horizontal="center"/>
    </xf>
    <xf fontId="8" fillId="0" borderId="0" numFmtId="49" xfId="0" applyNumberFormat="1" applyFont="1" applyAlignment="1">
      <alignment horizontal="center" vertical="center"/>
    </xf>
    <xf fontId="0" fillId="0" borderId="11" numFmtId="0" xfId="0" applyBorder="1" applyAlignment="1">
      <alignment horizontal="center"/>
    </xf>
    <xf fontId="0" fillId="0" borderId="0" numFmtId="49" xfId="0" applyNumberFormat="1" applyAlignment="1">
      <alignment horizontal="center"/>
    </xf>
    <xf fontId="0" fillId="0" borderId="12" numFmtId="0" xfId="0" applyBorder="1" applyAlignment="1">
      <alignment horizontal="center"/>
    </xf>
    <xf fontId="0" fillId="0" borderId="11" numFmtId="14" xfId="0" applyNumberFormat="1" applyBorder="1" applyAlignment="1">
      <alignment horizontal="center"/>
    </xf>
    <xf fontId="1" fillId="0" borderId="0" numFmtId="0" xfId="1" applyFont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9" fillId="0" borderId="16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  <xf fontId="4" fillId="0" borderId="0" numFmtId="0" xfId="0" applyFont="1" applyAlignment="1">
      <alignment vertical="center"/>
    </xf>
    <xf fontId="10" fillId="0" borderId="0" numFmtId="0" xfId="0" applyFont="1"/>
    <xf fontId="11" fillId="0" borderId="0" numFmtId="0" xfId="0" applyFont="1"/>
    <xf fontId="11" fillId="0" borderId="0" numFmtId="0" xfId="0" applyFont="1" applyAlignment="1">
      <alignment horizontal="center"/>
    </xf>
    <xf fontId="12" fillId="0" borderId="0" numFmtId="0" xfId="0" applyFont="1"/>
    <xf fontId="13" fillId="0" borderId="0" numFmtId="0" xfId="0" applyFont="1"/>
    <xf fontId="14" fillId="0" borderId="0" numFmtId="0" xfId="0" applyFont="1"/>
    <xf fontId="3" fillId="0" borderId="17" numFmtId="0" xfId="0" applyFont="1" applyBorder="1" applyAlignment="1">
      <alignment horizontal="center"/>
    </xf>
    <xf fontId="3" fillId="0" borderId="18" numFmtId="0" xfId="0" applyFont="1" applyBorder="1" applyAlignment="1">
      <alignment horizontal="center"/>
    </xf>
    <xf fontId="15" fillId="4" borderId="19" numFmtId="0" xfId="0" applyFont="1" applyFill="1" applyBorder="1" applyAlignment="1">
      <alignment horizontal="center" vertical="center" wrapText="1"/>
    </xf>
    <xf fontId="16" fillId="5" borderId="20" numFmtId="0" xfId="0" applyFont="1" applyFill="1" applyBorder="1" applyAlignment="1">
      <alignment horizontal="center" vertical="center" wrapText="1"/>
    </xf>
    <xf fontId="5" fillId="0" borderId="0" numFmtId="14" xfId="0" applyNumberFormat="1" applyFont="1" applyAlignment="1">
      <alignment horizontal="center" vertical="center"/>
    </xf>
    <xf fontId="1" fillId="0" borderId="0" numFmtId="0" xfId="1" applyFont="1" applyAlignment="1">
      <alignment horizontal="center"/>
    </xf>
    <xf fontId="7" fillId="0" borderId="0" numFmtId="0" xfId="0" applyFont="1" applyAlignment="1">
      <alignment horizontal="center"/>
    </xf>
    <xf fontId="7" fillId="0" borderId="0" numFmtId="0" xfId="0" applyFont="1" applyAlignment="1">
      <alignment horizontal="center" vertical="center"/>
    </xf>
    <xf fontId="1" fillId="0" borderId="0" numFmtId="49" xfId="1" applyNumberFormat="1" applyFont="1" applyAlignment="1">
      <alignment horizontal="center" vertical="center"/>
    </xf>
    <xf fontId="0" fillId="0" borderId="0" numFmtId="49" xfId="0" applyNumberFormat="1" applyAlignment="1">
      <alignment horizontal="center" vertical="center"/>
    </xf>
    <xf fontId="8" fillId="0" borderId="0" numFmtId="49" xfId="0" applyNumberFormat="1" applyFont="1" applyAlignment="1">
      <alignment horizontal="center"/>
    </xf>
    <xf fontId="0" fillId="6" borderId="0" numFmtId="0" xfId="0" applyFill="1"/>
    <xf fontId="0" fillId="6" borderId="0" numFmtId="0" xfId="0" applyFill="1" applyAlignment="1">
      <alignment horizontal="center"/>
    </xf>
    <xf fontId="1" fillId="6" borderId="0" numFmtId="0" xfId="1" applyFont="1" applyFill="1" applyAlignment="1">
      <alignment horizontal="center" vertical="center" wrapText="1"/>
    </xf>
    <xf fontId="8" fillId="6" borderId="0" numFmtId="49" xfId="0" applyNumberFormat="1" applyFont="1" applyFill="1" applyAlignment="1">
      <alignment horizontal="center" vertical="center"/>
    </xf>
    <xf fontId="0" fillId="6" borderId="11" numFmtId="0" xfId="0" applyFill="1" applyBorder="1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6" borderId="0" numFmtId="14" xfId="0" applyNumberFormat="1" applyFill="1" applyAlignment="1">
      <alignment horizontal="center"/>
    </xf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10" numFmtId="0" xfId="0" applyBorder="1"/>
    <xf fontId="0" fillId="0" borderId="13" numFmtId="0" xfId="0" applyBorder="1"/>
    <xf fontId="0" fillId="0" borderId="14" numFmtId="0" xfId="0" applyBorder="1"/>
    <xf fontId="0" fillId="0" borderId="21" numFmtId="0" xfId="0" applyBorder="1" applyAlignment="1">
      <alignment horizontal="center" vertical="center" wrapText="1"/>
    </xf>
    <xf fontId="7" fillId="0" borderId="0" numFmtId="49" xfId="0" applyNumberFormat="1" applyFont="1" applyAlignment="1">
      <alignment horizontal="center"/>
    </xf>
    <xf fontId="1" fillId="0" borderId="0" numFmtId="49" xfId="1" applyNumberFormat="1" applyFont="1" applyAlignment="1">
      <alignment horizontal="center"/>
    </xf>
  </cellXfs>
  <cellStyles count="2">
    <cellStyle name="Collegamento ipertestuale" xfId="1" builtinId="8"/>
    <cellStyle name="Normale" xfId="0" builtinId="0"/>
  </cellStyles>
  <dxfs count="21"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numFmt numFmtId="0" formatCode="General"/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alignment horizontal="center" indent="0" readingOrder="0" relativeIndent="0" shrinkToFit="0" textRotation="0" vertical="bottom" wrapText="0"/>
    </dxf>
    <dxf>
      <numFmt numFmtId="0" formatCode="General"/>
    </dxf>
    <dxf>
      <numFmt numFmtId="0" formatCode="General"/>
      <alignment horizontal="center" indent="0" readingOrder="0" relativeIndent="0" shrinkToFit="0" textRotation="0" vertical="bottom" wrapText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5\Arc\CdG%20QUALITA&apos;\1.%20ISO%209001\Capitolo%2006\D%2006.01%20Lista%20fornitori%20materie%20prime%20e%20imballaggi%20valutati_Rev.17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2023"/>
      <sheetName val="2024"/>
      <sheetName val="2025"/>
      <sheetName val="D 06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a2" ref="B11:X346">
  <autoFilter ref="B11:X346"/>
  <tableColumns count="23">
    <tableColumn id="1" name="FORNITORE"/>
    <tableColumn id="2" name="TIPO DI FORNITURA" dataDxfId="0"/>
    <tableColumn id="3" name="INDIRIZZI MAIL" dataDxfId="1"/>
    <tableColumn id="4" name="N. TELEFONO" dataDxfId="2"/>
    <tableColumn id="5" name="Non conformità del periodo" dataDxfId="3"/>
    <tableColumn id="6" name="Valutazione del questionario " dataDxfId="4"/>
    <tableColumn id="7" name="Esito Verifica Ispettiva" dataDxfId="5"/>
    <tableColumn id="8" name="Valutazione" dataDxfId="6"/>
    <tableColumn id="9" name="Livello di rischio" dataDxfId="7"/>
    <tableColumn id="10" name="DATA DELLA VALUTAZIONE"/>
    <tableColumn id="11" name="Non conformità del periodo2"/>
    <tableColumn id="12" name="Valutazione del questionario 2"/>
    <tableColumn id="13" name="Esito Verifica Ispettiva2"/>
    <tableColumn id="14" name="Valutazione2"/>
    <tableColumn id="15" name="Livello di rischio2"/>
    <tableColumn id="16" name="DATA DELLA VALUTAZIONE2"/>
    <tableColumn id="17" name="Scadenza certificato ISO 9001"/>
    <tableColumn id="18" name="Scadenza Certificato ISO 14001"/>
    <tableColumn id="19" name="Scadenza Certificati BRC/IFS"/>
    <tableColumn id="20" name="Scadenza Certificati Global G.A.P. + GRASP"/>
    <tableColumn id="21" name="Scadenza Altri Certificati"/>
    <tableColumn id="22" name="Data di scadenza del Certificato di Conformità Biologica"/>
    <tableColumn id="23" name="Autorizzazione IGP/DOP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la22" ref="B8:R343">
  <autoFilter ref="B8:R343">
    <filterColumn colId="4">
      <customFilters>
        <customFilter operator="notEqual" val=" "/>
      </customFilters>
    </filterColumn>
  </autoFilter>
  <tableColumns count="17">
    <tableColumn id="1" name="FORNITORE"/>
    <tableColumn id="2" name="TIPO DI FORNITURA" dataDxfId="8"/>
    <tableColumn id="3" name="INDIRIZZI MAIL" dataDxfId="9"/>
    <tableColumn id="4" name="N. TELEFONO" dataDxfId="10"/>
    <tableColumn id="5" name="Non conformità del periodo"/>
    <tableColumn id="6" name="Valutazione del questionario "/>
    <tableColumn id="7" name="Esito Verifica Ispettiva"/>
    <tableColumn id="8" name="Valutazione"/>
    <tableColumn id="9" name="Livello di rischio"/>
    <tableColumn id="10" name="DATA DELLA VALUTAZIONE"/>
    <tableColumn id="11" name="Scadenza certificato ISO 9001"/>
    <tableColumn id="12" name="Scadenza Certificato ISO 14001"/>
    <tableColumn id="13" name="Scadenza Certificati BRC/IFS"/>
    <tableColumn id="14" name="Scadenza Certificati Global G.A.P. + GRASP"/>
    <tableColumn id="15" name="Scadenza Altri Certificati"/>
    <tableColumn id="16" name="Data di scadenza del Certificato di Conformità Biologica"/>
    <tableColumn id="17" name="Autorizzazione IGP/DOP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ella224" ref="B12:X355">
  <autoFilter ref="B12:X355">
    <filterColumn colId="4">
      <customFilters>
        <customFilter operator="notEqual" val=" "/>
      </customFilters>
    </filterColumn>
  </autoFilter>
  <tableColumns count="23">
    <tableColumn id="1" name="FORNITORE"/>
    <tableColumn id="2" name="TIPO DI FORNITURA" dataDxfId="11"/>
    <tableColumn id="3" name="INDIRIZZI MAIL" dataDxfId="12"/>
    <tableColumn id="4" name="N. TELEFONO" dataDxfId="13"/>
    <tableColumn id="5" name="Non conformità del periodo"/>
    <tableColumn id="6" name="Valutazione del questionario_x000a_(allergeni, corpi estranei, micorbiologia, chimico/radioattivo)"/>
    <tableColumn id="7" name="Esito Verifica Ispettiva"/>
    <tableColumn id="8" name="Valutazione"/>
    <tableColumn id="9" name="Livello di rischio"/>
    <tableColumn id="10" name="DATA DELLA VALUTAZIONE"/>
    <tableColumn id="11" name="Scadenza certificato ISO 9001"/>
    <tableColumn id="12" name="Scadenza Certificato ISO 14001"/>
    <tableColumn id="13" name="Scadenza Certificati BRC/IFS"/>
    <tableColumn id="14" name="Scadenza Certificati Global G.A.P. + GRASP"/>
    <tableColumn id="15" name="Scadenza Altri Certificati"/>
    <tableColumn id="16" name="Data di scadenza del Certificato di Conformità Biologica"/>
    <tableColumn id="17" name="Autorizzazione IGP/DOP"/>
    <tableColumn id="18" name="Evidenze storiche di contraffazione o adulterazione"/>
    <tableColumn id="19" name="Fattori economici che possano rendere adulterazioni e contraffazioni maggiormente remunerative"/>
    <tableColumn id="20" name="Facilità di accesso alla materie prime lungo la catena di fornitura"/>
    <tableColumn id="21" name="Complessità dei test ordinari per identificare i prodotti adulterati"/>
    <tableColumn id="22" name="Tipologia della materia prima"/>
    <tableColumn id="23" name="TOT." dataDxfId="1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ella2245" ref="B12:AD355">
  <autoFilter ref="B12:AD355"/>
  <tableColumns count="29">
    <tableColumn id="1" name="FORNITORE"/>
    <tableColumn id="2" name="TIPO DI FORNITURA" dataDxfId="15"/>
    <tableColumn id="3" name="INDIRIZZI MAIL" dataDxfId="16"/>
    <tableColumn id="4" name="N. TELEFONO" dataDxfId="17"/>
    <tableColumn id="5" name="Non conformità del periodo"/>
    <tableColumn id="6" name="PERICOLO ALLERGENI_x000a_(da 1 a 4)"/>
    <tableColumn id="7" name="PERICOLO CHIMICO / RADIOATTIVO_x000a_(da 1 a 4)"/>
    <tableColumn id="8" name="PERICOLO CORPI ESTRANEI_x000a_(da 1 a 4)"/>
    <tableColumn id="9" name="PERICOLO MICROBIOLOGICO_x000a_(da 1 a 4)"/>
    <tableColumn id="10" name="RILEVANZA DELLA MATERIA PRIMA SUL PRODOTTO FINITO_x000a_(da 2 a 4)"/>
    <tableColumn id="11" name="Esito Verifica Ispettiva"/>
    <tableColumn id="12" name="VALUTAZIONE (su valore minimo rilevato)_x000a_con food fraud"/>
    <tableColumn id="13" name="CONTEGGI " dataDxfId="18"/>
    <tableColumn id="14" name="Livello di rischio"/>
    <tableColumn id="15" name="DATA DELLA VALUTAZIONE"/>
    <tableColumn id="16" name="Scadenza certificato ISO 9001"/>
    <tableColumn id="17" name="Scadenza Certificato ISO 14001"/>
    <tableColumn id="18" name="Scadenza Certificati BRC/IFS"/>
    <tableColumn id="19" name="Scadenza Certificati Global G.A.P. + GRASP"/>
    <tableColumn id="20" name="Scadenza Altri Certificati"/>
    <tableColumn id="21" name="Data di scadenza del Certificato di Conformità Biologica"/>
    <tableColumn id="22" name="Autorizzazione IGP/DOP"/>
    <tableColumn id="23" name="Evidenze storiche di contraffazione o adulterazione"/>
    <tableColumn id="24" name="Fattori economici che possano rendere adulterazioni e contraffazioni maggiormente remunerative"/>
    <tableColumn id="25" name="Facilità di accesso alla materie prime lungo la catena di fornitura"/>
    <tableColumn id="26" name="Complessità dei test ordinari per identificare i prodotti adulterati"/>
    <tableColumn id="27" name="Tipologia della materia prima"/>
    <tableColumn id="28" name="TOT." dataDxfId="19"/>
    <tableColumn id="29" name="TOT. _x000a_(DA 1 a 4)" dataDxfId="20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agrotrade@virgilio.it" TargetMode="External"/><Relationship  Id="rId10" Type="http://schemas.openxmlformats.org/officeDocument/2006/relationships/hyperlink" Target="mailto:controllo.qualita@rifrasrl.eu" TargetMode="External"/><Relationship  Id="rId11" Type="http://schemas.openxmlformats.org/officeDocument/2006/relationships/table" Target="../tables/table1.xml"/><Relationship  Id="rId2" Type="http://schemas.openxmlformats.org/officeDocument/2006/relationships/hyperlink" Target="mailto:info@azcaniglia.it" TargetMode="External"/><Relationship  Id="rId3" Type="http://schemas.openxmlformats.org/officeDocument/2006/relationships/hyperlink" Target="mailto:fruttadocsrl@gmail.com" TargetMode="External"/><Relationship  Id="rId4" Type="http://schemas.openxmlformats.org/officeDocument/2006/relationships/hyperlink" Target="mailto:info@consorzioapam.it" TargetMode="External"/><Relationship  Id="rId5" Type="http://schemas.openxmlformats.org/officeDocument/2006/relationships/hyperlink" Target="mailto:INFO@OPESPERIDIO.EU" TargetMode="External"/><Relationship  Id="rId6" Type="http://schemas.openxmlformats.org/officeDocument/2006/relationships/hyperlink" Target="mailto:info@colleroni.it" TargetMode="External"/><Relationship  Id="rId7" Type="http://schemas.openxmlformats.org/officeDocument/2006/relationships/hyperlink" Target="mailto:redorangesrls@gmail.com" TargetMode="External"/><Relationship  Id="rId8" Type="http://schemas.openxmlformats.org/officeDocument/2006/relationships/hyperlink" Target="mailto:contenitori_vendite@casone.it" TargetMode="External"/><Relationship  Id="rId9" Type="http://schemas.openxmlformats.org/officeDocument/2006/relationships/hyperlink" Target="mailto:rapportidiprova@sialabsrl.it%20/%200931%20564220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mailto:agrotrade@virgilio.it" TargetMode="External"/><Relationship  Id="rId10" Type="http://schemas.openxmlformats.org/officeDocument/2006/relationships/hyperlink" Target="mailto:controllo.qualita@rifrasrl.eu" TargetMode="External"/><Relationship  Id="rId11" Type="http://schemas.openxmlformats.org/officeDocument/2006/relationships/table" Target="../tables/table2.xml"/><Relationship  Id="rId2" Type="http://schemas.openxmlformats.org/officeDocument/2006/relationships/hyperlink" Target="mailto:info@azcaniglia.it" TargetMode="External"/><Relationship  Id="rId3" Type="http://schemas.openxmlformats.org/officeDocument/2006/relationships/hyperlink" Target="mailto:fruttadocsrl@gmail.com" TargetMode="External"/><Relationship  Id="rId4" Type="http://schemas.openxmlformats.org/officeDocument/2006/relationships/hyperlink" Target="mailto:info@consorzioapam.it" TargetMode="External"/><Relationship  Id="rId5" Type="http://schemas.openxmlformats.org/officeDocument/2006/relationships/hyperlink" Target="mailto:INFO@OPESPERIDIO.EU" TargetMode="External"/><Relationship  Id="rId6" Type="http://schemas.openxmlformats.org/officeDocument/2006/relationships/hyperlink" Target="mailto:info@colleroni.it" TargetMode="External"/><Relationship  Id="rId7" Type="http://schemas.openxmlformats.org/officeDocument/2006/relationships/hyperlink" Target="mailto:redorangesrls@gmail.com" TargetMode="External"/><Relationship  Id="rId8" Type="http://schemas.openxmlformats.org/officeDocument/2006/relationships/hyperlink" Target="mailto:contenitori_vendite@casone.it" TargetMode="External"/><Relationship  Id="rId9" Type="http://schemas.openxmlformats.org/officeDocument/2006/relationships/hyperlink" Target="mailto:rapportidiprova@sialabsrl.it%20/%200931%20564220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mailto:agrotrade@virgilio.it" TargetMode="External"/><Relationship  Id="rId10" Type="http://schemas.openxmlformats.org/officeDocument/2006/relationships/hyperlink" Target="mailto:controllo.qualita@rifrasrl.eu" TargetMode="External"/><Relationship  Id="rId11" Type="http://schemas.openxmlformats.org/officeDocument/2006/relationships/table" Target="../tables/table3.xml"/><Relationship  Id="rId2" Type="http://schemas.openxmlformats.org/officeDocument/2006/relationships/hyperlink" Target="mailto:info@azcaniglia.it" TargetMode="External"/><Relationship  Id="rId3" Type="http://schemas.openxmlformats.org/officeDocument/2006/relationships/hyperlink" Target="mailto:luis@barbara-international.com" TargetMode="External"/><Relationship  Id="rId4" Type="http://schemas.openxmlformats.org/officeDocument/2006/relationships/hyperlink" Target="mailto:fruttadocsrl@gmail.com" TargetMode="External"/><Relationship  Id="rId5" Type="http://schemas.openxmlformats.org/officeDocument/2006/relationships/hyperlink" Target="mailto:info@consorzioapam.it" TargetMode="External"/><Relationship  Id="rId6" Type="http://schemas.openxmlformats.org/officeDocument/2006/relationships/hyperlink" Target="mailto:INFO@OPESPERIDIO.EU" TargetMode="External"/><Relationship  Id="rId7" Type="http://schemas.openxmlformats.org/officeDocument/2006/relationships/hyperlink" Target="mailto:info@colleroni.it" TargetMode="External"/><Relationship  Id="rId8" Type="http://schemas.openxmlformats.org/officeDocument/2006/relationships/hyperlink" Target="mailto:contenitori_vendite@casone.it" TargetMode="External"/><Relationship  Id="rId9" Type="http://schemas.openxmlformats.org/officeDocument/2006/relationships/hyperlink" Target="mailto:arredamentigiuttari@live.it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mailto:agrotrade@virgilio.it" TargetMode="External"/><Relationship  Id="rId10" Type="http://schemas.openxmlformats.org/officeDocument/2006/relationships/hyperlink" Target="mailto:contenitori_vendite@casone.it" TargetMode="External"/><Relationship  Id="rId11" Type="http://schemas.openxmlformats.org/officeDocument/2006/relationships/hyperlink" Target="mailto:info@pro-gestspa.it" TargetMode="External"/><Relationship  Id="rId12" Type="http://schemas.openxmlformats.org/officeDocument/2006/relationships/hyperlink" Target="mailto:arredamentigiuttari@live.it" TargetMode="External"/><Relationship  Id="rId13" Type="http://schemas.openxmlformats.org/officeDocument/2006/relationships/table" Target="../tables/table4.xml"/><Relationship  Id="rId2" Type="http://schemas.openxmlformats.org/officeDocument/2006/relationships/hyperlink" Target="mailto:info@azcaniglia.it" TargetMode="External"/><Relationship  Id="rId3" Type="http://schemas.openxmlformats.org/officeDocument/2006/relationships/hyperlink" Target="mailto:luis@barbara-international.com" TargetMode="External"/><Relationship  Id="rId4" Type="http://schemas.openxmlformats.org/officeDocument/2006/relationships/hyperlink" Target="mailto:fruttadocsrl@gmail.com" TargetMode="External"/><Relationship  Id="rId5" Type="http://schemas.openxmlformats.org/officeDocument/2006/relationships/hyperlink" Target="mailto:zagara@zagara.com" TargetMode="External"/><Relationship  Id="rId6" Type="http://schemas.openxmlformats.org/officeDocument/2006/relationships/hyperlink" Target="mailto:info@consorzioapam.it" TargetMode="External"/><Relationship  Id="rId7" Type="http://schemas.openxmlformats.org/officeDocument/2006/relationships/hyperlink" Target="mailto:INFO@OPESPERIDIO.EU" TargetMode="External"/><Relationship  Id="rId8" Type="http://schemas.openxmlformats.org/officeDocument/2006/relationships/hyperlink" Target="mailto:info@colleroni.it" TargetMode="External"/><Relationship  Id="rId9" Type="http://schemas.openxmlformats.org/officeDocument/2006/relationships/hyperlink" Target="mailto:caniglia.gius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1">
    <outlinePr applyStyles="0" summaryBelow="1" summaryRight="1" showOutlineSymbols="1"/>
    <pageSetUpPr autoPageBreaks="1" fitToPage="1"/>
  </sheetPr>
  <sheetViews>
    <sheetView topLeftCell="A10" zoomScale="70" workbookViewId="0">
      <selection activeCell="B51" activeCellId="0" sqref="B51"/>
    </sheetView>
  </sheetViews>
  <sheetFormatPr defaultRowHeight="14.4"/>
  <cols>
    <col bestFit="1" customWidth="1" min="2" max="2" width="51"/>
    <col bestFit="1" customWidth="1" min="3" max="3" style="1" width="27.44140625"/>
    <col customWidth="1" min="4" max="4" style="1" width="73.5546875"/>
    <col customWidth="1" min="5" max="5" style="1" width="20"/>
    <col customWidth="1" min="6" max="6" width="17"/>
    <col customWidth="1" min="7" max="7" width="16.5546875"/>
    <col customWidth="1" min="8" max="8" width="12.6640625"/>
    <col bestFit="1" customWidth="1" min="9" max="9" width="15"/>
    <col bestFit="1" customWidth="1" min="10" max="10" width="20"/>
    <col customWidth="1" min="11" max="12" width="16.44140625"/>
    <col customWidth="1" min="13" max="13" width="15.44140625"/>
    <col customWidth="1" min="14" max="14" width="13"/>
    <col bestFit="1" customWidth="1" min="15" max="15" width="18.88671875"/>
    <col customWidth="1" min="16" max="16" width="14.5546875"/>
    <col customWidth="1" min="17" max="17" width="15.5546875"/>
    <col bestFit="1" customWidth="1" min="18" max="18" width="20.33203125"/>
    <col customWidth="1" min="19" max="19" width="13.33203125"/>
    <col bestFit="1" customWidth="1" min="20" max="20" width="20.33203125"/>
    <col customWidth="1" min="21" max="21" width="27.5546875"/>
    <col customWidth="1" min="22" max="22" width="30.109375"/>
    <col customWidth="1" min="23" max="23" width="20.5546875"/>
    <col customWidth="1" min="24" max="24" width="14.44140625"/>
  </cols>
  <sheetData>
    <row r="1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5">
      <c r="B2" s="5"/>
      <c r="C2" s="6"/>
      <c r="D2" s="6"/>
      <c r="E2" s="6"/>
      <c r="F2" s="6"/>
      <c r="G2" s="6"/>
      <c r="H2" s="6"/>
      <c r="I2" s="6"/>
      <c r="J2" s="7"/>
    </row>
    <row r="3" ht="15">
      <c r="B3" s="8"/>
      <c r="C3" s="8"/>
      <c r="D3" s="8"/>
      <c r="E3" s="8"/>
      <c r="F3" s="8"/>
      <c r="G3" s="8"/>
      <c r="H3" s="8"/>
      <c r="I3" s="8"/>
      <c r="J3" s="8"/>
    </row>
    <row r="4">
      <c r="B4" s="9" t="s">
        <v>1</v>
      </c>
      <c r="C4" s="10"/>
      <c r="D4" s="11"/>
      <c r="E4" s="11"/>
      <c r="F4" s="12"/>
      <c r="G4" s="13" t="s">
        <v>2</v>
      </c>
      <c r="H4" s="14"/>
      <c r="I4" s="1"/>
      <c r="J4" s="15">
        <v>4</v>
      </c>
      <c r="K4" s="16" t="s">
        <v>3</v>
      </c>
    </row>
    <row r="5">
      <c r="B5" s="17" t="s">
        <v>4</v>
      </c>
      <c r="C5" s="18"/>
      <c r="D5" s="11"/>
      <c r="E5" s="11"/>
      <c r="F5" s="12"/>
      <c r="G5" s="19"/>
      <c r="H5" s="20"/>
      <c r="I5" s="1"/>
      <c r="J5" s="21">
        <v>3</v>
      </c>
      <c r="K5" s="22" t="s">
        <v>5</v>
      </c>
    </row>
    <row r="6" ht="15">
      <c r="B6" s="17" t="s">
        <v>6</v>
      </c>
      <c r="C6" s="18"/>
      <c r="D6" s="11"/>
      <c r="E6" s="11"/>
      <c r="F6" s="12"/>
      <c r="G6" s="23"/>
      <c r="H6" s="24"/>
      <c r="I6" s="1"/>
      <c r="J6" s="21">
        <v>2</v>
      </c>
      <c r="K6" s="22" t="s">
        <v>7</v>
      </c>
    </row>
    <row r="7">
      <c r="B7" s="25" t="s">
        <v>8</v>
      </c>
      <c r="C7" s="26"/>
      <c r="D7" s="11"/>
      <c r="E7" s="11"/>
      <c r="F7" s="12"/>
      <c r="G7" s="1"/>
      <c r="H7" s="1"/>
      <c r="I7" s="1"/>
      <c r="J7" s="27">
        <v>1</v>
      </c>
      <c r="K7" s="28" t="s">
        <v>9</v>
      </c>
    </row>
    <row r="8">
      <c r="B8" s="1"/>
      <c r="F8" s="12"/>
      <c r="G8" s="1"/>
      <c r="H8" s="1"/>
      <c r="I8" s="1"/>
      <c r="J8" s="1"/>
    </row>
    <row r="9" s="12" customFormat="1" ht="15"/>
    <row r="10" s="12" customFormat="1">
      <c r="F10" s="29" t="s">
        <v>10</v>
      </c>
      <c r="G10" s="30"/>
      <c r="H10" s="30"/>
      <c r="I10" s="30"/>
      <c r="J10" s="30"/>
      <c r="K10" s="30"/>
      <c r="L10" s="31" t="s">
        <v>11</v>
      </c>
      <c r="M10" s="32"/>
      <c r="N10" s="32"/>
      <c r="O10" s="32"/>
      <c r="P10" s="32"/>
      <c r="Q10" s="33"/>
      <c r="R10" s="34" t="s">
        <v>12</v>
      </c>
      <c r="S10" s="34"/>
      <c r="T10" s="34"/>
      <c r="U10" s="34"/>
      <c r="V10" s="34"/>
      <c r="W10" s="34"/>
      <c r="X10" s="35"/>
    </row>
    <row r="11" s="36" customFormat="1" ht="75.75" customHeight="1">
      <c r="B11" s="37" t="s">
        <v>13</v>
      </c>
      <c r="C11" s="38" t="s">
        <v>14</v>
      </c>
      <c r="D11" s="38" t="s">
        <v>15</v>
      </c>
      <c r="E11" s="38" t="s">
        <v>16</v>
      </c>
      <c r="F11" s="39" t="s">
        <v>17</v>
      </c>
      <c r="G11" s="38" t="s">
        <v>18</v>
      </c>
      <c r="H11" s="38" t="s">
        <v>19</v>
      </c>
      <c r="I11" s="38" t="s">
        <v>20</v>
      </c>
      <c r="J11" s="38" t="s">
        <v>21</v>
      </c>
      <c r="K11" s="38" t="s">
        <v>22</v>
      </c>
      <c r="L11" s="39" t="s">
        <v>23</v>
      </c>
      <c r="M11" s="38" t="s">
        <v>24</v>
      </c>
      <c r="N11" s="38" t="s">
        <v>25</v>
      </c>
      <c r="O11" s="38" t="s">
        <v>26</v>
      </c>
      <c r="P11" s="38" t="s">
        <v>27</v>
      </c>
      <c r="Q11" s="40" t="s">
        <v>28</v>
      </c>
      <c r="R11" s="41" t="s">
        <v>29</v>
      </c>
      <c r="S11" s="41" t="s">
        <v>30</v>
      </c>
      <c r="T11" s="41" t="s">
        <v>31</v>
      </c>
      <c r="U11" s="41" t="s">
        <v>32</v>
      </c>
      <c r="V11" s="41" t="s">
        <v>33</v>
      </c>
      <c r="W11" s="42" t="s">
        <v>34</v>
      </c>
      <c r="X11" s="43" t="s">
        <v>35</v>
      </c>
    </row>
    <row r="12" ht="19.949999999999999" customHeight="1">
      <c r="B12" s="44" t="s">
        <v>36</v>
      </c>
      <c r="C12" s="45" t="s">
        <v>37</v>
      </c>
      <c r="D12" s="46" t="s">
        <v>38</v>
      </c>
      <c r="E12" s="46"/>
      <c r="F12" s="45">
        <v>0</v>
      </c>
      <c r="G12" s="45">
        <v>3</v>
      </c>
      <c r="H12" s="45" t="s">
        <v>39</v>
      </c>
      <c r="I12" s="45">
        <v>3</v>
      </c>
      <c r="J12" s="45" t="s">
        <v>40</v>
      </c>
      <c r="K12" s="47">
        <v>44694</v>
      </c>
      <c r="L12" s="48">
        <v>0</v>
      </c>
      <c r="M12" s="45">
        <v>3</v>
      </c>
      <c r="N12" s="45" t="s">
        <v>39</v>
      </c>
      <c r="O12" s="45">
        <v>3</v>
      </c>
      <c r="P12" s="45" t="s">
        <v>40</v>
      </c>
      <c r="Q12" s="49">
        <v>44805</v>
      </c>
      <c r="R12" s="45"/>
      <c r="S12" s="45"/>
      <c r="T12" s="45"/>
      <c r="U12" s="45"/>
      <c r="V12" s="45"/>
      <c r="W12" s="50">
        <v>45890</v>
      </c>
      <c r="Y12" s="51"/>
      <c r="Z12" s="51"/>
      <c r="AA12" s="51"/>
    </row>
    <row r="13" s="45" customFormat="1" ht="20.25" customHeight="1">
      <c r="B13" s="52" t="s">
        <v>41</v>
      </c>
      <c r="C13" s="45" t="s">
        <v>37</v>
      </c>
      <c r="D13" s="46" t="s">
        <v>42</v>
      </c>
      <c r="E13" s="53" t="s">
        <v>43</v>
      </c>
      <c r="L13" s="48">
        <v>0</v>
      </c>
      <c r="M13" s="45">
        <v>3</v>
      </c>
      <c r="N13" s="45" t="s">
        <v>39</v>
      </c>
      <c r="O13" s="45">
        <v>3</v>
      </c>
      <c r="P13" s="45" t="s">
        <v>40</v>
      </c>
      <c r="Q13" s="49">
        <v>44834</v>
      </c>
      <c r="U13" s="47">
        <v>44916</v>
      </c>
      <c r="V13" s="54" t="s">
        <v>44</v>
      </c>
      <c r="W13" s="47">
        <v>45228</v>
      </c>
    </row>
    <row r="14" s="45" customFormat="1" ht="19.949999999999999" customHeight="1">
      <c r="B14" s="52" t="s">
        <v>45</v>
      </c>
      <c r="C14" s="45" t="s">
        <v>46</v>
      </c>
      <c r="D14" s="55" t="s">
        <v>47</v>
      </c>
      <c r="E14" s="56">
        <v>3285363451</v>
      </c>
      <c r="F14" s="45">
        <v>0</v>
      </c>
      <c r="G14" s="45">
        <v>3</v>
      </c>
      <c r="H14" s="45" t="s">
        <v>39</v>
      </c>
      <c r="I14" s="45">
        <v>3</v>
      </c>
      <c r="J14" s="45" t="s">
        <v>40</v>
      </c>
      <c r="K14" s="47">
        <v>44571</v>
      </c>
      <c r="L14" s="48">
        <v>0</v>
      </c>
      <c r="M14" s="45">
        <v>3</v>
      </c>
      <c r="N14" s="45" t="s">
        <v>39</v>
      </c>
      <c r="O14" s="45">
        <v>3</v>
      </c>
      <c r="P14" s="45" t="s">
        <v>40</v>
      </c>
      <c r="Q14" s="49">
        <v>44819</v>
      </c>
    </row>
    <row r="15" ht="24" customHeight="1">
      <c r="B15" s="52" t="s">
        <v>48</v>
      </c>
      <c r="C15" s="45" t="s">
        <v>37</v>
      </c>
      <c r="D15" s="46" t="s">
        <v>49</v>
      </c>
      <c r="E15" s="57" t="s">
        <v>50</v>
      </c>
      <c r="F15" s="45"/>
      <c r="G15" s="45"/>
      <c r="H15" s="45"/>
      <c r="I15" s="45"/>
      <c r="J15" s="45"/>
      <c r="K15" s="44"/>
      <c r="L15" s="48">
        <v>0</v>
      </c>
      <c r="M15" s="45">
        <v>4</v>
      </c>
      <c r="N15" s="45" t="s">
        <v>39</v>
      </c>
      <c r="O15" s="45">
        <v>4</v>
      </c>
      <c r="P15" s="45" t="s">
        <v>40</v>
      </c>
      <c r="Q15" s="49">
        <v>44846</v>
      </c>
      <c r="R15" s="47">
        <v>45764</v>
      </c>
      <c r="S15" s="45"/>
      <c r="T15" s="58" t="s">
        <v>51</v>
      </c>
      <c r="U15" s="47">
        <v>44970</v>
      </c>
      <c r="V15" s="55" t="s">
        <v>52</v>
      </c>
      <c r="W15" s="47">
        <v>45694</v>
      </c>
      <c r="X15" s="45"/>
      <c r="Y15" s="45"/>
    </row>
    <row r="16" ht="19.949999999999999" customHeight="1">
      <c r="B16" s="44" t="s">
        <v>53</v>
      </c>
      <c r="C16" s="45" t="s">
        <v>37</v>
      </c>
      <c r="D16" s="46" t="s">
        <v>54</v>
      </c>
      <c r="E16" s="53">
        <v>3467458611</v>
      </c>
      <c r="F16" s="45">
        <v>0</v>
      </c>
      <c r="G16" s="45">
        <v>3</v>
      </c>
      <c r="H16" s="45" t="s">
        <v>39</v>
      </c>
      <c r="I16" s="45">
        <v>3</v>
      </c>
      <c r="J16" s="45" t="s">
        <v>40</v>
      </c>
      <c r="K16" s="47">
        <v>44571</v>
      </c>
      <c r="L16" s="48">
        <v>0</v>
      </c>
      <c r="M16" s="45">
        <v>3</v>
      </c>
      <c r="N16" s="45" t="s">
        <v>39</v>
      </c>
      <c r="O16" s="45">
        <v>3</v>
      </c>
      <c r="P16" s="45" t="s">
        <v>40</v>
      </c>
      <c r="Q16" s="49">
        <v>44909</v>
      </c>
      <c r="W16" s="59">
        <v>45849</v>
      </c>
    </row>
    <row r="17" s="45" customFormat="1" ht="26.399999999999999" customHeight="1">
      <c r="B17" s="52" t="s">
        <v>55</v>
      </c>
      <c r="C17" s="45" t="s">
        <v>37</v>
      </c>
      <c r="D17" s="46" t="s">
        <v>56</v>
      </c>
      <c r="E17" s="53" t="s">
        <v>57</v>
      </c>
      <c r="F17" s="45">
        <v>0</v>
      </c>
      <c r="G17" s="45">
        <v>4</v>
      </c>
      <c r="H17" s="45" t="s">
        <v>39</v>
      </c>
      <c r="I17" s="45">
        <v>4</v>
      </c>
      <c r="J17" s="45" t="s">
        <v>40</v>
      </c>
      <c r="K17" s="47">
        <v>44571</v>
      </c>
      <c r="L17" s="48">
        <v>0</v>
      </c>
      <c r="M17" s="45">
        <v>4</v>
      </c>
      <c r="N17" s="55" t="s">
        <v>39</v>
      </c>
      <c r="O17" s="55">
        <v>4</v>
      </c>
      <c r="P17" s="45" t="s">
        <v>40</v>
      </c>
      <c r="Q17" s="49">
        <v>44823</v>
      </c>
      <c r="R17" s="47">
        <v>45722</v>
      </c>
      <c r="T17" s="55" t="s">
        <v>58</v>
      </c>
      <c r="U17" s="47">
        <v>45090</v>
      </c>
      <c r="V17" s="55" t="s">
        <v>59</v>
      </c>
      <c r="W17" s="47">
        <v>45606</v>
      </c>
      <c r="X17" s="45" t="s">
        <v>60</v>
      </c>
    </row>
    <row r="18" s="45" customFormat="1" ht="19.949999999999999" customHeight="1">
      <c r="B18" s="52" t="s">
        <v>61</v>
      </c>
      <c r="C18" s="45" t="s">
        <v>37</v>
      </c>
      <c r="D18" s="46" t="s">
        <v>62</v>
      </c>
      <c r="E18" s="46"/>
      <c r="L18" s="48">
        <v>0</v>
      </c>
      <c r="M18" s="45">
        <v>3</v>
      </c>
      <c r="N18" s="45" t="s">
        <v>39</v>
      </c>
      <c r="O18" s="45">
        <v>3</v>
      </c>
      <c r="P18" s="45" t="s">
        <v>40</v>
      </c>
      <c r="Q18" s="49">
        <v>44820</v>
      </c>
      <c r="T18" s="45" t="s">
        <v>63</v>
      </c>
      <c r="U18" s="47">
        <v>44939</v>
      </c>
      <c r="W18" s="47">
        <v>45231</v>
      </c>
    </row>
    <row r="19" s="45" customFormat="1" ht="19.949999999999999" customHeight="1">
      <c r="B19" s="52" t="s">
        <v>64</v>
      </c>
      <c r="C19" s="45" t="s">
        <v>46</v>
      </c>
      <c r="D19" s="46" t="s">
        <v>65</v>
      </c>
      <c r="E19" s="46"/>
      <c r="F19" s="45">
        <v>0</v>
      </c>
      <c r="G19" s="45">
        <v>3</v>
      </c>
      <c r="H19" s="45" t="s">
        <v>39</v>
      </c>
      <c r="I19" s="45">
        <v>3</v>
      </c>
      <c r="J19" s="45" t="s">
        <v>40</v>
      </c>
      <c r="K19" s="47">
        <v>44571</v>
      </c>
      <c r="L19" s="48">
        <v>0</v>
      </c>
      <c r="M19" s="45">
        <v>3</v>
      </c>
      <c r="N19" s="45" t="s">
        <v>39</v>
      </c>
      <c r="O19" s="45">
        <v>3</v>
      </c>
      <c r="P19" s="47" t="s">
        <v>40</v>
      </c>
      <c r="Q19" s="49">
        <v>44823</v>
      </c>
      <c r="U19" s="55" t="s">
        <v>66</v>
      </c>
      <c r="W19" s="47">
        <v>44903</v>
      </c>
    </row>
    <row r="20" ht="19.949999999999999" customHeight="1">
      <c r="B20" s="44" t="s">
        <v>67</v>
      </c>
      <c r="C20" s="45" t="s">
        <v>37</v>
      </c>
      <c r="D20" s="45" t="s">
        <v>68</v>
      </c>
      <c r="E20" s="53">
        <v>3459056126</v>
      </c>
      <c r="F20" s="45"/>
      <c r="G20" s="45"/>
      <c r="H20" s="45"/>
      <c r="I20" s="45"/>
      <c r="J20" s="45"/>
      <c r="K20" s="44"/>
      <c r="L20" s="60"/>
      <c r="Q20" s="61"/>
    </row>
    <row r="21" ht="19.949999999999999" customHeight="1">
      <c r="B21" s="36" t="s">
        <v>69</v>
      </c>
      <c r="C21" s="45" t="s">
        <v>70</v>
      </c>
      <c r="D21" s="46" t="s">
        <v>71</v>
      </c>
      <c r="E21" s="62">
        <v>3387930897</v>
      </c>
      <c r="F21" s="45"/>
      <c r="G21" s="45"/>
      <c r="H21" s="45"/>
      <c r="I21" s="45"/>
      <c r="J21" s="45"/>
      <c r="K21" s="44"/>
      <c r="L21" s="60"/>
      <c r="Q21" s="61"/>
    </row>
    <row r="22" s="45" customFormat="1" ht="19.949999999999999" customHeight="1">
      <c r="B22" s="52" t="s">
        <v>72</v>
      </c>
      <c r="C22" s="45" t="s">
        <v>37</v>
      </c>
      <c r="D22" s="45" t="s">
        <v>73</v>
      </c>
      <c r="L22" s="48">
        <v>0</v>
      </c>
      <c r="M22" s="45">
        <v>3</v>
      </c>
      <c r="N22" s="45" t="s">
        <v>39</v>
      </c>
      <c r="O22" s="45">
        <v>3</v>
      </c>
      <c r="P22" s="45" t="s">
        <v>40</v>
      </c>
      <c r="Q22" s="49">
        <v>44842</v>
      </c>
      <c r="W22" s="47">
        <v>45347</v>
      </c>
    </row>
    <row r="23" ht="19.949999999999999" customHeight="1">
      <c r="B23" s="44" t="s">
        <v>74</v>
      </c>
      <c r="C23" s="45" t="s">
        <v>75</v>
      </c>
      <c r="D23" s="45" t="s">
        <v>76</v>
      </c>
      <c r="E23" s="63" t="s">
        <v>77</v>
      </c>
      <c r="F23" s="45">
        <v>0</v>
      </c>
      <c r="G23" s="45">
        <v>4</v>
      </c>
      <c r="H23" s="45" t="s">
        <v>39</v>
      </c>
      <c r="I23" s="45">
        <v>4</v>
      </c>
      <c r="J23" s="45" t="s">
        <v>40</v>
      </c>
      <c r="K23" s="47">
        <v>44571</v>
      </c>
      <c r="L23" s="64">
        <v>0</v>
      </c>
      <c r="M23" s="1">
        <v>4</v>
      </c>
      <c r="N23" s="1" t="s">
        <v>39</v>
      </c>
      <c r="O23" s="1">
        <v>4</v>
      </c>
      <c r="P23" s="1" t="s">
        <v>40</v>
      </c>
      <c r="Q23" s="65">
        <v>44806</v>
      </c>
      <c r="R23" s="59">
        <v>45510</v>
      </c>
      <c r="S23" s="1"/>
      <c r="T23" s="1"/>
      <c r="U23" s="1"/>
      <c r="V23" s="1" t="s">
        <v>78</v>
      </c>
      <c r="W23" s="59">
        <v>45747</v>
      </c>
      <c r="X23" s="1"/>
      <c r="Y23" s="44"/>
    </row>
    <row r="24" ht="19.949999999999999" customHeight="1">
      <c r="B24" s="44" t="s">
        <v>79</v>
      </c>
      <c r="C24" s="45" t="s">
        <v>80</v>
      </c>
      <c r="D24" s="46" t="s">
        <v>81</v>
      </c>
      <c r="E24" s="66" t="s">
        <v>82</v>
      </c>
      <c r="F24" s="45">
        <v>0</v>
      </c>
      <c r="G24" s="45">
        <v>3</v>
      </c>
      <c r="H24" s="45" t="s">
        <v>39</v>
      </c>
      <c r="I24" s="45">
        <v>3</v>
      </c>
      <c r="J24" s="45" t="s">
        <v>40</v>
      </c>
      <c r="K24" s="47">
        <v>44571</v>
      </c>
      <c r="L24" s="64">
        <v>0</v>
      </c>
      <c r="M24" s="1">
        <v>3</v>
      </c>
      <c r="N24" s="1" t="s">
        <v>39</v>
      </c>
      <c r="O24" s="1">
        <v>3</v>
      </c>
      <c r="P24" s="1" t="s">
        <v>40</v>
      </c>
      <c r="Q24" s="65">
        <v>44806</v>
      </c>
      <c r="R24" s="59">
        <v>45447</v>
      </c>
      <c r="S24" s="1"/>
      <c r="T24" s="1"/>
      <c r="U24" s="1"/>
      <c r="V24" s="1" t="s">
        <v>83</v>
      </c>
      <c r="W24" s="1"/>
      <c r="X24" s="1"/>
      <c r="Y24" s="44"/>
    </row>
    <row r="25" ht="19.949999999999999" customHeight="1">
      <c r="B25" s="44" t="s">
        <v>84</v>
      </c>
      <c r="C25" s="45" t="s">
        <v>80</v>
      </c>
      <c r="D25" s="45" t="s">
        <v>85</v>
      </c>
      <c r="E25" s="66" t="s">
        <v>86</v>
      </c>
      <c r="F25" s="45"/>
      <c r="G25" s="45"/>
      <c r="H25" s="45"/>
      <c r="I25" s="45"/>
      <c r="J25" s="45"/>
      <c r="K25" s="44"/>
      <c r="L25" s="67">
        <v>0</v>
      </c>
      <c r="M25" s="1">
        <v>3</v>
      </c>
      <c r="N25" s="1" t="s">
        <v>39</v>
      </c>
      <c r="O25" s="1">
        <v>3</v>
      </c>
      <c r="P25" s="1" t="s">
        <v>40</v>
      </c>
      <c r="Q25" s="65">
        <v>44820</v>
      </c>
      <c r="R25" s="59">
        <v>45099</v>
      </c>
      <c r="S25" s="1"/>
      <c r="T25" s="1"/>
      <c r="U25" s="1"/>
      <c r="V25" s="1"/>
      <c r="W25" s="1"/>
      <c r="X25" s="1"/>
      <c r="Y25" s="44"/>
    </row>
    <row r="26" ht="19.949999999999999" customHeight="1">
      <c r="B26" s="52" t="s">
        <v>87</v>
      </c>
      <c r="C26" s="45" t="s">
        <v>80</v>
      </c>
      <c r="D26" s="45" t="s">
        <v>88</v>
      </c>
      <c r="E26" s="66" t="s">
        <v>89</v>
      </c>
      <c r="F26" s="45"/>
      <c r="G26" s="45"/>
      <c r="H26" s="45"/>
      <c r="I26" s="45"/>
      <c r="J26" s="45"/>
      <c r="K26" s="44"/>
      <c r="L26" s="48">
        <v>0</v>
      </c>
      <c r="M26" s="45">
        <v>3</v>
      </c>
      <c r="N26" s="45" t="s">
        <v>39</v>
      </c>
      <c r="O26" s="45">
        <v>3</v>
      </c>
      <c r="P26" s="45" t="s">
        <v>40</v>
      </c>
      <c r="Q26" s="49">
        <v>44812</v>
      </c>
      <c r="R26" s="47">
        <v>45271</v>
      </c>
      <c r="S26" s="45"/>
      <c r="T26" s="45" t="s">
        <v>90</v>
      </c>
      <c r="U26" s="45"/>
      <c r="V26" s="55" t="s">
        <v>91</v>
      </c>
      <c r="W26" s="1"/>
      <c r="X26" s="1"/>
      <c r="Y26" s="44"/>
    </row>
    <row r="27" ht="19.949999999999999" customHeight="1">
      <c r="B27" s="52" t="s">
        <v>92</v>
      </c>
      <c r="C27" s="45" t="s">
        <v>80</v>
      </c>
      <c r="D27" s="45" t="s">
        <v>93</v>
      </c>
      <c r="E27" s="66" t="s">
        <v>94</v>
      </c>
      <c r="F27" s="45"/>
      <c r="G27" s="45"/>
      <c r="H27" s="45"/>
      <c r="I27" s="45"/>
      <c r="J27" s="45"/>
      <c r="K27" s="44"/>
      <c r="L27" s="48">
        <v>0</v>
      </c>
      <c r="M27" s="45">
        <v>3</v>
      </c>
      <c r="N27" s="45" t="s">
        <v>39</v>
      </c>
      <c r="O27" s="45">
        <v>3</v>
      </c>
      <c r="P27" s="45" t="s">
        <v>40</v>
      </c>
      <c r="Q27" s="49">
        <v>44810</v>
      </c>
      <c r="R27" s="47">
        <v>45635</v>
      </c>
      <c r="S27" s="47">
        <v>45693</v>
      </c>
      <c r="T27" s="45"/>
      <c r="U27" s="45"/>
      <c r="V27" s="55" t="s">
        <v>95</v>
      </c>
      <c r="W27" s="1"/>
      <c r="X27" s="1"/>
      <c r="Y27" s="44"/>
    </row>
    <row r="28" ht="19.949999999999999" customHeight="1">
      <c r="B28" s="44" t="s">
        <v>96</v>
      </c>
      <c r="C28" s="45" t="s">
        <v>80</v>
      </c>
      <c r="D28" s="45" t="s">
        <v>97</v>
      </c>
      <c r="E28" s="66" t="s">
        <v>98</v>
      </c>
      <c r="F28" s="45"/>
      <c r="G28" s="45"/>
      <c r="H28" s="45"/>
      <c r="I28" s="45"/>
      <c r="J28" s="45"/>
      <c r="K28" s="44"/>
      <c r="L28" s="48">
        <v>0</v>
      </c>
      <c r="M28" s="68">
        <v>4</v>
      </c>
      <c r="N28" s="1" t="s">
        <v>39</v>
      </c>
      <c r="O28" s="1">
        <v>4</v>
      </c>
      <c r="P28" s="1" t="s">
        <v>40</v>
      </c>
      <c r="Q28" s="65">
        <v>44826</v>
      </c>
      <c r="R28" s="59">
        <v>45432</v>
      </c>
      <c r="S28" s="59">
        <v>45432</v>
      </c>
      <c r="T28" s="1"/>
      <c r="U28" s="1"/>
      <c r="V28" s="1" t="s">
        <v>99</v>
      </c>
      <c r="W28" s="1"/>
      <c r="X28" s="1"/>
      <c r="Y28" s="44"/>
    </row>
    <row r="29" s="45" customFormat="1" ht="23.399999999999999" customHeight="1">
      <c r="B29" s="52" t="s">
        <v>100</v>
      </c>
      <c r="C29" s="45" t="s">
        <v>80</v>
      </c>
      <c r="D29" s="45" t="s">
        <v>101</v>
      </c>
      <c r="E29" s="66" t="s">
        <v>102</v>
      </c>
      <c r="F29" s="45">
        <v>0</v>
      </c>
      <c r="G29" s="45">
        <v>3</v>
      </c>
      <c r="H29" s="45" t="s">
        <v>39</v>
      </c>
      <c r="I29" s="45">
        <v>3</v>
      </c>
      <c r="J29" s="45" t="s">
        <v>40</v>
      </c>
      <c r="K29" s="47">
        <v>44571</v>
      </c>
      <c r="L29" s="48">
        <v>0</v>
      </c>
      <c r="M29" s="45">
        <v>3</v>
      </c>
      <c r="N29" s="45" t="s">
        <v>39</v>
      </c>
      <c r="O29" s="55">
        <v>3</v>
      </c>
      <c r="P29" s="45" t="s">
        <v>40</v>
      </c>
      <c r="Q29" s="49">
        <v>44831</v>
      </c>
      <c r="R29" s="47">
        <v>45082</v>
      </c>
      <c r="T29" s="45" t="s">
        <v>103</v>
      </c>
      <c r="V29" s="55" t="s">
        <v>104</v>
      </c>
    </row>
    <row r="30" ht="19.199999999999999" customHeight="1">
      <c r="B30" s="44" t="s">
        <v>105</v>
      </c>
      <c r="C30" s="45" t="s">
        <v>80</v>
      </c>
      <c r="D30" s="45" t="s">
        <v>106</v>
      </c>
      <c r="E30" s="66">
        <v>3473875848</v>
      </c>
      <c r="F30" s="45"/>
      <c r="G30" s="45"/>
      <c r="H30" s="45"/>
      <c r="I30" s="45"/>
      <c r="J30" s="45"/>
      <c r="K30" s="44"/>
      <c r="L30" s="67"/>
      <c r="M30" s="1"/>
      <c r="N30" s="1"/>
      <c r="O30" s="1"/>
      <c r="P30" s="1"/>
      <c r="Q30" s="69"/>
      <c r="R30" s="1"/>
      <c r="S30" s="1"/>
      <c r="T30" s="1"/>
      <c r="U30" s="1"/>
      <c r="V30" s="1"/>
      <c r="W30" s="1"/>
      <c r="X30" s="1"/>
      <c r="Y30" s="44"/>
    </row>
    <row r="31" ht="19.949999999999999" customHeight="1">
      <c r="B31" s="44" t="s">
        <v>107</v>
      </c>
      <c r="C31" s="45" t="s">
        <v>80</v>
      </c>
      <c r="D31" s="45" t="s">
        <v>108</v>
      </c>
      <c r="E31" s="66">
        <v>35525395</v>
      </c>
      <c r="F31" s="45"/>
      <c r="G31" s="45"/>
      <c r="H31" s="45"/>
      <c r="I31" s="45"/>
      <c r="J31" s="45"/>
      <c r="K31" s="44"/>
      <c r="L31" s="64">
        <v>0</v>
      </c>
      <c r="M31" s="1">
        <v>3</v>
      </c>
      <c r="N31" s="1" t="s">
        <v>39</v>
      </c>
      <c r="O31" s="1">
        <v>3</v>
      </c>
      <c r="P31" s="1" t="s">
        <v>40</v>
      </c>
      <c r="Q31" s="65">
        <v>44823</v>
      </c>
      <c r="R31" s="59">
        <v>45226</v>
      </c>
      <c r="S31" s="1"/>
      <c r="T31" s="1"/>
      <c r="U31" s="1"/>
      <c r="V31" s="1"/>
      <c r="W31" s="1"/>
      <c r="X31" s="1"/>
      <c r="Y31" s="44"/>
    </row>
    <row r="32" ht="19.949999999999999" customHeight="1">
      <c r="B32" s="44" t="s">
        <v>109</v>
      </c>
      <c r="C32" s="45" t="s">
        <v>110</v>
      </c>
      <c r="D32" s="45" t="s">
        <v>111</v>
      </c>
      <c r="E32" s="66" t="s">
        <v>112</v>
      </c>
      <c r="F32" s="45"/>
      <c r="G32" s="45"/>
      <c r="H32" s="45"/>
      <c r="I32" s="45"/>
      <c r="J32" s="45"/>
      <c r="K32" s="44"/>
      <c r="L32" s="67"/>
      <c r="M32" s="1"/>
      <c r="N32" s="1"/>
      <c r="O32" s="1"/>
      <c r="P32" s="1"/>
      <c r="Q32" s="69"/>
      <c r="R32" s="1"/>
      <c r="S32" s="1"/>
      <c r="T32" s="1"/>
      <c r="U32" s="1"/>
      <c r="V32" s="1"/>
      <c r="W32" s="1"/>
      <c r="X32" s="1"/>
      <c r="Y32" s="44"/>
    </row>
    <row r="33" ht="19.949999999999999" customHeight="1">
      <c r="B33" s="44" t="s">
        <v>113</v>
      </c>
      <c r="C33" s="45" t="s">
        <v>110</v>
      </c>
      <c r="D33" s="45" t="s">
        <v>114</v>
      </c>
      <c r="E33" s="66" t="s">
        <v>115</v>
      </c>
      <c r="F33" s="45"/>
      <c r="G33" s="45"/>
      <c r="H33" s="45"/>
      <c r="I33" s="45"/>
      <c r="J33" s="45"/>
      <c r="K33" s="44"/>
      <c r="L33" s="70"/>
      <c r="M33" s="59"/>
      <c r="N33" s="1"/>
      <c r="O33" s="1"/>
      <c r="P33" s="1"/>
      <c r="Q33" s="69"/>
      <c r="R33" s="1"/>
      <c r="S33" s="1"/>
      <c r="T33" s="1"/>
      <c r="U33" s="1"/>
      <c r="V33" s="1"/>
      <c r="W33" s="1"/>
      <c r="X33" s="1"/>
      <c r="Y33" s="44"/>
    </row>
    <row r="34" ht="19.199999999999999" customHeight="1">
      <c r="B34" s="44" t="s">
        <v>116</v>
      </c>
      <c r="C34" s="45" t="s">
        <v>117</v>
      </c>
      <c r="D34" s="45" t="s">
        <v>118</v>
      </c>
      <c r="E34" s="66" t="s">
        <v>119</v>
      </c>
      <c r="F34" s="45">
        <v>0</v>
      </c>
      <c r="G34" s="45">
        <v>4</v>
      </c>
      <c r="H34" s="45" t="s">
        <v>39</v>
      </c>
      <c r="I34" s="45">
        <v>4</v>
      </c>
      <c r="J34" s="45" t="s">
        <v>40</v>
      </c>
      <c r="K34" s="47">
        <v>44571</v>
      </c>
      <c r="L34" s="67">
        <v>0</v>
      </c>
      <c r="M34" s="1">
        <v>4</v>
      </c>
      <c r="N34" s="1" t="s">
        <v>39</v>
      </c>
      <c r="O34" s="1">
        <v>4</v>
      </c>
      <c r="P34" s="1" t="s">
        <v>40</v>
      </c>
      <c r="Q34" s="65">
        <v>44820</v>
      </c>
      <c r="R34" s="59">
        <v>45683</v>
      </c>
      <c r="S34" s="1"/>
      <c r="T34" s="1"/>
      <c r="U34" s="1"/>
      <c r="V34" s="1" t="s">
        <v>120</v>
      </c>
      <c r="W34" s="1"/>
      <c r="X34" s="1"/>
      <c r="Y34" s="44"/>
    </row>
    <row r="35" s="44" customFormat="1" ht="19.949999999999999" customHeight="1">
      <c r="B35" s="44" t="s">
        <v>121</v>
      </c>
      <c r="C35" s="45" t="s">
        <v>117</v>
      </c>
      <c r="D35" s="71" t="s">
        <v>122</v>
      </c>
      <c r="E35" s="66" t="s">
        <v>123</v>
      </c>
      <c r="F35" s="45"/>
      <c r="G35" s="45"/>
      <c r="H35" s="45"/>
      <c r="I35" s="45"/>
      <c r="J35" s="45"/>
      <c r="L35" s="48">
        <v>0</v>
      </c>
      <c r="M35" s="45">
        <v>3</v>
      </c>
      <c r="N35" s="45" t="s">
        <v>39</v>
      </c>
      <c r="O35" s="45">
        <v>3</v>
      </c>
      <c r="P35" s="45" t="s">
        <v>40</v>
      </c>
      <c r="Q35" s="49">
        <v>44809</v>
      </c>
      <c r="R35" s="47">
        <v>45408</v>
      </c>
      <c r="S35" s="47">
        <v>45606</v>
      </c>
      <c r="T35" s="45"/>
      <c r="U35" s="45"/>
      <c r="V35" s="45" t="s">
        <v>124</v>
      </c>
      <c r="W35" s="45"/>
      <c r="X35" s="45"/>
    </row>
    <row r="36" s="44" customFormat="1" ht="19.199999999999999" customHeight="1">
      <c r="B36" s="44" t="s">
        <v>125</v>
      </c>
      <c r="C36" s="45" t="s">
        <v>117</v>
      </c>
      <c r="D36" s="55" t="s">
        <v>126</v>
      </c>
      <c r="E36" s="66" t="s">
        <v>127</v>
      </c>
      <c r="F36" s="45"/>
      <c r="G36" s="45"/>
      <c r="H36" s="45"/>
      <c r="I36" s="45"/>
      <c r="J36" s="45"/>
      <c r="L36" s="48"/>
      <c r="M36" s="45"/>
      <c r="N36" s="45"/>
      <c r="O36" s="45"/>
      <c r="P36" s="45"/>
      <c r="Q36" s="72"/>
      <c r="R36" s="45"/>
      <c r="S36" s="45"/>
      <c r="T36" s="45"/>
      <c r="U36" s="45"/>
      <c r="V36" s="45"/>
      <c r="W36" s="45"/>
      <c r="X36" s="45"/>
    </row>
    <row r="37" s="44" customFormat="1" ht="19.949999999999999" customHeight="1">
      <c r="B37" s="44" t="s">
        <v>128</v>
      </c>
      <c r="C37" s="45" t="s">
        <v>129</v>
      </c>
      <c r="D37" s="71" t="s">
        <v>130</v>
      </c>
      <c r="E37" s="66" t="s">
        <v>131</v>
      </c>
      <c r="F37" s="45">
        <v>0</v>
      </c>
      <c r="G37" s="45">
        <v>4</v>
      </c>
      <c r="H37" s="45" t="s">
        <v>39</v>
      </c>
      <c r="I37" s="45">
        <v>4</v>
      </c>
      <c r="J37" s="45" t="s">
        <v>40</v>
      </c>
      <c r="K37" s="47">
        <v>44571</v>
      </c>
      <c r="L37" s="48">
        <v>0</v>
      </c>
      <c r="M37" s="45">
        <v>4</v>
      </c>
      <c r="N37" s="45" t="s">
        <v>39</v>
      </c>
      <c r="O37" s="45">
        <v>4</v>
      </c>
      <c r="P37" s="45" t="s">
        <v>40</v>
      </c>
      <c r="Q37" s="49">
        <v>44806</v>
      </c>
      <c r="R37" s="47">
        <v>45510</v>
      </c>
      <c r="S37" s="45"/>
      <c r="T37" s="45"/>
      <c r="U37" s="45"/>
      <c r="V37" s="45" t="s">
        <v>78</v>
      </c>
      <c r="W37" s="47">
        <v>45747</v>
      </c>
      <c r="X37" s="45"/>
    </row>
    <row r="38" ht="19.949999999999999" customHeight="1">
      <c r="B38" s="44" t="s">
        <v>132</v>
      </c>
      <c r="C38" s="45" t="s">
        <v>133</v>
      </c>
      <c r="D38" s="45" t="s">
        <v>134</v>
      </c>
      <c r="F38" s="45">
        <v>0</v>
      </c>
      <c r="G38" s="45">
        <v>3</v>
      </c>
      <c r="H38" s="45" t="s">
        <v>39</v>
      </c>
      <c r="I38" s="45">
        <v>3</v>
      </c>
      <c r="J38" s="45" t="s">
        <v>40</v>
      </c>
      <c r="K38" s="47">
        <v>44571</v>
      </c>
      <c r="L38" s="67"/>
      <c r="M38" s="1"/>
      <c r="N38" s="1"/>
      <c r="O38" s="1"/>
      <c r="P38" s="1"/>
      <c r="Q38" s="69"/>
      <c r="R38" s="1"/>
      <c r="S38" s="1"/>
      <c r="T38" s="1"/>
      <c r="U38" s="1"/>
      <c r="V38" s="1"/>
      <c r="W38" s="1"/>
      <c r="X38" s="1"/>
      <c r="Y38" s="44"/>
    </row>
    <row r="39" ht="13.949999999999999" customHeight="1">
      <c r="F39" s="1"/>
      <c r="G39" s="1"/>
      <c r="H39" s="1"/>
      <c r="I39" s="1"/>
      <c r="J39" s="1"/>
      <c r="L39" s="67"/>
      <c r="M39" s="1"/>
      <c r="N39" s="1"/>
      <c r="O39" s="1"/>
      <c r="P39" s="1"/>
      <c r="Q39" s="69"/>
      <c r="R39" s="1"/>
      <c r="S39" s="1"/>
      <c r="T39" s="1"/>
      <c r="U39" s="1"/>
      <c r="V39" s="1"/>
      <c r="W39" s="1"/>
      <c r="X39" s="1"/>
      <c r="Y39" s="44"/>
    </row>
    <row r="40">
      <c r="F40" s="1"/>
      <c r="G40" s="1"/>
      <c r="H40" s="1"/>
      <c r="I40" s="1"/>
      <c r="J40" s="1"/>
      <c r="L40" s="67"/>
      <c r="M40" s="1"/>
      <c r="N40" s="1"/>
      <c r="O40" s="1"/>
      <c r="P40" s="1"/>
      <c r="Q40" s="69"/>
      <c r="R40" s="1"/>
      <c r="S40" s="1"/>
      <c r="T40" s="1"/>
      <c r="U40" s="1"/>
      <c r="V40" s="1"/>
      <c r="W40" s="1"/>
      <c r="X40" s="1"/>
      <c r="Y40" s="44"/>
    </row>
    <row r="41">
      <c r="F41" s="1"/>
      <c r="G41" s="1"/>
      <c r="H41" s="1"/>
      <c r="I41" s="1"/>
      <c r="J41" s="1"/>
      <c r="L41" s="67"/>
      <c r="M41" s="1"/>
      <c r="N41" s="1"/>
      <c r="O41" s="1"/>
      <c r="P41" s="1"/>
      <c r="Q41" s="69"/>
      <c r="R41" s="1"/>
      <c r="S41" s="1"/>
      <c r="T41" s="1"/>
      <c r="U41" s="1"/>
      <c r="V41" s="1"/>
      <c r="W41" s="1"/>
      <c r="X41" s="1"/>
      <c r="Y41" s="44"/>
    </row>
    <row r="42">
      <c r="F42" s="1"/>
      <c r="G42" s="1"/>
      <c r="H42" s="1"/>
      <c r="I42" s="1"/>
      <c r="J42" s="1"/>
      <c r="L42" s="67"/>
      <c r="M42" s="1"/>
      <c r="N42" s="1"/>
      <c r="O42" s="1"/>
      <c r="P42" s="1"/>
      <c r="Q42" s="69"/>
      <c r="R42" s="1"/>
      <c r="S42" s="1"/>
      <c r="T42" s="1"/>
      <c r="U42" s="1"/>
      <c r="V42" s="1"/>
      <c r="W42" s="1"/>
      <c r="X42" s="1"/>
      <c r="Y42" s="44"/>
    </row>
    <row r="43">
      <c r="F43" s="1"/>
      <c r="G43" s="1"/>
      <c r="H43" s="1"/>
      <c r="I43" s="1"/>
      <c r="J43" s="1"/>
      <c r="L43" s="67"/>
      <c r="M43" s="1"/>
      <c r="N43" s="1"/>
      <c r="O43" s="1"/>
      <c r="P43" s="1"/>
      <c r="Q43" s="69"/>
      <c r="R43" s="1"/>
      <c r="S43" s="1"/>
      <c r="T43" s="1"/>
      <c r="U43" s="1"/>
      <c r="V43" s="1"/>
      <c r="W43" s="1"/>
      <c r="X43" s="1"/>
      <c r="Y43" s="44"/>
    </row>
    <row r="44">
      <c r="F44" s="1"/>
      <c r="G44" s="1"/>
      <c r="H44" s="1"/>
      <c r="I44" s="1"/>
      <c r="J44" s="1"/>
      <c r="L44" s="67"/>
      <c r="M44" s="1"/>
      <c r="N44" s="1"/>
      <c r="O44" s="1"/>
      <c r="P44" s="1"/>
      <c r="Q44" s="69"/>
      <c r="R44" s="1"/>
      <c r="S44" s="1"/>
      <c r="T44" s="1"/>
      <c r="U44" s="1"/>
      <c r="V44" s="1"/>
      <c r="W44" s="1"/>
      <c r="X44" s="1"/>
      <c r="Y44" s="44"/>
    </row>
    <row r="45">
      <c r="F45" s="1"/>
      <c r="G45" s="1"/>
      <c r="H45" s="1"/>
      <c r="I45" s="1"/>
      <c r="J45" s="1"/>
      <c r="L45" s="67"/>
      <c r="M45" s="1"/>
      <c r="N45" s="1"/>
      <c r="O45" s="1"/>
      <c r="P45" s="1"/>
      <c r="Q45" s="69"/>
      <c r="R45" s="1"/>
      <c r="S45" s="1"/>
      <c r="T45" s="1"/>
      <c r="U45" s="1"/>
      <c r="V45" s="1"/>
      <c r="W45" s="1"/>
      <c r="X45" s="1"/>
      <c r="Y45" s="44"/>
    </row>
    <row r="46">
      <c r="F46" s="1"/>
      <c r="G46" s="1"/>
      <c r="H46" s="1"/>
      <c r="I46" s="1"/>
      <c r="J46" s="1"/>
      <c r="L46" s="67"/>
      <c r="M46" s="1"/>
      <c r="N46" s="1"/>
      <c r="O46" s="1"/>
      <c r="P46" s="1"/>
      <c r="Q46" s="69"/>
      <c r="R46" s="1"/>
      <c r="S46" s="1"/>
      <c r="T46" s="1"/>
      <c r="U46" s="1"/>
      <c r="V46" s="1"/>
      <c r="W46" s="1"/>
      <c r="X46" s="1"/>
      <c r="Y46" s="44"/>
    </row>
    <row r="47">
      <c r="F47" s="1"/>
      <c r="G47" s="1"/>
      <c r="H47" s="1"/>
      <c r="I47" s="1"/>
      <c r="J47" s="1"/>
      <c r="L47" s="67"/>
      <c r="M47" s="1"/>
      <c r="N47" s="1"/>
      <c r="O47" s="1"/>
      <c r="P47" s="1"/>
      <c r="Q47" s="69"/>
      <c r="R47" s="1"/>
      <c r="S47" s="1"/>
      <c r="T47" s="1"/>
      <c r="U47" s="1"/>
      <c r="V47" s="1"/>
      <c r="W47" s="1"/>
      <c r="X47" s="1"/>
      <c r="Y47" s="44"/>
    </row>
    <row r="48">
      <c r="F48" s="1"/>
      <c r="G48" s="1"/>
      <c r="H48" s="1"/>
      <c r="I48" s="1"/>
      <c r="J48" s="1"/>
      <c r="L48" s="67"/>
      <c r="M48" s="1"/>
      <c r="N48" s="1"/>
      <c r="O48" s="1"/>
      <c r="P48" s="1"/>
      <c r="Q48" s="69"/>
      <c r="R48" s="1"/>
      <c r="S48" s="1"/>
      <c r="T48" s="1"/>
      <c r="U48" s="1"/>
      <c r="V48" s="1"/>
      <c r="W48" s="1"/>
      <c r="X48" s="1"/>
      <c r="Y48" s="44"/>
    </row>
    <row r="49">
      <c r="F49" s="1"/>
      <c r="G49" s="1"/>
      <c r="H49" s="1"/>
      <c r="I49" s="1"/>
      <c r="J49" s="1"/>
      <c r="L49" s="67"/>
      <c r="M49" s="1"/>
      <c r="N49" s="1"/>
      <c r="O49" s="1"/>
      <c r="P49" s="1"/>
      <c r="Q49" s="69"/>
      <c r="R49" s="1"/>
      <c r="S49" s="1"/>
      <c r="T49" s="1"/>
      <c r="U49" s="1"/>
      <c r="V49" s="1"/>
      <c r="W49" s="1"/>
      <c r="X49" s="1"/>
      <c r="Y49" s="44"/>
    </row>
    <row r="50">
      <c r="F50" s="1"/>
      <c r="G50" s="1"/>
      <c r="H50" s="1"/>
      <c r="I50" s="1"/>
      <c r="J50" s="1"/>
      <c r="L50" s="67"/>
      <c r="M50" s="1"/>
      <c r="N50" s="1"/>
      <c r="O50" s="1"/>
      <c r="P50" s="1"/>
      <c r="Q50" s="69"/>
      <c r="R50" s="1"/>
      <c r="S50" s="1"/>
      <c r="T50" s="1"/>
      <c r="U50" s="1"/>
      <c r="V50" s="1"/>
      <c r="W50" s="1"/>
      <c r="X50" s="1"/>
      <c r="Y50" s="44"/>
    </row>
    <row r="51">
      <c r="F51" s="1"/>
      <c r="G51" s="1"/>
      <c r="H51" s="1"/>
      <c r="I51" s="1"/>
      <c r="J51" s="1"/>
      <c r="L51" s="67"/>
      <c r="M51" s="1"/>
      <c r="N51" s="1"/>
      <c r="O51" s="1"/>
      <c r="P51" s="1"/>
      <c r="Q51" s="69"/>
      <c r="R51" s="1"/>
      <c r="S51" s="1"/>
      <c r="T51" s="1"/>
      <c r="U51" s="1"/>
      <c r="V51" s="1"/>
      <c r="W51" s="1"/>
      <c r="X51" s="1"/>
      <c r="Y51" s="44"/>
    </row>
    <row r="52">
      <c r="F52" s="1"/>
      <c r="G52" s="1"/>
      <c r="H52" s="1"/>
      <c r="I52" s="1"/>
      <c r="J52" s="1"/>
      <c r="L52" s="67"/>
      <c r="M52" s="1"/>
      <c r="N52" s="1"/>
      <c r="O52" s="1"/>
      <c r="P52" s="1"/>
      <c r="Q52" s="69"/>
      <c r="R52" s="1"/>
      <c r="S52" s="1"/>
      <c r="T52" s="1"/>
      <c r="U52" s="1"/>
      <c r="V52" s="1"/>
      <c r="W52" s="1"/>
      <c r="X52" s="1"/>
      <c r="Y52" s="44"/>
    </row>
    <row r="53">
      <c r="F53" s="1"/>
      <c r="G53" s="1"/>
      <c r="H53" s="1"/>
      <c r="I53" s="1"/>
      <c r="J53" s="1"/>
      <c r="L53" s="67"/>
      <c r="M53" s="1"/>
      <c r="N53" s="1"/>
      <c r="O53" s="1"/>
      <c r="P53" s="1"/>
      <c r="Q53" s="69"/>
      <c r="R53" s="1"/>
      <c r="S53" s="1"/>
      <c r="T53" s="1"/>
      <c r="U53" s="1"/>
      <c r="V53" s="1"/>
      <c r="W53" s="1"/>
      <c r="X53" s="1"/>
      <c r="Y53" s="44"/>
    </row>
    <row r="54">
      <c r="F54" s="1"/>
      <c r="G54" s="1"/>
      <c r="H54" s="1"/>
      <c r="I54" s="1"/>
      <c r="J54" s="1"/>
      <c r="L54" s="67"/>
      <c r="M54" s="1"/>
      <c r="N54" s="1"/>
      <c r="O54" s="1"/>
      <c r="P54" s="1"/>
      <c r="Q54" s="69"/>
      <c r="R54" s="1"/>
      <c r="S54" s="1"/>
      <c r="T54" s="1"/>
      <c r="U54" s="1"/>
      <c r="V54" s="1"/>
      <c r="W54" s="1"/>
      <c r="X54" s="1"/>
      <c r="Y54" s="44"/>
    </row>
    <row r="55">
      <c r="F55" s="1"/>
      <c r="G55" s="1"/>
      <c r="H55" s="1"/>
      <c r="I55" s="1"/>
      <c r="J55" s="1"/>
      <c r="L55" s="67"/>
      <c r="M55" s="1"/>
      <c r="N55" s="1"/>
      <c r="O55" s="1"/>
      <c r="P55" s="1"/>
      <c r="Q55" s="69"/>
      <c r="R55" s="1"/>
      <c r="S55" s="1"/>
      <c r="T55" s="1"/>
      <c r="U55" s="1"/>
      <c r="V55" s="1"/>
      <c r="W55" s="1"/>
      <c r="X55" s="1"/>
      <c r="Y55" s="44"/>
    </row>
    <row r="56">
      <c r="F56" s="1"/>
      <c r="G56" s="1"/>
      <c r="H56" s="1"/>
      <c r="I56" s="1"/>
      <c r="J56" s="1"/>
      <c r="L56" s="67"/>
      <c r="M56" s="1"/>
      <c r="N56" s="1"/>
      <c r="O56" s="1"/>
      <c r="P56" s="1"/>
      <c r="Q56" s="69"/>
      <c r="R56" s="1"/>
      <c r="S56" s="1"/>
      <c r="T56" s="1"/>
      <c r="U56" s="1"/>
      <c r="V56" s="1"/>
      <c r="W56" s="1"/>
      <c r="X56" s="1"/>
      <c r="Y56" s="44"/>
    </row>
    <row r="57">
      <c r="F57" s="1"/>
      <c r="G57" s="1"/>
      <c r="H57" s="1"/>
      <c r="I57" s="1"/>
      <c r="J57" s="1"/>
      <c r="L57" s="67"/>
      <c r="M57" s="1"/>
      <c r="N57" s="1"/>
      <c r="O57" s="1"/>
      <c r="P57" s="1"/>
      <c r="Q57" s="69"/>
      <c r="R57" s="1"/>
      <c r="S57" s="1"/>
      <c r="T57" s="1"/>
      <c r="U57" s="1"/>
      <c r="V57" s="1"/>
      <c r="W57" s="1"/>
      <c r="X57" s="1"/>
      <c r="Y57" s="44"/>
    </row>
    <row r="58">
      <c r="F58" s="1"/>
      <c r="G58" s="1"/>
      <c r="H58" s="1"/>
      <c r="I58" s="1"/>
      <c r="J58" s="1"/>
      <c r="L58" s="67"/>
      <c r="M58" s="1"/>
      <c r="N58" s="1"/>
      <c r="O58" s="1"/>
      <c r="P58" s="1"/>
      <c r="Q58" s="69"/>
      <c r="R58" s="1"/>
      <c r="S58" s="1"/>
      <c r="T58" s="1"/>
      <c r="U58" s="1"/>
      <c r="V58" s="1"/>
      <c r="W58" s="1"/>
      <c r="X58" s="1"/>
      <c r="Y58" s="44"/>
    </row>
    <row r="59">
      <c r="F59" s="1"/>
      <c r="G59" s="1"/>
      <c r="H59" s="1"/>
      <c r="I59" s="1"/>
      <c r="J59" s="1"/>
      <c r="L59" s="67"/>
      <c r="M59" s="1"/>
      <c r="N59" s="1"/>
      <c r="O59" s="1"/>
      <c r="P59" s="1"/>
      <c r="Q59" s="69"/>
      <c r="R59" s="1"/>
      <c r="S59" s="1"/>
      <c r="T59" s="1"/>
      <c r="U59" s="1"/>
      <c r="V59" s="1"/>
      <c r="W59" s="1"/>
      <c r="X59" s="1"/>
      <c r="Y59" s="44"/>
    </row>
    <row r="60">
      <c r="F60" s="1"/>
      <c r="G60" s="1"/>
      <c r="H60" s="1"/>
      <c r="I60" s="1"/>
      <c r="J60" s="1"/>
      <c r="L60" s="67"/>
      <c r="M60" s="1"/>
      <c r="N60" s="1"/>
      <c r="O60" s="1"/>
      <c r="P60" s="1"/>
      <c r="Q60" s="69"/>
      <c r="R60" s="1"/>
      <c r="S60" s="1"/>
      <c r="T60" s="1"/>
      <c r="U60" s="1"/>
      <c r="V60" s="1"/>
      <c r="W60" s="1"/>
      <c r="X60" s="1"/>
      <c r="Y60" s="44"/>
    </row>
    <row r="61">
      <c r="F61" s="1"/>
      <c r="G61" s="1"/>
      <c r="H61" s="1"/>
      <c r="I61" s="1"/>
      <c r="J61" s="1"/>
      <c r="L61" s="67"/>
      <c r="M61" s="1"/>
      <c r="N61" s="1"/>
      <c r="O61" s="1"/>
      <c r="P61" s="1"/>
      <c r="Q61" s="69"/>
      <c r="R61" s="1"/>
      <c r="S61" s="1"/>
      <c r="T61" s="1"/>
      <c r="U61" s="1"/>
      <c r="V61" s="1"/>
      <c r="W61" s="1"/>
      <c r="X61" s="1"/>
      <c r="Y61" s="44"/>
    </row>
    <row r="62">
      <c r="F62" s="1"/>
      <c r="G62" s="1"/>
      <c r="H62" s="1"/>
      <c r="I62" s="1"/>
      <c r="J62" s="1"/>
      <c r="L62" s="67"/>
      <c r="M62" s="1"/>
      <c r="N62" s="1"/>
      <c r="O62" s="1"/>
      <c r="P62" s="1"/>
      <c r="Q62" s="69"/>
      <c r="R62" s="1"/>
      <c r="S62" s="1"/>
      <c r="T62" s="1"/>
      <c r="U62" s="1"/>
      <c r="V62" s="1"/>
      <c r="W62" s="1"/>
      <c r="X62" s="1"/>
      <c r="Y62" s="44"/>
    </row>
    <row r="63">
      <c r="F63" s="1"/>
      <c r="G63" s="1"/>
      <c r="H63" s="1"/>
      <c r="I63" s="1"/>
      <c r="J63" s="1"/>
      <c r="L63" s="67"/>
      <c r="M63" s="1"/>
      <c r="N63" s="1"/>
      <c r="O63" s="1"/>
      <c r="P63" s="1"/>
      <c r="Q63" s="69"/>
      <c r="R63" s="1"/>
      <c r="S63" s="1"/>
      <c r="T63" s="1"/>
      <c r="U63" s="1"/>
      <c r="V63" s="1"/>
      <c r="W63" s="1"/>
      <c r="X63" s="1"/>
      <c r="Y63" s="44"/>
    </row>
    <row r="64">
      <c r="F64" s="1"/>
      <c r="G64" s="1"/>
      <c r="H64" s="1"/>
      <c r="I64" s="1"/>
      <c r="J64" s="1"/>
      <c r="L64" s="67"/>
      <c r="M64" s="1"/>
      <c r="N64" s="1"/>
      <c r="O64" s="1"/>
      <c r="P64" s="1"/>
      <c r="Q64" s="69"/>
      <c r="R64" s="1"/>
      <c r="S64" s="1"/>
      <c r="T64" s="1"/>
      <c r="U64" s="1"/>
      <c r="V64" s="1"/>
      <c r="W64" s="1"/>
      <c r="X64" s="1"/>
      <c r="Y64" s="44"/>
    </row>
    <row r="65">
      <c r="F65" s="1"/>
      <c r="G65" s="1"/>
      <c r="H65" s="1"/>
      <c r="I65" s="1"/>
      <c r="J65" s="1"/>
      <c r="L65" s="67"/>
      <c r="M65" s="1"/>
      <c r="N65" s="1"/>
      <c r="O65" s="1"/>
      <c r="P65" s="1"/>
      <c r="Q65" s="69"/>
      <c r="R65" s="1"/>
      <c r="S65" s="1"/>
      <c r="T65" s="1"/>
      <c r="U65" s="1"/>
      <c r="V65" s="1"/>
      <c r="W65" s="1"/>
      <c r="X65" s="1"/>
      <c r="Y65" s="44"/>
    </row>
    <row r="66">
      <c r="F66" s="1"/>
      <c r="G66" s="1"/>
      <c r="H66" s="1"/>
      <c r="I66" s="1"/>
      <c r="J66" s="1"/>
      <c r="L66" s="67"/>
      <c r="M66" s="1"/>
      <c r="N66" s="1"/>
      <c r="O66" s="1"/>
      <c r="P66" s="1"/>
      <c r="Q66" s="69"/>
      <c r="R66" s="1"/>
      <c r="S66" s="1"/>
      <c r="T66" s="1"/>
      <c r="U66" s="1"/>
      <c r="V66" s="1"/>
      <c r="W66" s="1"/>
      <c r="X66" s="1"/>
      <c r="Y66" s="44"/>
    </row>
    <row r="67">
      <c r="F67" s="1"/>
      <c r="G67" s="1"/>
      <c r="H67" s="1"/>
      <c r="I67" s="1"/>
      <c r="J67" s="1"/>
      <c r="L67" s="67"/>
      <c r="M67" s="1"/>
      <c r="N67" s="1"/>
      <c r="O67" s="1"/>
      <c r="P67" s="1"/>
      <c r="Q67" s="69"/>
      <c r="R67" s="1"/>
      <c r="S67" s="1"/>
      <c r="T67" s="1"/>
      <c r="U67" s="1"/>
      <c r="V67" s="1"/>
      <c r="W67" s="1"/>
      <c r="X67" s="1"/>
      <c r="Y67" s="44"/>
    </row>
    <row r="68">
      <c r="F68" s="1"/>
      <c r="G68" s="1"/>
      <c r="H68" s="1"/>
      <c r="I68" s="1"/>
      <c r="J68" s="1"/>
      <c r="L68" s="67"/>
      <c r="M68" s="1"/>
      <c r="N68" s="1"/>
      <c r="O68" s="1"/>
      <c r="P68" s="1"/>
      <c r="Q68" s="69"/>
      <c r="R68" s="1"/>
      <c r="S68" s="1"/>
      <c r="T68" s="1"/>
      <c r="U68" s="1"/>
      <c r="V68" s="1"/>
      <c r="W68" s="1"/>
      <c r="X68" s="1"/>
      <c r="Y68" s="44"/>
    </row>
    <row r="69">
      <c r="F69" s="1"/>
      <c r="G69" s="1"/>
      <c r="H69" s="1"/>
      <c r="I69" s="1"/>
      <c r="J69" s="1"/>
      <c r="L69" s="67"/>
      <c r="M69" s="1"/>
      <c r="N69" s="1"/>
      <c r="O69" s="1"/>
      <c r="P69" s="1"/>
      <c r="Q69" s="69"/>
      <c r="R69" s="1"/>
      <c r="S69" s="1"/>
      <c r="T69" s="1"/>
      <c r="U69" s="1"/>
      <c r="V69" s="1"/>
      <c r="W69" s="1"/>
      <c r="X69" s="1"/>
      <c r="Y69" s="44"/>
    </row>
    <row r="70">
      <c r="F70" s="1"/>
      <c r="G70" s="1"/>
      <c r="H70" s="1"/>
      <c r="I70" s="1"/>
      <c r="J70" s="1"/>
      <c r="L70" s="67"/>
      <c r="M70" s="1"/>
      <c r="N70" s="1"/>
      <c r="O70" s="1"/>
      <c r="P70" s="1"/>
      <c r="Q70" s="69"/>
      <c r="R70" s="1"/>
      <c r="S70" s="1"/>
      <c r="T70" s="1"/>
      <c r="U70" s="1"/>
      <c r="V70" s="1"/>
      <c r="W70" s="1"/>
      <c r="X70" s="1"/>
      <c r="Y70" s="44"/>
    </row>
    <row r="71">
      <c r="F71" s="1"/>
      <c r="G71" s="1"/>
      <c r="H71" s="1"/>
      <c r="I71" s="1"/>
      <c r="J71" s="1"/>
      <c r="L71" s="67"/>
      <c r="M71" s="1"/>
      <c r="N71" s="1"/>
      <c r="O71" s="1"/>
      <c r="P71" s="1"/>
      <c r="Q71" s="69"/>
      <c r="R71" s="1"/>
      <c r="S71" s="1"/>
      <c r="T71" s="1"/>
      <c r="U71" s="1"/>
      <c r="V71" s="1"/>
      <c r="W71" s="1"/>
      <c r="X71" s="1"/>
      <c r="Y71" s="44"/>
    </row>
    <row r="72">
      <c r="F72" s="1"/>
      <c r="G72" s="1"/>
      <c r="H72" s="1"/>
      <c r="I72" s="1"/>
      <c r="J72" s="1"/>
      <c r="L72" s="67"/>
      <c r="M72" s="1"/>
      <c r="N72" s="1"/>
      <c r="O72" s="1"/>
      <c r="P72" s="1"/>
      <c r="Q72" s="69"/>
      <c r="R72" s="1"/>
      <c r="S72" s="1"/>
      <c r="T72" s="1"/>
      <c r="U72" s="1"/>
      <c r="V72" s="1"/>
      <c r="W72" s="1"/>
      <c r="X72" s="1"/>
      <c r="Y72" s="44"/>
    </row>
    <row r="73">
      <c r="F73" s="1"/>
      <c r="G73" s="1"/>
      <c r="H73" s="1"/>
      <c r="I73" s="1"/>
      <c r="J73" s="1"/>
      <c r="L73" s="67"/>
      <c r="M73" s="1"/>
      <c r="N73" s="1"/>
      <c r="O73" s="1"/>
      <c r="P73" s="1"/>
      <c r="Q73" s="69"/>
      <c r="R73" s="1"/>
      <c r="S73" s="1"/>
      <c r="T73" s="1"/>
      <c r="U73" s="1"/>
      <c r="V73" s="1"/>
      <c r="W73" s="1"/>
      <c r="X73" s="1"/>
      <c r="Y73" s="44"/>
    </row>
    <row r="74">
      <c r="F74" s="1"/>
      <c r="G74" s="1"/>
      <c r="H74" s="1"/>
      <c r="I74" s="1"/>
      <c r="J74" s="1"/>
      <c r="L74" s="67"/>
      <c r="M74" s="1"/>
      <c r="N74" s="1"/>
      <c r="O74" s="1"/>
      <c r="P74" s="1"/>
      <c r="Q74" s="69"/>
      <c r="R74" s="1"/>
      <c r="S74" s="1"/>
      <c r="T74" s="1"/>
      <c r="U74" s="1"/>
      <c r="V74" s="1"/>
      <c r="W74" s="1"/>
      <c r="X74" s="1"/>
      <c r="Y74" s="44"/>
    </row>
    <row r="75">
      <c r="F75" s="1"/>
      <c r="G75" s="1"/>
      <c r="H75" s="1"/>
      <c r="I75" s="1"/>
      <c r="J75" s="1"/>
      <c r="L75" s="67"/>
      <c r="M75" s="1"/>
      <c r="N75" s="1"/>
      <c r="O75" s="1"/>
      <c r="P75" s="1"/>
      <c r="Q75" s="69"/>
      <c r="R75" s="1"/>
      <c r="S75" s="1"/>
      <c r="T75" s="1"/>
      <c r="U75" s="1"/>
      <c r="V75" s="1"/>
      <c r="W75" s="1"/>
      <c r="X75" s="1"/>
      <c r="Y75" s="44"/>
    </row>
    <row r="76">
      <c r="F76" s="1"/>
      <c r="G76" s="1"/>
      <c r="H76" s="1"/>
      <c r="I76" s="1"/>
      <c r="J76" s="1"/>
      <c r="L76" s="67"/>
      <c r="M76" s="1"/>
      <c r="N76" s="1"/>
      <c r="O76" s="1"/>
      <c r="P76" s="1"/>
      <c r="Q76" s="69"/>
      <c r="R76" s="1"/>
      <c r="S76" s="1"/>
      <c r="T76" s="1"/>
      <c r="U76" s="1"/>
      <c r="V76" s="1"/>
      <c r="W76" s="1"/>
      <c r="X76" s="1"/>
      <c r="Y76" s="44"/>
    </row>
    <row r="77">
      <c r="F77" s="1"/>
      <c r="G77" s="1"/>
      <c r="H77" s="1"/>
      <c r="I77" s="1"/>
      <c r="J77" s="1"/>
      <c r="L77" s="67"/>
      <c r="M77" s="1"/>
      <c r="N77" s="1"/>
      <c r="O77" s="1"/>
      <c r="P77" s="1"/>
      <c r="Q77" s="69"/>
      <c r="R77" s="1"/>
      <c r="S77" s="1"/>
      <c r="T77" s="1"/>
      <c r="U77" s="1"/>
      <c r="V77" s="1"/>
      <c r="W77" s="1"/>
      <c r="X77" s="1"/>
      <c r="Y77" s="44"/>
    </row>
    <row r="78">
      <c r="F78" s="1"/>
      <c r="G78" s="1"/>
      <c r="H78" s="1"/>
      <c r="I78" s="1"/>
      <c r="J78" s="1"/>
      <c r="L78" s="67"/>
      <c r="M78" s="1"/>
      <c r="N78" s="1"/>
      <c r="O78" s="1"/>
      <c r="P78" s="1"/>
      <c r="Q78" s="69"/>
      <c r="R78" s="1"/>
      <c r="S78" s="1"/>
      <c r="T78" s="1"/>
      <c r="U78" s="1"/>
      <c r="V78" s="1"/>
      <c r="W78" s="1"/>
      <c r="X78" s="1"/>
      <c r="Y78" s="44"/>
    </row>
    <row r="79">
      <c r="F79" s="1"/>
      <c r="G79" s="1"/>
      <c r="H79" s="1"/>
      <c r="I79" s="1"/>
      <c r="J79" s="1"/>
      <c r="L79" s="67"/>
      <c r="M79" s="1"/>
      <c r="N79" s="1"/>
      <c r="O79" s="1"/>
      <c r="P79" s="1"/>
      <c r="Q79" s="69"/>
      <c r="R79" s="1"/>
      <c r="S79" s="1"/>
      <c r="T79" s="1"/>
      <c r="U79" s="1"/>
      <c r="V79" s="1"/>
      <c r="W79" s="1"/>
      <c r="X79" s="1"/>
      <c r="Y79" s="44"/>
    </row>
    <row r="80">
      <c r="F80" s="1"/>
      <c r="G80" s="1"/>
      <c r="H80" s="1"/>
      <c r="I80" s="1"/>
      <c r="J80" s="1"/>
      <c r="L80" s="67"/>
      <c r="M80" s="1"/>
      <c r="N80" s="1"/>
      <c r="O80" s="1"/>
      <c r="P80" s="1"/>
      <c r="Q80" s="69"/>
      <c r="R80" s="1"/>
      <c r="S80" s="1"/>
      <c r="T80" s="1"/>
      <c r="U80" s="1"/>
      <c r="V80" s="1"/>
      <c r="W80" s="1"/>
      <c r="X80" s="1"/>
      <c r="Y80" s="44"/>
    </row>
    <row r="81">
      <c r="F81" s="1"/>
      <c r="G81" s="1"/>
      <c r="H81" s="1"/>
      <c r="I81" s="1"/>
      <c r="J81" s="1"/>
      <c r="L81" s="67"/>
      <c r="M81" s="1"/>
      <c r="N81" s="1"/>
      <c r="O81" s="1"/>
      <c r="P81" s="1"/>
      <c r="Q81" s="69"/>
      <c r="R81" s="1"/>
      <c r="S81" s="1"/>
      <c r="T81" s="1"/>
      <c r="U81" s="1"/>
      <c r="V81" s="1"/>
      <c r="W81" s="1"/>
      <c r="X81" s="1"/>
      <c r="Y81" s="44"/>
    </row>
    <row r="82">
      <c r="F82" s="1"/>
      <c r="G82" s="1"/>
      <c r="H82" s="1"/>
      <c r="I82" s="1"/>
      <c r="J82" s="1"/>
      <c r="L82" s="67"/>
      <c r="M82" s="1"/>
      <c r="N82" s="1"/>
      <c r="O82" s="1"/>
      <c r="P82" s="1"/>
      <c r="Q82" s="69"/>
      <c r="R82" s="1"/>
      <c r="S82" s="1"/>
      <c r="T82" s="1"/>
      <c r="U82" s="1"/>
      <c r="V82" s="1"/>
      <c r="W82" s="1"/>
      <c r="X82" s="1"/>
      <c r="Y82" s="44"/>
    </row>
    <row r="83">
      <c r="F83" s="1"/>
      <c r="G83" s="1"/>
      <c r="H83" s="1"/>
      <c r="I83" s="1"/>
      <c r="J83" s="1"/>
      <c r="L83" s="67"/>
      <c r="M83" s="1"/>
      <c r="N83" s="1"/>
      <c r="O83" s="1"/>
      <c r="P83" s="1"/>
      <c r="Q83" s="69"/>
      <c r="R83" s="1"/>
      <c r="S83" s="1"/>
      <c r="T83" s="1"/>
      <c r="U83" s="1"/>
      <c r="V83" s="1"/>
      <c r="W83" s="1"/>
      <c r="X83" s="1"/>
      <c r="Y83" s="44"/>
    </row>
    <row r="84">
      <c r="F84" s="1"/>
      <c r="G84" s="1"/>
      <c r="H84" s="1"/>
      <c r="I84" s="1"/>
      <c r="J84" s="1"/>
      <c r="L84" s="67"/>
      <c r="M84" s="1"/>
      <c r="N84" s="1"/>
      <c r="O84" s="1"/>
      <c r="P84" s="1"/>
      <c r="Q84" s="69"/>
      <c r="R84" s="1"/>
      <c r="S84" s="1"/>
      <c r="T84" s="1"/>
      <c r="U84" s="1"/>
      <c r="V84" s="1"/>
      <c r="W84" s="1"/>
      <c r="X84" s="1"/>
      <c r="Y84" s="44"/>
    </row>
    <row r="85">
      <c r="F85" s="1"/>
      <c r="G85" s="1"/>
      <c r="H85" s="1"/>
      <c r="I85" s="1"/>
      <c r="J85" s="1"/>
      <c r="L85" s="67"/>
      <c r="M85" s="1"/>
      <c r="N85" s="1"/>
      <c r="O85" s="1"/>
      <c r="P85" s="1"/>
      <c r="Q85" s="69"/>
      <c r="R85" s="1"/>
      <c r="S85" s="1"/>
      <c r="T85" s="1"/>
      <c r="U85" s="1"/>
      <c r="V85" s="1"/>
      <c r="W85" s="1"/>
      <c r="X85" s="1"/>
      <c r="Y85" s="44"/>
    </row>
    <row r="86">
      <c r="F86" s="1"/>
      <c r="G86" s="1"/>
      <c r="H86" s="1"/>
      <c r="I86" s="1"/>
      <c r="J86" s="1"/>
      <c r="L86" s="67"/>
      <c r="M86" s="1"/>
      <c r="N86" s="1"/>
      <c r="O86" s="1"/>
      <c r="P86" s="1"/>
      <c r="Q86" s="69"/>
      <c r="R86" s="1"/>
      <c r="S86" s="1"/>
      <c r="T86" s="1"/>
      <c r="U86" s="1"/>
      <c r="V86" s="1"/>
      <c r="W86" s="1"/>
      <c r="X86" s="1"/>
      <c r="Y86" s="44"/>
    </row>
    <row r="87">
      <c r="F87" s="1"/>
      <c r="G87" s="1"/>
      <c r="H87" s="1"/>
      <c r="I87" s="1"/>
      <c r="J87" s="1"/>
      <c r="L87" s="67"/>
      <c r="M87" s="1"/>
      <c r="N87" s="1"/>
      <c r="O87" s="1"/>
      <c r="P87" s="1"/>
      <c r="Q87" s="69"/>
      <c r="R87" s="1"/>
      <c r="S87" s="1"/>
      <c r="T87" s="1"/>
      <c r="U87" s="1"/>
      <c r="V87" s="1"/>
      <c r="W87" s="1"/>
      <c r="X87" s="1"/>
      <c r="Y87" s="44"/>
    </row>
    <row r="88">
      <c r="F88" s="1"/>
      <c r="G88" s="1"/>
      <c r="H88" s="1"/>
      <c r="I88" s="1"/>
      <c r="J88" s="1"/>
      <c r="L88" s="67"/>
      <c r="M88" s="1"/>
      <c r="N88" s="1"/>
      <c r="O88" s="1"/>
      <c r="P88" s="1"/>
      <c r="Q88" s="69"/>
      <c r="R88" s="1"/>
      <c r="S88" s="1"/>
      <c r="T88" s="1"/>
      <c r="U88" s="1"/>
      <c r="V88" s="1"/>
      <c r="W88" s="1"/>
      <c r="X88" s="1"/>
      <c r="Y88" s="44"/>
    </row>
    <row r="89">
      <c r="F89" s="1"/>
      <c r="G89" s="1"/>
      <c r="H89" s="1"/>
      <c r="I89" s="1"/>
      <c r="J89" s="1"/>
      <c r="L89" s="67"/>
      <c r="M89" s="1"/>
      <c r="N89" s="1"/>
      <c r="O89" s="1"/>
      <c r="P89" s="1"/>
      <c r="Q89" s="69"/>
      <c r="R89" s="1"/>
      <c r="S89" s="1"/>
      <c r="T89" s="1"/>
      <c r="U89" s="1"/>
      <c r="V89" s="1"/>
      <c r="W89" s="1"/>
      <c r="X89" s="1"/>
      <c r="Y89" s="44"/>
    </row>
    <row r="90">
      <c r="F90" s="1"/>
      <c r="G90" s="1"/>
      <c r="H90" s="1"/>
      <c r="I90" s="1"/>
      <c r="J90" s="1"/>
      <c r="L90" s="67"/>
      <c r="M90" s="1"/>
      <c r="N90" s="1"/>
      <c r="O90" s="1"/>
      <c r="P90" s="1"/>
      <c r="Q90" s="69"/>
      <c r="R90" s="1"/>
      <c r="S90" s="1"/>
      <c r="T90" s="1"/>
      <c r="U90" s="1"/>
      <c r="V90" s="1"/>
      <c r="W90" s="1"/>
      <c r="X90" s="1"/>
      <c r="Y90" s="44"/>
    </row>
    <row r="91">
      <c r="F91" s="1"/>
      <c r="G91" s="1"/>
      <c r="H91" s="1"/>
      <c r="I91" s="1"/>
      <c r="J91" s="1"/>
      <c r="L91" s="67"/>
      <c r="M91" s="1"/>
      <c r="N91" s="1"/>
      <c r="O91" s="1"/>
      <c r="P91" s="1"/>
      <c r="Q91" s="69"/>
      <c r="R91" s="1"/>
      <c r="S91" s="1"/>
      <c r="T91" s="1"/>
      <c r="U91" s="1"/>
      <c r="V91" s="1"/>
      <c r="W91" s="1"/>
      <c r="X91" s="1"/>
      <c r="Y91" s="44"/>
    </row>
    <row r="92">
      <c r="F92" s="1"/>
      <c r="G92" s="1"/>
      <c r="H92" s="1"/>
      <c r="I92" s="1"/>
      <c r="J92" s="1"/>
      <c r="L92" s="67"/>
      <c r="M92" s="1"/>
      <c r="N92" s="1"/>
      <c r="O92" s="1"/>
      <c r="P92" s="1"/>
      <c r="Q92" s="69"/>
      <c r="R92" s="1"/>
      <c r="S92" s="1"/>
      <c r="T92" s="1"/>
      <c r="U92" s="1"/>
      <c r="V92" s="1"/>
      <c r="W92" s="1"/>
      <c r="X92" s="1"/>
      <c r="Y92" s="44"/>
    </row>
    <row r="93">
      <c r="F93" s="1"/>
      <c r="G93" s="1"/>
      <c r="H93" s="1"/>
      <c r="I93" s="1"/>
      <c r="J93" s="1"/>
      <c r="L93" s="67"/>
      <c r="M93" s="1"/>
      <c r="N93" s="1"/>
      <c r="O93" s="1"/>
      <c r="P93" s="1"/>
      <c r="Q93" s="69"/>
      <c r="R93" s="1"/>
      <c r="S93" s="1"/>
      <c r="T93" s="1"/>
      <c r="U93" s="1"/>
      <c r="V93" s="1"/>
      <c r="W93" s="1"/>
      <c r="X93" s="1"/>
      <c r="Y93" s="44"/>
    </row>
    <row r="94">
      <c r="F94" s="1"/>
      <c r="G94" s="1"/>
      <c r="H94" s="1"/>
      <c r="I94" s="1"/>
      <c r="J94" s="1"/>
      <c r="L94" s="67"/>
      <c r="M94" s="1"/>
      <c r="N94" s="1"/>
      <c r="O94" s="1"/>
      <c r="P94" s="1"/>
      <c r="Q94" s="69"/>
      <c r="R94" s="1"/>
      <c r="S94" s="1"/>
      <c r="T94" s="1"/>
      <c r="U94" s="1"/>
      <c r="V94" s="1"/>
      <c r="W94" s="1"/>
      <c r="X94" s="1"/>
      <c r="Y94" s="44"/>
    </row>
    <row r="95">
      <c r="F95" s="1"/>
      <c r="G95" s="1"/>
      <c r="H95" s="1"/>
      <c r="I95" s="1"/>
      <c r="J95" s="1"/>
      <c r="L95" s="67"/>
      <c r="M95" s="1"/>
      <c r="N95" s="1"/>
      <c r="O95" s="1"/>
      <c r="P95" s="1"/>
      <c r="Q95" s="69"/>
      <c r="R95" s="1"/>
      <c r="S95" s="1"/>
      <c r="T95" s="1"/>
      <c r="U95" s="1"/>
      <c r="V95" s="1"/>
      <c r="W95" s="1"/>
      <c r="X95" s="1"/>
      <c r="Y95" s="44"/>
    </row>
    <row r="96">
      <c r="F96" s="1"/>
      <c r="G96" s="1"/>
      <c r="H96" s="1"/>
      <c r="I96" s="1"/>
      <c r="J96" s="1"/>
      <c r="L96" s="67"/>
      <c r="M96" s="1"/>
      <c r="N96" s="1"/>
      <c r="O96" s="1"/>
      <c r="P96" s="1"/>
      <c r="Q96" s="69"/>
      <c r="R96" s="1"/>
      <c r="S96" s="1"/>
      <c r="T96" s="1"/>
      <c r="U96" s="1"/>
      <c r="V96" s="1"/>
      <c r="W96" s="1"/>
      <c r="X96" s="1"/>
      <c r="Y96" s="44"/>
    </row>
    <row r="97">
      <c r="F97" s="1"/>
      <c r="G97" s="1"/>
      <c r="H97" s="1"/>
      <c r="I97" s="1"/>
      <c r="J97" s="1"/>
      <c r="L97" s="67"/>
      <c r="M97" s="1"/>
      <c r="N97" s="1"/>
      <c r="O97" s="1"/>
      <c r="P97" s="1"/>
      <c r="Q97" s="69"/>
      <c r="R97" s="1"/>
      <c r="S97" s="1"/>
      <c r="T97" s="1"/>
      <c r="U97" s="1"/>
      <c r="V97" s="1"/>
      <c r="W97" s="1"/>
      <c r="X97" s="1"/>
      <c r="Y97" s="44"/>
    </row>
    <row r="98">
      <c r="F98" s="1"/>
      <c r="G98" s="1"/>
      <c r="H98" s="1"/>
      <c r="I98" s="1"/>
      <c r="J98" s="1"/>
      <c r="L98" s="67"/>
      <c r="M98" s="1"/>
      <c r="N98" s="1"/>
      <c r="O98" s="1"/>
      <c r="P98" s="1"/>
      <c r="Q98" s="69"/>
      <c r="R98" s="1"/>
      <c r="S98" s="1"/>
      <c r="T98" s="1"/>
      <c r="U98" s="1"/>
      <c r="V98" s="1"/>
      <c r="W98" s="1"/>
      <c r="X98" s="1"/>
      <c r="Y98" s="44"/>
    </row>
    <row r="99">
      <c r="F99" s="1"/>
      <c r="G99" s="1"/>
      <c r="H99" s="1"/>
      <c r="I99" s="1"/>
      <c r="J99" s="1"/>
      <c r="L99" s="67"/>
      <c r="M99" s="1"/>
      <c r="N99" s="1"/>
      <c r="O99" s="1"/>
      <c r="P99" s="1"/>
      <c r="Q99" s="69"/>
      <c r="R99" s="1"/>
      <c r="S99" s="1"/>
      <c r="T99" s="1"/>
      <c r="U99" s="1"/>
      <c r="V99" s="1"/>
      <c r="W99" s="1"/>
      <c r="X99" s="1"/>
      <c r="Y99" s="44"/>
    </row>
    <row r="100">
      <c r="F100" s="1"/>
      <c r="G100" s="1"/>
      <c r="H100" s="1"/>
      <c r="I100" s="1"/>
      <c r="J100" s="1"/>
      <c r="L100" s="67"/>
      <c r="M100" s="1"/>
      <c r="N100" s="1"/>
      <c r="O100" s="1"/>
      <c r="P100" s="1"/>
      <c r="Q100" s="69"/>
      <c r="R100" s="1"/>
      <c r="S100" s="1"/>
      <c r="T100" s="1"/>
      <c r="U100" s="1"/>
      <c r="V100" s="1"/>
      <c r="W100" s="1"/>
      <c r="X100" s="1"/>
      <c r="Y100" s="44"/>
    </row>
    <row r="101">
      <c r="F101" s="1"/>
      <c r="G101" s="1"/>
      <c r="H101" s="1"/>
      <c r="I101" s="1"/>
      <c r="J101" s="1"/>
      <c r="L101" s="67"/>
      <c r="M101" s="1"/>
      <c r="N101" s="1"/>
      <c r="O101" s="1"/>
      <c r="P101" s="1"/>
      <c r="Q101" s="69"/>
      <c r="R101" s="1"/>
      <c r="S101" s="1"/>
      <c r="T101" s="1"/>
      <c r="U101" s="1"/>
      <c r="V101" s="1"/>
      <c r="W101" s="1"/>
      <c r="X101" s="1"/>
      <c r="Y101" s="44"/>
    </row>
    <row r="102">
      <c r="F102" s="1"/>
      <c r="G102" s="1"/>
      <c r="H102" s="1"/>
      <c r="I102" s="1"/>
      <c r="J102" s="1"/>
      <c r="L102" s="67"/>
      <c r="M102" s="1"/>
      <c r="N102" s="1"/>
      <c r="O102" s="1"/>
      <c r="P102" s="1"/>
      <c r="Q102" s="69"/>
      <c r="R102" s="1"/>
      <c r="S102" s="1"/>
      <c r="T102" s="1"/>
      <c r="U102" s="1"/>
      <c r="V102" s="1"/>
      <c r="W102" s="1"/>
      <c r="X102" s="1"/>
      <c r="Y102" s="44"/>
    </row>
    <row r="103">
      <c r="F103" s="1"/>
      <c r="G103" s="1"/>
      <c r="H103" s="1"/>
      <c r="I103" s="1"/>
      <c r="J103" s="1"/>
      <c r="L103" s="67"/>
      <c r="M103" s="1"/>
      <c r="N103" s="1"/>
      <c r="O103" s="1"/>
      <c r="P103" s="1"/>
      <c r="Q103" s="69"/>
      <c r="R103" s="1"/>
      <c r="S103" s="1"/>
      <c r="T103" s="1"/>
      <c r="U103" s="1"/>
      <c r="V103" s="1"/>
      <c r="W103" s="1"/>
      <c r="X103" s="1"/>
      <c r="Y103" s="44"/>
    </row>
    <row r="104">
      <c r="F104" s="1"/>
      <c r="G104" s="1"/>
      <c r="H104" s="1"/>
      <c r="I104" s="1"/>
      <c r="J104" s="1"/>
      <c r="L104" s="67"/>
      <c r="M104" s="1"/>
      <c r="N104" s="1"/>
      <c r="O104" s="1"/>
      <c r="P104" s="1"/>
      <c r="Q104" s="69"/>
      <c r="R104" s="1"/>
      <c r="S104" s="1"/>
      <c r="T104" s="1"/>
      <c r="U104" s="1"/>
      <c r="V104" s="1"/>
      <c r="W104" s="1"/>
      <c r="X104" s="1"/>
      <c r="Y104" s="44"/>
    </row>
    <row r="105">
      <c r="F105" s="1"/>
      <c r="G105" s="1"/>
      <c r="H105" s="1"/>
      <c r="I105" s="1"/>
      <c r="J105" s="1"/>
      <c r="L105" s="67"/>
      <c r="M105" s="1"/>
      <c r="N105" s="1"/>
      <c r="O105" s="1"/>
      <c r="P105" s="1"/>
      <c r="Q105" s="69"/>
      <c r="R105" s="1"/>
      <c r="S105" s="1"/>
      <c r="T105" s="1"/>
      <c r="U105" s="1"/>
      <c r="V105" s="1"/>
      <c r="W105" s="1"/>
      <c r="X105" s="1"/>
      <c r="Y105" s="44"/>
    </row>
    <row r="106">
      <c r="F106" s="1"/>
      <c r="G106" s="1"/>
      <c r="H106" s="1"/>
      <c r="I106" s="1"/>
      <c r="J106" s="1"/>
      <c r="L106" s="67"/>
      <c r="M106" s="1"/>
      <c r="N106" s="1"/>
      <c r="O106" s="1"/>
      <c r="P106" s="1"/>
      <c r="Q106" s="69"/>
      <c r="R106" s="1"/>
      <c r="S106" s="1"/>
      <c r="T106" s="1"/>
      <c r="U106" s="1"/>
      <c r="V106" s="1"/>
      <c r="W106" s="1"/>
      <c r="X106" s="1"/>
      <c r="Y106" s="44"/>
    </row>
    <row r="107">
      <c r="F107" s="1"/>
      <c r="G107" s="1"/>
      <c r="H107" s="1"/>
      <c r="I107" s="1"/>
      <c r="J107" s="1"/>
      <c r="L107" s="67"/>
      <c r="M107" s="1"/>
      <c r="N107" s="1"/>
      <c r="O107" s="1"/>
      <c r="P107" s="1"/>
      <c r="Q107" s="69"/>
      <c r="R107" s="1"/>
      <c r="S107" s="1"/>
      <c r="T107" s="1"/>
      <c r="U107" s="1"/>
      <c r="V107" s="1"/>
      <c r="W107" s="1"/>
      <c r="X107" s="1"/>
      <c r="Y107" s="44"/>
    </row>
    <row r="108">
      <c r="F108" s="1"/>
      <c r="G108" s="1"/>
      <c r="H108" s="1"/>
      <c r="I108" s="1"/>
      <c r="J108" s="1"/>
      <c r="L108" s="67"/>
      <c r="M108" s="1"/>
      <c r="N108" s="1"/>
      <c r="O108" s="1"/>
      <c r="P108" s="1"/>
      <c r="Q108" s="69"/>
      <c r="R108" s="1"/>
      <c r="S108" s="1"/>
      <c r="T108" s="1"/>
      <c r="U108" s="1"/>
      <c r="V108" s="1"/>
      <c r="W108" s="1"/>
      <c r="X108" s="1"/>
      <c r="Y108" s="44"/>
    </row>
    <row r="109">
      <c r="F109" s="1"/>
      <c r="G109" s="1"/>
      <c r="H109" s="1"/>
      <c r="I109" s="1"/>
      <c r="J109" s="1"/>
      <c r="L109" s="67"/>
      <c r="M109" s="1"/>
      <c r="N109" s="1"/>
      <c r="O109" s="1"/>
      <c r="P109" s="1"/>
      <c r="Q109" s="69"/>
      <c r="R109" s="1"/>
      <c r="S109" s="1"/>
      <c r="T109" s="1"/>
      <c r="U109" s="1"/>
      <c r="V109" s="1"/>
      <c r="W109" s="1"/>
      <c r="X109" s="1"/>
      <c r="Y109" s="44"/>
    </row>
    <row r="110">
      <c r="F110" s="1"/>
      <c r="G110" s="1"/>
      <c r="H110" s="1"/>
      <c r="I110" s="1"/>
      <c r="J110" s="1"/>
      <c r="L110" s="67"/>
      <c r="M110" s="1"/>
      <c r="N110" s="1"/>
      <c r="O110" s="1"/>
      <c r="P110" s="1"/>
      <c r="Q110" s="69"/>
      <c r="R110" s="1"/>
      <c r="S110" s="1"/>
      <c r="T110" s="1"/>
      <c r="U110" s="1"/>
      <c r="V110" s="1"/>
      <c r="W110" s="1"/>
      <c r="X110" s="1"/>
      <c r="Y110" s="44"/>
    </row>
    <row r="111">
      <c r="F111" s="1"/>
      <c r="G111" s="1"/>
      <c r="H111" s="1"/>
      <c r="I111" s="1"/>
      <c r="J111" s="1"/>
      <c r="L111" s="67"/>
      <c r="M111" s="1"/>
      <c r="N111" s="1"/>
      <c r="O111" s="1"/>
      <c r="P111" s="1"/>
      <c r="Q111" s="69"/>
      <c r="R111" s="1"/>
      <c r="S111" s="1"/>
      <c r="T111" s="1"/>
      <c r="U111" s="1"/>
      <c r="V111" s="1"/>
      <c r="W111" s="1"/>
      <c r="X111" s="1"/>
      <c r="Y111" s="44"/>
    </row>
    <row r="112">
      <c r="F112" s="1"/>
      <c r="G112" s="1"/>
      <c r="H112" s="1"/>
      <c r="I112" s="1"/>
      <c r="J112" s="1"/>
      <c r="L112" s="67"/>
      <c r="M112" s="1"/>
      <c r="N112" s="1"/>
      <c r="O112" s="1"/>
      <c r="P112" s="1"/>
      <c r="Q112" s="69"/>
      <c r="R112" s="1"/>
      <c r="S112" s="1"/>
      <c r="T112" s="1"/>
      <c r="U112" s="1"/>
      <c r="V112" s="1"/>
      <c r="W112" s="1"/>
      <c r="X112" s="1"/>
      <c r="Y112" s="44"/>
    </row>
    <row r="113">
      <c r="F113" s="1"/>
      <c r="G113" s="1"/>
      <c r="H113" s="1"/>
      <c r="I113" s="1"/>
      <c r="J113" s="1"/>
      <c r="L113" s="67"/>
      <c r="M113" s="1"/>
      <c r="N113" s="1"/>
      <c r="O113" s="1"/>
      <c r="P113" s="1"/>
      <c r="Q113" s="69"/>
      <c r="R113" s="1"/>
      <c r="S113" s="1"/>
      <c r="T113" s="1"/>
      <c r="U113" s="1"/>
      <c r="V113" s="1"/>
      <c r="W113" s="1"/>
      <c r="X113" s="1"/>
      <c r="Y113" s="44"/>
    </row>
    <row r="114">
      <c r="F114" s="1"/>
      <c r="G114" s="1"/>
      <c r="H114" s="1"/>
      <c r="I114" s="1"/>
      <c r="J114" s="1"/>
      <c r="L114" s="67"/>
      <c r="M114" s="1"/>
      <c r="N114" s="1"/>
      <c r="O114" s="1"/>
      <c r="P114" s="1"/>
      <c r="Q114" s="69"/>
      <c r="R114" s="1"/>
      <c r="S114" s="1"/>
      <c r="T114" s="1"/>
      <c r="U114" s="1"/>
      <c r="V114" s="1"/>
      <c r="W114" s="1"/>
      <c r="X114" s="1"/>
      <c r="Y114" s="44"/>
    </row>
    <row r="115">
      <c r="F115" s="1"/>
      <c r="G115" s="1"/>
      <c r="H115" s="1"/>
      <c r="I115" s="1"/>
      <c r="J115" s="1"/>
      <c r="L115" s="67"/>
      <c r="M115" s="1"/>
      <c r="N115" s="1"/>
      <c r="O115" s="1"/>
      <c r="P115" s="1"/>
      <c r="Q115" s="69"/>
      <c r="R115" s="1"/>
      <c r="S115" s="1"/>
      <c r="T115" s="1"/>
      <c r="U115" s="1"/>
      <c r="V115" s="1"/>
      <c r="W115" s="1"/>
      <c r="X115" s="1"/>
      <c r="Y115" s="44"/>
    </row>
    <row r="116">
      <c r="F116" s="1"/>
      <c r="G116" s="1"/>
      <c r="H116" s="1"/>
      <c r="I116" s="1"/>
      <c r="J116" s="1"/>
      <c r="L116" s="67"/>
      <c r="M116" s="1"/>
      <c r="N116" s="1"/>
      <c r="O116" s="1"/>
      <c r="P116" s="1"/>
      <c r="Q116" s="69"/>
      <c r="R116" s="1"/>
      <c r="S116" s="1"/>
      <c r="T116" s="1"/>
      <c r="U116" s="1"/>
      <c r="V116" s="1"/>
      <c r="W116" s="1"/>
      <c r="X116" s="1"/>
      <c r="Y116" s="44"/>
    </row>
    <row r="117">
      <c r="F117" s="1"/>
      <c r="G117" s="1"/>
      <c r="H117" s="1"/>
      <c r="I117" s="1"/>
      <c r="J117" s="1"/>
      <c r="L117" s="67"/>
      <c r="M117" s="1"/>
      <c r="N117" s="1"/>
      <c r="O117" s="1"/>
      <c r="P117" s="1"/>
      <c r="Q117" s="69"/>
      <c r="R117" s="1"/>
      <c r="S117" s="1"/>
      <c r="T117" s="1"/>
      <c r="U117" s="1"/>
      <c r="V117" s="1"/>
      <c r="W117" s="1"/>
      <c r="X117" s="1"/>
      <c r="Y117" s="44"/>
    </row>
    <row r="118">
      <c r="F118" s="1"/>
      <c r="G118" s="1"/>
      <c r="H118" s="1"/>
      <c r="I118" s="1"/>
      <c r="J118" s="1"/>
      <c r="L118" s="67"/>
      <c r="M118" s="1"/>
      <c r="N118" s="1"/>
      <c r="O118" s="1"/>
      <c r="P118" s="1"/>
      <c r="Q118" s="69"/>
      <c r="R118" s="1"/>
      <c r="S118" s="1"/>
      <c r="T118" s="1"/>
      <c r="U118" s="1"/>
      <c r="V118" s="1"/>
      <c r="W118" s="1"/>
      <c r="X118" s="1"/>
      <c r="Y118" s="44"/>
    </row>
    <row r="119">
      <c r="F119" s="1"/>
      <c r="G119" s="1"/>
      <c r="H119" s="1"/>
      <c r="I119" s="1"/>
      <c r="J119" s="1"/>
      <c r="L119" s="67"/>
      <c r="M119" s="1"/>
      <c r="N119" s="1"/>
      <c r="O119" s="1"/>
      <c r="P119" s="1"/>
      <c r="Q119" s="69"/>
      <c r="R119" s="1"/>
      <c r="S119" s="1"/>
      <c r="T119" s="1"/>
      <c r="U119" s="1"/>
      <c r="V119" s="1"/>
      <c r="W119" s="1"/>
      <c r="X119" s="1"/>
      <c r="Y119" s="44"/>
    </row>
    <row r="120">
      <c r="F120" s="1"/>
      <c r="G120" s="1"/>
      <c r="H120" s="1"/>
      <c r="I120" s="1"/>
      <c r="J120" s="1"/>
      <c r="L120" s="67"/>
      <c r="M120" s="1"/>
      <c r="N120" s="1"/>
      <c r="O120" s="1"/>
      <c r="P120" s="1"/>
      <c r="Q120" s="69"/>
      <c r="R120" s="1"/>
      <c r="S120" s="1"/>
      <c r="T120" s="1"/>
      <c r="U120" s="1"/>
      <c r="V120" s="1"/>
      <c r="W120" s="1"/>
      <c r="X120" s="1"/>
      <c r="Y120" s="44"/>
    </row>
    <row r="121">
      <c r="F121" s="1"/>
      <c r="G121" s="1"/>
      <c r="H121" s="1"/>
      <c r="I121" s="1"/>
      <c r="J121" s="1"/>
      <c r="L121" s="67"/>
      <c r="M121" s="1"/>
      <c r="N121" s="1"/>
      <c r="O121" s="1"/>
      <c r="P121" s="1"/>
      <c r="Q121" s="69"/>
      <c r="R121" s="1"/>
      <c r="S121" s="1"/>
      <c r="T121" s="1"/>
      <c r="U121" s="1"/>
      <c r="V121" s="1"/>
      <c r="W121" s="1"/>
      <c r="X121" s="1"/>
      <c r="Y121" s="44"/>
    </row>
    <row r="122">
      <c r="F122" s="1"/>
      <c r="G122" s="1"/>
      <c r="H122" s="1"/>
      <c r="I122" s="1"/>
      <c r="J122" s="1"/>
      <c r="L122" s="67"/>
      <c r="M122" s="1"/>
      <c r="N122" s="1"/>
      <c r="O122" s="1"/>
      <c r="P122" s="1"/>
      <c r="Q122" s="69"/>
      <c r="R122" s="1"/>
      <c r="S122" s="1"/>
      <c r="T122" s="1"/>
      <c r="U122" s="1"/>
      <c r="V122" s="1"/>
      <c r="W122" s="1"/>
      <c r="X122" s="1"/>
      <c r="Y122" s="44"/>
    </row>
    <row r="123">
      <c r="F123" s="1"/>
      <c r="G123" s="1"/>
      <c r="H123" s="1"/>
      <c r="I123" s="1"/>
      <c r="J123" s="1"/>
      <c r="L123" s="67"/>
      <c r="M123" s="1"/>
      <c r="N123" s="1"/>
      <c r="O123" s="1"/>
      <c r="P123" s="1"/>
      <c r="Q123" s="69"/>
      <c r="R123" s="1"/>
      <c r="S123" s="1"/>
      <c r="T123" s="1"/>
      <c r="U123" s="1"/>
      <c r="V123" s="1"/>
      <c r="W123" s="1"/>
      <c r="X123" s="1"/>
      <c r="Y123" s="44"/>
    </row>
    <row r="124">
      <c r="F124" s="1"/>
      <c r="G124" s="1"/>
      <c r="H124" s="1"/>
      <c r="I124" s="1"/>
      <c r="J124" s="1"/>
      <c r="L124" s="67"/>
      <c r="M124" s="1"/>
      <c r="N124" s="1"/>
      <c r="O124" s="1"/>
      <c r="P124" s="1"/>
      <c r="Q124" s="69"/>
      <c r="R124" s="1"/>
      <c r="S124" s="1"/>
      <c r="T124" s="1"/>
      <c r="U124" s="1"/>
      <c r="V124" s="1"/>
      <c r="W124" s="1"/>
      <c r="X124" s="1"/>
      <c r="Y124" s="44"/>
    </row>
    <row r="125">
      <c r="F125" s="1"/>
      <c r="G125" s="1"/>
      <c r="H125" s="1"/>
      <c r="I125" s="1"/>
      <c r="J125" s="1"/>
      <c r="L125" s="67"/>
      <c r="M125" s="1"/>
      <c r="N125" s="1"/>
      <c r="O125" s="1"/>
      <c r="P125" s="1"/>
      <c r="Q125" s="69"/>
      <c r="R125" s="1"/>
      <c r="S125" s="1"/>
      <c r="T125" s="1"/>
      <c r="U125" s="1"/>
      <c r="V125" s="1"/>
      <c r="W125" s="1"/>
      <c r="X125" s="1"/>
      <c r="Y125" s="44"/>
    </row>
    <row r="126">
      <c r="F126" s="1"/>
      <c r="G126" s="1"/>
      <c r="H126" s="1"/>
      <c r="I126" s="1"/>
      <c r="J126" s="1"/>
      <c r="L126" s="67"/>
      <c r="M126" s="1"/>
      <c r="N126" s="1"/>
      <c r="O126" s="1"/>
      <c r="P126" s="1"/>
      <c r="Q126" s="69"/>
      <c r="R126" s="1"/>
      <c r="S126" s="1"/>
      <c r="T126" s="1"/>
      <c r="U126" s="1"/>
      <c r="V126" s="1"/>
      <c r="W126" s="1"/>
      <c r="X126" s="1"/>
      <c r="Y126" s="44"/>
    </row>
    <row r="127">
      <c r="F127" s="1"/>
      <c r="G127" s="1"/>
      <c r="H127" s="1"/>
      <c r="I127" s="1"/>
      <c r="J127" s="1"/>
      <c r="L127" s="67"/>
      <c r="M127" s="1"/>
      <c r="N127" s="1"/>
      <c r="O127" s="1"/>
      <c r="P127" s="1"/>
      <c r="Q127" s="69"/>
      <c r="R127" s="1"/>
      <c r="S127" s="1"/>
      <c r="T127" s="1"/>
      <c r="U127" s="1"/>
      <c r="V127" s="1"/>
      <c r="W127" s="1"/>
      <c r="X127" s="1"/>
      <c r="Y127" s="44"/>
    </row>
    <row r="128">
      <c r="F128" s="1"/>
      <c r="G128" s="1"/>
      <c r="H128" s="1"/>
      <c r="I128" s="1"/>
      <c r="J128" s="1"/>
      <c r="L128" s="67"/>
      <c r="M128" s="1"/>
      <c r="N128" s="1"/>
      <c r="O128" s="1"/>
      <c r="P128" s="1"/>
      <c r="Q128" s="69"/>
      <c r="R128" s="1"/>
      <c r="S128" s="1"/>
      <c r="T128" s="1"/>
      <c r="U128" s="1"/>
      <c r="V128" s="1"/>
      <c r="W128" s="1"/>
      <c r="X128" s="1"/>
      <c r="Y128" s="44"/>
    </row>
    <row r="129">
      <c r="F129" s="1"/>
      <c r="G129" s="1"/>
      <c r="H129" s="1"/>
      <c r="I129" s="1"/>
      <c r="J129" s="1"/>
      <c r="L129" s="67"/>
      <c r="M129" s="1"/>
      <c r="N129" s="1"/>
      <c r="O129" s="1"/>
      <c r="P129" s="1"/>
      <c r="Q129" s="69"/>
      <c r="R129" s="1"/>
      <c r="S129" s="1"/>
      <c r="T129" s="1"/>
      <c r="U129" s="1"/>
      <c r="V129" s="1"/>
      <c r="W129" s="1"/>
      <c r="X129" s="1"/>
      <c r="Y129" s="44"/>
    </row>
    <row r="130">
      <c r="F130" s="1"/>
      <c r="G130" s="1"/>
      <c r="H130" s="1"/>
      <c r="I130" s="1"/>
      <c r="J130" s="1"/>
      <c r="L130" s="67"/>
      <c r="M130" s="1"/>
      <c r="N130" s="1"/>
      <c r="O130" s="1"/>
      <c r="P130" s="1"/>
      <c r="Q130" s="69"/>
      <c r="R130" s="1"/>
      <c r="S130" s="1"/>
      <c r="T130" s="1"/>
      <c r="U130" s="1"/>
      <c r="V130" s="1"/>
      <c r="W130" s="1"/>
      <c r="X130" s="1"/>
      <c r="Y130" s="44"/>
    </row>
    <row r="131">
      <c r="F131" s="1"/>
      <c r="G131" s="1"/>
      <c r="H131" s="1"/>
      <c r="I131" s="1"/>
      <c r="J131" s="1"/>
      <c r="L131" s="67"/>
      <c r="M131" s="1"/>
      <c r="N131" s="1"/>
      <c r="O131" s="1"/>
      <c r="P131" s="1"/>
      <c r="Q131" s="69"/>
      <c r="R131" s="1"/>
      <c r="S131" s="1"/>
      <c r="T131" s="1"/>
      <c r="U131" s="1"/>
      <c r="V131" s="1"/>
      <c r="W131" s="1"/>
      <c r="X131" s="1"/>
      <c r="Y131" s="44"/>
    </row>
    <row r="132">
      <c r="F132" s="1"/>
      <c r="G132" s="1"/>
      <c r="H132" s="1"/>
      <c r="I132" s="1"/>
      <c r="J132" s="1"/>
      <c r="L132" s="67"/>
      <c r="M132" s="1"/>
      <c r="N132" s="1"/>
      <c r="O132" s="1"/>
      <c r="P132" s="1"/>
      <c r="Q132" s="69"/>
      <c r="R132" s="1"/>
      <c r="S132" s="1"/>
      <c r="T132" s="1"/>
      <c r="U132" s="1"/>
      <c r="V132" s="1"/>
      <c r="W132" s="1"/>
      <c r="X132" s="1"/>
      <c r="Y132" s="44"/>
    </row>
    <row r="133">
      <c r="F133" s="1"/>
      <c r="G133" s="1"/>
      <c r="H133" s="1"/>
      <c r="I133" s="1"/>
      <c r="J133" s="1"/>
      <c r="L133" s="67"/>
      <c r="M133" s="1"/>
      <c r="N133" s="1"/>
      <c r="O133" s="1"/>
      <c r="P133" s="1"/>
      <c r="Q133" s="69"/>
      <c r="R133" s="1"/>
      <c r="S133" s="1"/>
      <c r="T133" s="1"/>
      <c r="U133" s="1"/>
      <c r="V133" s="1"/>
      <c r="W133" s="1"/>
      <c r="X133" s="1"/>
      <c r="Y133" s="44"/>
    </row>
    <row r="134">
      <c r="F134" s="1"/>
      <c r="G134" s="1"/>
      <c r="H134" s="1"/>
      <c r="I134" s="1"/>
      <c r="J134" s="1"/>
      <c r="L134" s="67"/>
      <c r="M134" s="1"/>
      <c r="N134" s="1"/>
      <c r="O134" s="1"/>
      <c r="P134" s="1"/>
      <c r="Q134" s="69"/>
      <c r="R134" s="1"/>
      <c r="S134" s="1"/>
      <c r="T134" s="1"/>
      <c r="U134" s="1"/>
      <c r="V134" s="1"/>
      <c r="W134" s="1"/>
      <c r="X134" s="1"/>
      <c r="Y134" s="44"/>
    </row>
    <row r="135">
      <c r="F135" s="1"/>
      <c r="G135" s="1"/>
      <c r="H135" s="1"/>
      <c r="I135" s="1"/>
      <c r="J135" s="1"/>
      <c r="L135" s="67"/>
      <c r="M135" s="1"/>
      <c r="N135" s="1"/>
      <c r="O135" s="1"/>
      <c r="P135" s="1"/>
      <c r="Q135" s="69"/>
      <c r="R135" s="1"/>
      <c r="S135" s="1"/>
      <c r="T135" s="1"/>
      <c r="U135" s="1"/>
      <c r="V135" s="1"/>
      <c r="W135" s="1"/>
      <c r="X135" s="1"/>
      <c r="Y135" s="44"/>
    </row>
    <row r="136">
      <c r="F136" s="1"/>
      <c r="G136" s="1"/>
      <c r="H136" s="1"/>
      <c r="I136" s="1"/>
      <c r="J136" s="1"/>
      <c r="L136" s="67"/>
      <c r="M136" s="1"/>
      <c r="N136" s="1"/>
      <c r="O136" s="1"/>
      <c r="P136" s="1"/>
      <c r="Q136" s="69"/>
      <c r="R136" s="1"/>
      <c r="S136" s="1"/>
      <c r="T136" s="1"/>
      <c r="U136" s="1"/>
      <c r="V136" s="1"/>
      <c r="W136" s="1"/>
      <c r="X136" s="1"/>
      <c r="Y136" s="44"/>
    </row>
    <row r="137">
      <c r="F137" s="1"/>
      <c r="G137" s="1"/>
      <c r="H137" s="1"/>
      <c r="I137" s="1"/>
      <c r="J137" s="1"/>
      <c r="L137" s="67"/>
      <c r="M137" s="1"/>
      <c r="N137" s="1"/>
      <c r="O137" s="1"/>
      <c r="P137" s="1"/>
      <c r="Q137" s="69"/>
      <c r="R137" s="1"/>
      <c r="S137" s="1"/>
      <c r="T137" s="1"/>
      <c r="U137" s="1"/>
      <c r="V137" s="1"/>
      <c r="W137" s="1"/>
      <c r="X137" s="1"/>
      <c r="Y137" s="44"/>
    </row>
    <row r="138">
      <c r="F138" s="1"/>
      <c r="G138" s="1"/>
      <c r="H138" s="1"/>
      <c r="I138" s="1"/>
      <c r="J138" s="1"/>
      <c r="L138" s="67"/>
      <c r="M138" s="1"/>
      <c r="N138" s="1"/>
      <c r="O138" s="1"/>
      <c r="P138" s="1"/>
      <c r="Q138" s="69"/>
      <c r="R138" s="1"/>
      <c r="S138" s="1"/>
      <c r="T138" s="1"/>
      <c r="U138" s="1"/>
      <c r="V138" s="1"/>
      <c r="W138" s="1"/>
      <c r="X138" s="1"/>
      <c r="Y138" s="44"/>
    </row>
    <row r="139">
      <c r="F139" s="1"/>
      <c r="G139" s="1"/>
      <c r="H139" s="1"/>
      <c r="I139" s="1"/>
      <c r="J139" s="1"/>
      <c r="L139" s="67"/>
      <c r="M139" s="1"/>
      <c r="N139" s="1"/>
      <c r="O139" s="1"/>
      <c r="P139" s="1"/>
      <c r="Q139" s="69"/>
      <c r="R139" s="1"/>
      <c r="S139" s="1"/>
      <c r="T139" s="1"/>
      <c r="U139" s="1"/>
      <c r="V139" s="1"/>
      <c r="W139" s="1"/>
      <c r="X139" s="1"/>
      <c r="Y139" s="44"/>
    </row>
    <row r="140">
      <c r="F140" s="1"/>
      <c r="G140" s="1"/>
      <c r="H140" s="1"/>
      <c r="I140" s="1"/>
      <c r="J140" s="1"/>
      <c r="L140" s="67"/>
      <c r="M140" s="1"/>
      <c r="N140" s="1"/>
      <c r="O140" s="1"/>
      <c r="P140" s="1"/>
      <c r="Q140" s="69"/>
      <c r="R140" s="1"/>
      <c r="S140" s="1"/>
      <c r="T140" s="1"/>
      <c r="U140" s="1"/>
      <c r="V140" s="1"/>
      <c r="W140" s="1"/>
      <c r="X140" s="1"/>
      <c r="Y140" s="44"/>
    </row>
    <row r="141">
      <c r="F141" s="1"/>
      <c r="G141" s="1"/>
      <c r="H141" s="1"/>
      <c r="I141" s="1"/>
      <c r="J141" s="1"/>
      <c r="L141" s="67"/>
      <c r="M141" s="1"/>
      <c r="N141" s="1"/>
      <c r="O141" s="1"/>
      <c r="P141" s="1"/>
      <c r="Q141" s="69"/>
      <c r="R141" s="1"/>
      <c r="S141" s="1"/>
      <c r="T141" s="1"/>
      <c r="U141" s="1"/>
      <c r="V141" s="1"/>
      <c r="W141" s="1"/>
      <c r="X141" s="1"/>
      <c r="Y141" s="44"/>
    </row>
    <row r="142">
      <c r="F142" s="1"/>
      <c r="G142" s="1"/>
      <c r="H142" s="1"/>
      <c r="I142" s="1"/>
      <c r="J142" s="1"/>
      <c r="L142" s="67"/>
      <c r="M142" s="1"/>
      <c r="N142" s="1"/>
      <c r="O142" s="1"/>
      <c r="P142" s="1"/>
      <c r="Q142" s="69"/>
      <c r="R142" s="1"/>
      <c r="S142" s="1"/>
      <c r="T142" s="1"/>
      <c r="U142" s="1"/>
      <c r="V142" s="1"/>
      <c r="W142" s="1"/>
      <c r="X142" s="1"/>
      <c r="Y142" s="44"/>
    </row>
    <row r="143">
      <c r="F143" s="1"/>
      <c r="G143" s="1"/>
      <c r="H143" s="1"/>
      <c r="I143" s="1"/>
      <c r="J143" s="1"/>
      <c r="L143" s="67"/>
      <c r="M143" s="1"/>
      <c r="N143" s="1"/>
      <c r="O143" s="1"/>
      <c r="P143" s="1"/>
      <c r="Q143" s="69"/>
      <c r="R143" s="1"/>
      <c r="S143" s="1"/>
      <c r="T143" s="1"/>
      <c r="U143" s="1"/>
      <c r="V143" s="1"/>
      <c r="W143" s="1"/>
      <c r="X143" s="1"/>
      <c r="Y143" s="44"/>
    </row>
    <row r="144">
      <c r="F144" s="1"/>
      <c r="G144" s="1"/>
      <c r="H144" s="1"/>
      <c r="I144" s="1"/>
      <c r="J144" s="1"/>
      <c r="L144" s="67"/>
      <c r="M144" s="1"/>
      <c r="N144" s="1"/>
      <c r="O144" s="1"/>
      <c r="P144" s="1"/>
      <c r="Q144" s="69"/>
      <c r="R144" s="1"/>
      <c r="S144" s="1"/>
      <c r="T144" s="1"/>
      <c r="U144" s="1"/>
      <c r="V144" s="1"/>
      <c r="W144" s="1"/>
      <c r="X144" s="1"/>
      <c r="Y144" s="44"/>
    </row>
    <row r="145">
      <c r="F145" s="1"/>
      <c r="G145" s="1"/>
      <c r="H145" s="1"/>
      <c r="I145" s="1"/>
      <c r="J145" s="1"/>
      <c r="L145" s="67"/>
      <c r="M145" s="1"/>
      <c r="N145" s="1"/>
      <c r="O145" s="1"/>
      <c r="P145" s="1"/>
      <c r="Q145" s="69"/>
      <c r="R145" s="1"/>
      <c r="S145" s="1"/>
      <c r="T145" s="1"/>
      <c r="U145" s="1"/>
      <c r="V145" s="1"/>
      <c r="W145" s="1"/>
      <c r="X145" s="1"/>
      <c r="Y145" s="44"/>
    </row>
    <row r="146">
      <c r="F146" s="1"/>
      <c r="G146" s="1"/>
      <c r="H146" s="1"/>
      <c r="I146" s="1"/>
      <c r="J146" s="1"/>
      <c r="L146" s="67"/>
      <c r="M146" s="1"/>
      <c r="N146" s="1"/>
      <c r="O146" s="1"/>
      <c r="P146" s="1"/>
      <c r="Q146" s="69"/>
      <c r="R146" s="1"/>
      <c r="S146" s="1"/>
      <c r="T146" s="1"/>
      <c r="U146" s="1"/>
      <c r="V146" s="1"/>
      <c r="W146" s="1"/>
      <c r="X146" s="1"/>
      <c r="Y146" s="44"/>
    </row>
    <row r="147">
      <c r="F147" s="1"/>
      <c r="G147" s="1"/>
      <c r="H147" s="1"/>
      <c r="I147" s="1"/>
      <c r="J147" s="1"/>
      <c r="L147" s="67"/>
      <c r="M147" s="1"/>
      <c r="N147" s="1"/>
      <c r="O147" s="1"/>
      <c r="P147" s="1"/>
      <c r="Q147" s="69"/>
      <c r="R147" s="1"/>
      <c r="S147" s="1"/>
      <c r="T147" s="1"/>
      <c r="U147" s="1"/>
      <c r="V147" s="1"/>
      <c r="W147" s="1"/>
      <c r="X147" s="1"/>
      <c r="Y147" s="44"/>
    </row>
    <row r="148">
      <c r="F148" s="1"/>
      <c r="G148" s="1"/>
      <c r="H148" s="1"/>
      <c r="I148" s="1"/>
      <c r="J148" s="1"/>
      <c r="L148" s="67"/>
      <c r="M148" s="1"/>
      <c r="N148" s="1"/>
      <c r="O148" s="1"/>
      <c r="P148" s="1"/>
      <c r="Q148" s="69"/>
      <c r="R148" s="1"/>
      <c r="S148" s="1"/>
      <c r="T148" s="1"/>
      <c r="U148" s="1"/>
      <c r="V148" s="1"/>
      <c r="W148" s="1"/>
      <c r="X148" s="1"/>
      <c r="Y148" s="44"/>
    </row>
    <row r="149">
      <c r="F149" s="1"/>
      <c r="G149" s="1"/>
      <c r="H149" s="1"/>
      <c r="I149" s="1"/>
      <c r="J149" s="1"/>
      <c r="L149" s="67"/>
      <c r="M149" s="1"/>
      <c r="N149" s="1"/>
      <c r="O149" s="1"/>
      <c r="P149" s="1"/>
      <c r="Q149" s="69"/>
      <c r="R149" s="1"/>
      <c r="S149" s="1"/>
      <c r="T149" s="1"/>
      <c r="U149" s="1"/>
      <c r="V149" s="1"/>
      <c r="W149" s="1"/>
      <c r="X149" s="1"/>
      <c r="Y149" s="44"/>
    </row>
    <row r="150">
      <c r="F150" s="1"/>
      <c r="G150" s="1"/>
      <c r="H150" s="1"/>
      <c r="I150" s="1"/>
      <c r="J150" s="1"/>
      <c r="L150" s="67"/>
      <c r="M150" s="1"/>
      <c r="N150" s="1"/>
      <c r="O150" s="1"/>
      <c r="P150" s="1"/>
      <c r="Q150" s="69"/>
      <c r="R150" s="1"/>
      <c r="S150" s="1"/>
      <c r="T150" s="1"/>
      <c r="U150" s="1"/>
      <c r="V150" s="1"/>
      <c r="W150" s="1"/>
      <c r="X150" s="1"/>
      <c r="Y150" s="44"/>
    </row>
    <row r="151">
      <c r="F151" s="1"/>
      <c r="G151" s="1"/>
      <c r="H151" s="1"/>
      <c r="I151" s="1"/>
      <c r="J151" s="1"/>
      <c r="L151" s="67"/>
      <c r="M151" s="1"/>
      <c r="N151" s="1"/>
      <c r="O151" s="1"/>
      <c r="P151" s="1"/>
      <c r="Q151" s="69"/>
      <c r="R151" s="1"/>
      <c r="S151" s="1"/>
      <c r="T151" s="1"/>
      <c r="U151" s="1"/>
      <c r="V151" s="1"/>
      <c r="W151" s="1"/>
      <c r="X151" s="1"/>
      <c r="Y151" s="44"/>
    </row>
    <row r="152">
      <c r="F152" s="1"/>
      <c r="G152" s="1"/>
      <c r="H152" s="1"/>
      <c r="I152" s="1"/>
      <c r="J152" s="1"/>
      <c r="L152" s="67"/>
      <c r="M152" s="1"/>
      <c r="N152" s="1"/>
      <c r="O152" s="1"/>
      <c r="P152" s="1"/>
      <c r="Q152" s="69"/>
      <c r="R152" s="1"/>
      <c r="S152" s="1"/>
      <c r="T152" s="1"/>
      <c r="U152" s="1"/>
      <c r="V152" s="1"/>
      <c r="W152" s="1"/>
      <c r="X152" s="1"/>
      <c r="Y152" s="44"/>
    </row>
    <row r="153">
      <c r="F153" s="1"/>
      <c r="G153" s="1"/>
      <c r="H153" s="1"/>
      <c r="I153" s="1"/>
      <c r="J153" s="1"/>
      <c r="L153" s="67"/>
      <c r="M153" s="1"/>
      <c r="N153" s="1"/>
      <c r="O153" s="1"/>
      <c r="P153" s="1"/>
      <c r="Q153" s="69"/>
      <c r="R153" s="1"/>
      <c r="S153" s="1"/>
      <c r="T153" s="1"/>
      <c r="U153" s="1"/>
      <c r="V153" s="1"/>
      <c r="W153" s="1"/>
      <c r="X153" s="1"/>
      <c r="Y153" s="44"/>
    </row>
    <row r="154">
      <c r="F154" s="1"/>
      <c r="G154" s="1"/>
      <c r="H154" s="1"/>
      <c r="I154" s="1"/>
      <c r="J154" s="1"/>
      <c r="L154" s="67"/>
      <c r="M154" s="1"/>
      <c r="N154" s="1"/>
      <c r="O154" s="1"/>
      <c r="P154" s="1"/>
      <c r="Q154" s="69"/>
      <c r="R154" s="1"/>
      <c r="S154" s="1"/>
      <c r="T154" s="1"/>
      <c r="U154" s="1"/>
      <c r="V154" s="1"/>
      <c r="W154" s="1"/>
      <c r="X154" s="1"/>
      <c r="Y154" s="44"/>
    </row>
    <row r="155">
      <c r="F155" s="1"/>
      <c r="G155" s="1"/>
      <c r="H155" s="1"/>
      <c r="I155" s="1"/>
      <c r="J155" s="1"/>
      <c r="L155" s="67"/>
      <c r="M155" s="1"/>
      <c r="N155" s="1"/>
      <c r="O155" s="1"/>
      <c r="P155" s="1"/>
      <c r="Q155" s="69"/>
      <c r="R155" s="1"/>
      <c r="S155" s="1"/>
      <c r="T155" s="1"/>
      <c r="U155" s="1"/>
      <c r="V155" s="1"/>
      <c r="W155" s="1"/>
      <c r="X155" s="1"/>
      <c r="Y155" s="44"/>
    </row>
    <row r="156">
      <c r="F156" s="1"/>
      <c r="G156" s="1"/>
      <c r="H156" s="1"/>
      <c r="I156" s="1"/>
      <c r="J156" s="1"/>
      <c r="L156" s="67"/>
      <c r="M156" s="1"/>
      <c r="N156" s="1"/>
      <c r="O156" s="1"/>
      <c r="P156" s="1"/>
      <c r="Q156" s="69"/>
      <c r="R156" s="1"/>
      <c r="S156" s="1"/>
      <c r="T156" s="1"/>
      <c r="U156" s="1"/>
      <c r="V156" s="1"/>
      <c r="W156" s="1"/>
      <c r="X156" s="1"/>
      <c r="Y156" s="44"/>
    </row>
    <row r="157">
      <c r="F157" s="1"/>
      <c r="G157" s="1"/>
      <c r="H157" s="1"/>
      <c r="I157" s="1"/>
      <c r="J157" s="1"/>
      <c r="L157" s="67"/>
      <c r="M157" s="1"/>
      <c r="N157" s="1"/>
      <c r="O157" s="1"/>
      <c r="P157" s="1"/>
      <c r="Q157" s="69"/>
      <c r="R157" s="1"/>
      <c r="S157" s="1"/>
      <c r="T157" s="1"/>
      <c r="U157" s="1"/>
      <c r="V157" s="1"/>
      <c r="W157" s="1"/>
      <c r="X157" s="1"/>
      <c r="Y157" s="44"/>
    </row>
    <row r="158">
      <c r="F158" s="1"/>
      <c r="G158" s="1"/>
      <c r="H158" s="1"/>
      <c r="I158" s="1"/>
      <c r="J158" s="1"/>
      <c r="L158" s="67"/>
      <c r="M158" s="1"/>
      <c r="N158" s="1"/>
      <c r="O158" s="1"/>
      <c r="P158" s="1"/>
      <c r="Q158" s="69"/>
      <c r="R158" s="1"/>
      <c r="S158" s="1"/>
      <c r="T158" s="1"/>
      <c r="U158" s="1"/>
      <c r="V158" s="1"/>
      <c r="W158" s="1"/>
      <c r="X158" s="1"/>
      <c r="Y158" s="44"/>
    </row>
    <row r="159">
      <c r="F159" s="1"/>
      <c r="G159" s="1"/>
      <c r="H159" s="1"/>
      <c r="I159" s="1"/>
      <c r="J159" s="1"/>
      <c r="L159" s="67"/>
      <c r="M159" s="1"/>
      <c r="N159" s="1"/>
      <c r="O159" s="1"/>
      <c r="P159" s="1"/>
      <c r="Q159" s="69"/>
      <c r="R159" s="1"/>
      <c r="S159" s="1"/>
      <c r="T159" s="1"/>
      <c r="U159" s="1"/>
      <c r="V159" s="1"/>
      <c r="W159" s="1"/>
      <c r="X159" s="1"/>
      <c r="Y159" s="44"/>
    </row>
    <row r="160">
      <c r="F160" s="1"/>
      <c r="G160" s="1"/>
      <c r="H160" s="1"/>
      <c r="I160" s="1"/>
      <c r="J160" s="1"/>
      <c r="L160" s="67"/>
      <c r="M160" s="1"/>
      <c r="N160" s="1"/>
      <c r="O160" s="1"/>
      <c r="P160" s="1"/>
      <c r="Q160" s="69"/>
      <c r="R160" s="1"/>
      <c r="S160" s="1"/>
      <c r="T160" s="1"/>
      <c r="U160" s="1"/>
      <c r="V160" s="1"/>
      <c r="W160" s="1"/>
      <c r="X160" s="1"/>
      <c r="Y160" s="44"/>
    </row>
    <row r="161">
      <c r="F161" s="1"/>
      <c r="G161" s="1"/>
      <c r="H161" s="1"/>
      <c r="I161" s="1"/>
      <c r="J161" s="1"/>
      <c r="L161" s="67"/>
      <c r="M161" s="1"/>
      <c r="N161" s="1"/>
      <c r="O161" s="1"/>
      <c r="P161" s="1"/>
      <c r="Q161" s="69"/>
      <c r="R161" s="1"/>
      <c r="S161" s="1"/>
      <c r="T161" s="1"/>
      <c r="U161" s="1"/>
      <c r="V161" s="1"/>
      <c r="W161" s="1"/>
      <c r="X161" s="1"/>
      <c r="Y161" s="44"/>
    </row>
    <row r="162">
      <c r="F162" s="1"/>
      <c r="G162" s="1"/>
      <c r="H162" s="1"/>
      <c r="I162" s="1"/>
      <c r="J162" s="1"/>
      <c r="L162" s="67"/>
      <c r="M162" s="1"/>
      <c r="N162" s="1"/>
      <c r="O162" s="1"/>
      <c r="P162" s="1"/>
      <c r="Q162" s="69"/>
      <c r="R162" s="1"/>
      <c r="S162" s="1"/>
      <c r="T162" s="1"/>
      <c r="U162" s="1"/>
      <c r="V162" s="1"/>
      <c r="W162" s="1"/>
      <c r="X162" s="1"/>
      <c r="Y162" s="44"/>
    </row>
    <row r="163">
      <c r="F163" s="1"/>
      <c r="G163" s="1"/>
      <c r="H163" s="1"/>
      <c r="I163" s="1"/>
      <c r="J163" s="1"/>
      <c r="L163" s="67"/>
      <c r="M163" s="1"/>
      <c r="N163" s="1"/>
      <c r="O163" s="1"/>
      <c r="P163" s="1"/>
      <c r="Q163" s="69"/>
      <c r="R163" s="1"/>
      <c r="S163" s="1"/>
      <c r="T163" s="1"/>
      <c r="U163" s="1"/>
      <c r="V163" s="1"/>
      <c r="W163" s="1"/>
      <c r="X163" s="1"/>
      <c r="Y163" s="44"/>
    </row>
    <row r="164">
      <c r="F164" s="1"/>
      <c r="G164" s="1"/>
      <c r="H164" s="1"/>
      <c r="I164" s="1"/>
      <c r="J164" s="1"/>
      <c r="L164" s="67"/>
      <c r="M164" s="1"/>
      <c r="N164" s="1"/>
      <c r="O164" s="1"/>
      <c r="P164" s="1"/>
      <c r="Q164" s="69"/>
      <c r="R164" s="1"/>
      <c r="S164" s="1"/>
      <c r="T164" s="1"/>
      <c r="U164" s="1"/>
      <c r="V164" s="1"/>
      <c r="W164" s="1"/>
      <c r="X164" s="1"/>
      <c r="Y164" s="44"/>
    </row>
    <row r="165">
      <c r="F165" s="1"/>
      <c r="G165" s="1"/>
      <c r="H165" s="1"/>
      <c r="I165" s="1"/>
      <c r="J165" s="1"/>
      <c r="L165" s="67"/>
      <c r="M165" s="1"/>
      <c r="N165" s="1"/>
      <c r="O165" s="1"/>
      <c r="P165" s="1"/>
      <c r="Q165" s="69"/>
      <c r="R165" s="1"/>
      <c r="S165" s="1"/>
      <c r="T165" s="1"/>
      <c r="U165" s="1"/>
      <c r="V165" s="1"/>
      <c r="W165" s="1"/>
      <c r="X165" s="1"/>
      <c r="Y165" s="44"/>
    </row>
    <row r="166">
      <c r="F166" s="1"/>
      <c r="G166" s="1"/>
      <c r="H166" s="1"/>
      <c r="I166" s="1"/>
      <c r="J166" s="1"/>
      <c r="L166" s="67"/>
      <c r="M166" s="1"/>
      <c r="N166" s="1"/>
      <c r="O166" s="1"/>
      <c r="P166" s="1"/>
      <c r="Q166" s="69"/>
      <c r="R166" s="1"/>
      <c r="S166" s="1"/>
      <c r="T166" s="1"/>
      <c r="U166" s="1"/>
      <c r="V166" s="1"/>
      <c r="W166" s="1"/>
      <c r="X166" s="1"/>
      <c r="Y166" s="44"/>
    </row>
    <row r="167">
      <c r="F167" s="1"/>
      <c r="G167" s="1"/>
      <c r="H167" s="1"/>
      <c r="I167" s="1"/>
      <c r="J167" s="1"/>
      <c r="L167" s="67"/>
      <c r="M167" s="1"/>
      <c r="N167" s="1"/>
      <c r="O167" s="1"/>
      <c r="P167" s="1"/>
      <c r="Q167" s="69"/>
      <c r="R167" s="1"/>
      <c r="S167" s="1"/>
      <c r="T167" s="1"/>
      <c r="U167" s="1"/>
      <c r="V167" s="1"/>
      <c r="W167" s="1"/>
      <c r="X167" s="1"/>
      <c r="Y167" s="44"/>
    </row>
    <row r="168">
      <c r="F168" s="1"/>
      <c r="G168" s="1"/>
      <c r="H168" s="1"/>
      <c r="I168" s="1"/>
      <c r="J168" s="1"/>
      <c r="L168" s="67"/>
      <c r="M168" s="1"/>
      <c r="N168" s="1"/>
      <c r="O168" s="1"/>
      <c r="P168" s="1"/>
      <c r="Q168" s="69"/>
      <c r="R168" s="1"/>
      <c r="S168" s="1"/>
      <c r="T168" s="1"/>
      <c r="U168" s="1"/>
      <c r="V168" s="1"/>
      <c r="W168" s="1"/>
      <c r="X168" s="1"/>
      <c r="Y168" s="44"/>
    </row>
    <row r="169">
      <c r="F169" s="1"/>
      <c r="G169" s="1"/>
      <c r="H169" s="1"/>
      <c r="I169" s="1"/>
      <c r="J169" s="1"/>
      <c r="L169" s="67"/>
      <c r="M169" s="1"/>
      <c r="N169" s="1"/>
      <c r="O169" s="1"/>
      <c r="P169" s="1"/>
      <c r="Q169" s="69"/>
      <c r="R169" s="1"/>
      <c r="S169" s="1"/>
      <c r="T169" s="1"/>
      <c r="U169" s="1"/>
      <c r="V169" s="1"/>
      <c r="W169" s="1"/>
      <c r="X169" s="1"/>
      <c r="Y169" s="44"/>
    </row>
    <row r="170">
      <c r="F170" s="1"/>
      <c r="G170" s="1"/>
      <c r="H170" s="1"/>
      <c r="I170" s="1"/>
      <c r="J170" s="1"/>
      <c r="L170" s="67"/>
      <c r="M170" s="1"/>
      <c r="N170" s="1"/>
      <c r="O170" s="1"/>
      <c r="P170" s="1"/>
      <c r="Q170" s="69"/>
      <c r="R170" s="1"/>
      <c r="S170" s="1"/>
      <c r="T170" s="1"/>
      <c r="U170" s="1"/>
      <c r="V170" s="1"/>
      <c r="W170" s="1"/>
      <c r="X170" s="1"/>
      <c r="Y170" s="44"/>
    </row>
    <row r="171">
      <c r="F171" s="1"/>
      <c r="G171" s="1"/>
      <c r="H171" s="1"/>
      <c r="I171" s="1"/>
      <c r="J171" s="1"/>
      <c r="L171" s="67"/>
      <c r="M171" s="1"/>
      <c r="N171" s="1"/>
      <c r="O171" s="1"/>
      <c r="P171" s="1"/>
      <c r="Q171" s="69"/>
      <c r="R171" s="1"/>
      <c r="S171" s="1"/>
      <c r="T171" s="1"/>
      <c r="U171" s="1"/>
      <c r="V171" s="1"/>
      <c r="W171" s="1"/>
      <c r="X171" s="1"/>
      <c r="Y171" s="44"/>
    </row>
    <row r="172">
      <c r="F172" s="1"/>
      <c r="G172" s="1"/>
      <c r="H172" s="1"/>
      <c r="I172" s="1"/>
      <c r="J172" s="1"/>
      <c r="L172" s="67"/>
      <c r="M172" s="1"/>
      <c r="N172" s="1"/>
      <c r="O172" s="1"/>
      <c r="P172" s="1"/>
      <c r="Q172" s="69"/>
      <c r="R172" s="1"/>
      <c r="S172" s="1"/>
      <c r="T172" s="1"/>
      <c r="U172" s="1"/>
      <c r="V172" s="1"/>
      <c r="W172" s="1"/>
      <c r="X172" s="1"/>
      <c r="Y172" s="44"/>
    </row>
    <row r="173">
      <c r="F173" s="1"/>
      <c r="G173" s="1"/>
      <c r="H173" s="1"/>
      <c r="I173" s="1"/>
      <c r="J173" s="1"/>
      <c r="L173" s="67"/>
      <c r="M173" s="1"/>
      <c r="N173" s="1"/>
      <c r="O173" s="1"/>
      <c r="P173" s="1"/>
      <c r="Q173" s="69"/>
      <c r="R173" s="1"/>
      <c r="S173" s="1"/>
      <c r="T173" s="1"/>
      <c r="U173" s="1"/>
      <c r="V173" s="1"/>
      <c r="W173" s="1"/>
      <c r="X173" s="1"/>
      <c r="Y173" s="44"/>
    </row>
    <row r="174">
      <c r="F174" s="1"/>
      <c r="G174" s="1"/>
      <c r="H174" s="1"/>
      <c r="I174" s="1"/>
      <c r="J174" s="1"/>
      <c r="L174" s="67"/>
      <c r="M174" s="1"/>
      <c r="N174" s="1"/>
      <c r="O174" s="1"/>
      <c r="P174" s="1"/>
      <c r="Q174" s="69"/>
      <c r="R174" s="1"/>
      <c r="S174" s="1"/>
      <c r="T174" s="1"/>
      <c r="U174" s="1"/>
      <c r="V174" s="1"/>
      <c r="W174" s="1"/>
      <c r="X174" s="1"/>
      <c r="Y174" s="44"/>
    </row>
    <row r="175">
      <c r="F175" s="1"/>
      <c r="G175" s="1"/>
      <c r="H175" s="1"/>
      <c r="I175" s="1"/>
      <c r="J175" s="1"/>
      <c r="L175" s="67"/>
      <c r="M175" s="1"/>
      <c r="N175" s="1"/>
      <c r="O175" s="1"/>
      <c r="P175" s="1"/>
      <c r="Q175" s="69"/>
      <c r="R175" s="1"/>
      <c r="S175" s="1"/>
      <c r="T175" s="1"/>
      <c r="U175" s="1"/>
      <c r="V175" s="1"/>
      <c r="W175" s="1"/>
      <c r="X175" s="1"/>
      <c r="Y175" s="44"/>
    </row>
    <row r="176">
      <c r="F176" s="1"/>
      <c r="G176" s="1"/>
      <c r="H176" s="1"/>
      <c r="I176" s="1"/>
      <c r="J176" s="1"/>
      <c r="L176" s="67"/>
      <c r="M176" s="1"/>
      <c r="N176" s="1"/>
      <c r="O176" s="1"/>
      <c r="P176" s="1"/>
      <c r="Q176" s="69"/>
      <c r="R176" s="1"/>
      <c r="S176" s="1"/>
      <c r="T176" s="1"/>
      <c r="U176" s="1"/>
      <c r="V176" s="1"/>
      <c r="W176" s="1"/>
      <c r="X176" s="1"/>
      <c r="Y176" s="44"/>
    </row>
    <row r="177">
      <c r="F177" s="1"/>
      <c r="G177" s="1"/>
      <c r="H177" s="1"/>
      <c r="I177" s="1"/>
      <c r="J177" s="1"/>
      <c r="L177" s="67"/>
      <c r="M177" s="1"/>
      <c r="N177" s="1"/>
      <c r="O177" s="1"/>
      <c r="P177" s="1"/>
      <c r="Q177" s="69"/>
      <c r="R177" s="1"/>
      <c r="S177" s="1"/>
      <c r="T177" s="1"/>
      <c r="U177" s="1"/>
      <c r="V177" s="1"/>
      <c r="W177" s="1"/>
      <c r="X177" s="1"/>
      <c r="Y177" s="44"/>
    </row>
    <row r="178">
      <c r="F178" s="1"/>
      <c r="G178" s="1"/>
      <c r="H178" s="1"/>
      <c r="I178" s="1"/>
      <c r="J178" s="1"/>
      <c r="L178" s="67"/>
      <c r="M178" s="1"/>
      <c r="N178" s="1"/>
      <c r="O178" s="1"/>
      <c r="P178" s="1"/>
      <c r="Q178" s="69"/>
      <c r="R178" s="1"/>
      <c r="S178" s="1"/>
      <c r="T178" s="1"/>
      <c r="U178" s="1"/>
      <c r="V178" s="1"/>
      <c r="W178" s="1"/>
      <c r="X178" s="1"/>
      <c r="Y178" s="44"/>
    </row>
    <row r="179">
      <c r="F179" s="1"/>
      <c r="G179" s="1"/>
      <c r="H179" s="1"/>
      <c r="I179" s="1"/>
      <c r="J179" s="1"/>
      <c r="L179" s="67"/>
      <c r="M179" s="1"/>
      <c r="N179" s="1"/>
      <c r="O179" s="1"/>
      <c r="P179" s="1"/>
      <c r="Q179" s="69"/>
      <c r="R179" s="1"/>
      <c r="S179" s="1"/>
      <c r="T179" s="1"/>
      <c r="U179" s="1"/>
      <c r="V179" s="1"/>
      <c r="W179" s="1"/>
      <c r="X179" s="1"/>
      <c r="Y179" s="44"/>
    </row>
    <row r="180">
      <c r="F180" s="1"/>
      <c r="G180" s="1"/>
      <c r="H180" s="1"/>
      <c r="I180" s="1"/>
      <c r="J180" s="1"/>
      <c r="L180" s="67"/>
      <c r="M180" s="1"/>
      <c r="N180" s="1"/>
      <c r="O180" s="1"/>
      <c r="P180" s="1"/>
      <c r="Q180" s="69"/>
      <c r="R180" s="1"/>
      <c r="S180" s="1"/>
      <c r="T180" s="1"/>
      <c r="U180" s="1"/>
      <c r="V180" s="1"/>
      <c r="W180" s="1"/>
      <c r="X180" s="1"/>
      <c r="Y180" s="44"/>
    </row>
    <row r="181">
      <c r="F181" s="1"/>
      <c r="G181" s="1"/>
      <c r="H181" s="1"/>
      <c r="I181" s="1"/>
      <c r="J181" s="1"/>
      <c r="L181" s="67"/>
      <c r="M181" s="1"/>
      <c r="N181" s="1"/>
      <c r="O181" s="1"/>
      <c r="P181" s="1"/>
      <c r="Q181" s="69"/>
      <c r="R181" s="1"/>
      <c r="S181" s="1"/>
      <c r="T181" s="1"/>
      <c r="U181" s="1"/>
      <c r="V181" s="1"/>
      <c r="W181" s="1"/>
      <c r="X181" s="1"/>
      <c r="Y181" s="44"/>
    </row>
    <row r="182">
      <c r="F182" s="1"/>
      <c r="G182" s="1"/>
      <c r="H182" s="1"/>
      <c r="I182" s="1"/>
      <c r="J182" s="1"/>
      <c r="L182" s="67"/>
      <c r="M182" s="1"/>
      <c r="N182" s="1"/>
      <c r="O182" s="1"/>
      <c r="P182" s="1"/>
      <c r="Q182" s="69"/>
      <c r="R182" s="1"/>
      <c r="S182" s="1"/>
      <c r="T182" s="1"/>
      <c r="U182" s="1"/>
      <c r="V182" s="1"/>
      <c r="W182" s="1"/>
      <c r="X182" s="1"/>
      <c r="Y182" s="44"/>
    </row>
    <row r="183">
      <c r="F183" s="1"/>
      <c r="G183" s="1"/>
      <c r="H183" s="1"/>
      <c r="I183" s="1"/>
      <c r="J183" s="1"/>
      <c r="L183" s="67"/>
      <c r="M183" s="1"/>
      <c r="N183" s="1"/>
      <c r="O183" s="1"/>
      <c r="P183" s="1"/>
      <c r="Q183" s="69"/>
      <c r="R183" s="1"/>
      <c r="S183" s="1"/>
      <c r="T183" s="1"/>
      <c r="U183" s="1"/>
      <c r="V183" s="1"/>
      <c r="W183" s="1"/>
      <c r="X183" s="1"/>
      <c r="Y183" s="44"/>
    </row>
    <row r="184">
      <c r="F184" s="1"/>
      <c r="G184" s="1"/>
      <c r="H184" s="1"/>
      <c r="I184" s="1"/>
      <c r="J184" s="1"/>
      <c r="L184" s="67"/>
      <c r="M184" s="1"/>
      <c r="N184" s="1"/>
      <c r="O184" s="1"/>
      <c r="P184" s="1"/>
      <c r="Q184" s="69"/>
      <c r="R184" s="1"/>
      <c r="S184" s="1"/>
      <c r="T184" s="1"/>
      <c r="U184" s="1"/>
      <c r="V184" s="1"/>
      <c r="W184" s="1"/>
      <c r="X184" s="1"/>
      <c r="Y184" s="44"/>
    </row>
    <row r="185">
      <c r="F185" s="1"/>
      <c r="G185" s="1"/>
      <c r="H185" s="1"/>
      <c r="I185" s="1"/>
      <c r="J185" s="1"/>
      <c r="L185" s="67"/>
      <c r="M185" s="1"/>
      <c r="N185" s="1"/>
      <c r="O185" s="1"/>
      <c r="P185" s="1"/>
      <c r="Q185" s="69"/>
      <c r="R185" s="1"/>
      <c r="S185" s="1"/>
      <c r="T185" s="1"/>
      <c r="U185" s="1"/>
      <c r="V185" s="1"/>
      <c r="W185" s="1"/>
      <c r="X185" s="1"/>
      <c r="Y185" s="44"/>
    </row>
    <row r="186">
      <c r="F186" s="1"/>
      <c r="G186" s="1"/>
      <c r="H186" s="1"/>
      <c r="I186" s="1"/>
      <c r="J186" s="1"/>
      <c r="L186" s="67"/>
      <c r="M186" s="1"/>
      <c r="N186" s="1"/>
      <c r="O186" s="1"/>
      <c r="P186" s="1"/>
      <c r="Q186" s="69"/>
      <c r="R186" s="1"/>
      <c r="S186" s="1"/>
      <c r="T186" s="1"/>
      <c r="U186" s="1"/>
      <c r="V186" s="1"/>
      <c r="W186" s="1"/>
      <c r="X186" s="1"/>
      <c r="Y186" s="44"/>
    </row>
    <row r="187">
      <c r="F187" s="1"/>
      <c r="G187" s="1"/>
      <c r="H187" s="1"/>
      <c r="I187" s="1"/>
      <c r="J187" s="1"/>
      <c r="L187" s="67"/>
      <c r="M187" s="1"/>
      <c r="N187" s="1"/>
      <c r="O187" s="1"/>
      <c r="P187" s="1"/>
      <c r="Q187" s="69"/>
      <c r="R187" s="1"/>
      <c r="S187" s="1"/>
      <c r="T187" s="1"/>
      <c r="U187" s="1"/>
      <c r="V187" s="1"/>
      <c r="W187" s="1"/>
      <c r="X187" s="1"/>
      <c r="Y187" s="44"/>
    </row>
    <row r="188">
      <c r="F188" s="1"/>
      <c r="G188" s="1"/>
      <c r="H188" s="1"/>
      <c r="I188" s="1"/>
      <c r="J188" s="1"/>
      <c r="L188" s="67"/>
      <c r="M188" s="1"/>
      <c r="N188" s="1"/>
      <c r="O188" s="1"/>
      <c r="P188" s="1"/>
      <c r="Q188" s="69"/>
      <c r="R188" s="1"/>
      <c r="S188" s="1"/>
      <c r="T188" s="1"/>
      <c r="U188" s="1"/>
      <c r="V188" s="1"/>
      <c r="W188" s="1"/>
      <c r="X188" s="1"/>
      <c r="Y188" s="44"/>
    </row>
    <row r="189">
      <c r="F189" s="1"/>
      <c r="G189" s="1"/>
      <c r="H189" s="1"/>
      <c r="I189" s="1"/>
      <c r="J189" s="1"/>
      <c r="L189" s="67"/>
      <c r="M189" s="1"/>
      <c r="N189" s="1"/>
      <c r="O189" s="1"/>
      <c r="P189" s="1"/>
      <c r="Q189" s="69"/>
      <c r="R189" s="1"/>
      <c r="S189" s="1"/>
      <c r="T189" s="1"/>
      <c r="U189" s="1"/>
      <c r="V189" s="1"/>
      <c r="W189" s="1"/>
      <c r="X189" s="1"/>
      <c r="Y189" s="44"/>
    </row>
    <row r="190">
      <c r="F190" s="1"/>
      <c r="G190" s="1"/>
      <c r="H190" s="1"/>
      <c r="I190" s="1"/>
      <c r="J190" s="1"/>
      <c r="L190" s="67"/>
      <c r="M190" s="1"/>
      <c r="N190" s="1"/>
      <c r="O190" s="1"/>
      <c r="P190" s="1"/>
      <c r="Q190" s="69"/>
      <c r="R190" s="1"/>
      <c r="S190" s="1"/>
      <c r="T190" s="1"/>
      <c r="U190" s="1"/>
      <c r="V190" s="1"/>
      <c r="W190" s="1"/>
      <c r="X190" s="1"/>
      <c r="Y190" s="44"/>
    </row>
    <row r="191">
      <c r="F191" s="1"/>
      <c r="G191" s="1"/>
      <c r="H191" s="1"/>
      <c r="I191" s="1"/>
      <c r="J191" s="1"/>
      <c r="L191" s="67"/>
      <c r="M191" s="1"/>
      <c r="N191" s="1"/>
      <c r="O191" s="1"/>
      <c r="P191" s="1"/>
      <c r="Q191" s="69"/>
      <c r="R191" s="1"/>
      <c r="S191" s="1"/>
      <c r="T191" s="1"/>
      <c r="U191" s="1"/>
      <c r="V191" s="1"/>
      <c r="W191" s="1"/>
      <c r="X191" s="1"/>
      <c r="Y191" s="44"/>
    </row>
    <row r="192">
      <c r="F192" s="1"/>
      <c r="G192" s="1"/>
      <c r="H192" s="1"/>
      <c r="I192" s="1"/>
      <c r="J192" s="1"/>
      <c r="L192" s="67"/>
      <c r="M192" s="1"/>
      <c r="N192" s="1"/>
      <c r="O192" s="1"/>
      <c r="P192" s="1"/>
      <c r="Q192" s="69"/>
      <c r="R192" s="1"/>
      <c r="S192" s="1"/>
      <c r="T192" s="1"/>
      <c r="U192" s="1"/>
      <c r="V192" s="1"/>
      <c r="W192" s="1"/>
      <c r="X192" s="1"/>
      <c r="Y192" s="44"/>
    </row>
    <row r="193">
      <c r="F193" s="1"/>
      <c r="G193" s="1"/>
      <c r="H193" s="1"/>
      <c r="I193" s="1"/>
      <c r="J193" s="1"/>
      <c r="L193" s="67"/>
      <c r="M193" s="1"/>
      <c r="N193" s="1"/>
      <c r="O193" s="1"/>
      <c r="P193" s="1"/>
      <c r="Q193" s="69"/>
      <c r="R193" s="1"/>
      <c r="S193" s="1"/>
      <c r="T193" s="1"/>
      <c r="U193" s="1"/>
      <c r="V193" s="1"/>
      <c r="W193" s="1"/>
      <c r="X193" s="1"/>
      <c r="Y193" s="44"/>
    </row>
    <row r="194">
      <c r="F194" s="1"/>
      <c r="G194" s="1"/>
      <c r="H194" s="1"/>
      <c r="I194" s="1"/>
      <c r="J194" s="1"/>
      <c r="L194" s="67"/>
      <c r="M194" s="1"/>
      <c r="N194" s="1"/>
      <c r="O194" s="1"/>
      <c r="P194" s="1"/>
      <c r="Q194" s="69"/>
      <c r="R194" s="1"/>
      <c r="S194" s="1"/>
      <c r="T194" s="1"/>
      <c r="U194" s="1"/>
      <c r="V194" s="1"/>
      <c r="W194" s="1"/>
      <c r="X194" s="1"/>
      <c r="Y194" s="44"/>
    </row>
    <row r="195">
      <c r="F195" s="1"/>
      <c r="G195" s="1"/>
      <c r="H195" s="1"/>
      <c r="I195" s="1"/>
      <c r="J195" s="1"/>
      <c r="L195" s="67"/>
      <c r="M195" s="1"/>
      <c r="N195" s="1"/>
      <c r="O195" s="1"/>
      <c r="P195" s="1"/>
      <c r="Q195" s="69"/>
      <c r="R195" s="1"/>
      <c r="S195" s="1"/>
      <c r="T195" s="1"/>
      <c r="U195" s="1"/>
      <c r="V195" s="1"/>
      <c r="W195" s="1"/>
      <c r="X195" s="1"/>
      <c r="Y195" s="44"/>
    </row>
    <row r="196">
      <c r="F196" s="1"/>
      <c r="G196" s="1"/>
      <c r="H196" s="1"/>
      <c r="I196" s="1"/>
      <c r="J196" s="1"/>
      <c r="L196" s="67"/>
      <c r="M196" s="1"/>
      <c r="N196" s="1"/>
      <c r="O196" s="1"/>
      <c r="P196" s="1"/>
      <c r="Q196" s="69"/>
      <c r="R196" s="1"/>
      <c r="S196" s="1"/>
      <c r="T196" s="1"/>
      <c r="U196" s="1"/>
      <c r="V196" s="1"/>
      <c r="W196" s="1"/>
      <c r="X196" s="1"/>
      <c r="Y196" s="44"/>
    </row>
    <row r="197">
      <c r="F197" s="1"/>
      <c r="G197" s="1"/>
      <c r="H197" s="1"/>
      <c r="I197" s="1"/>
      <c r="J197" s="1"/>
      <c r="L197" s="67"/>
      <c r="M197" s="1"/>
      <c r="N197" s="1"/>
      <c r="O197" s="1"/>
      <c r="P197" s="1"/>
      <c r="Q197" s="69"/>
      <c r="R197" s="1"/>
      <c r="S197" s="1"/>
      <c r="T197" s="1"/>
      <c r="U197" s="1"/>
      <c r="V197" s="1"/>
      <c r="W197" s="1"/>
      <c r="X197" s="1"/>
      <c r="Y197" s="44"/>
    </row>
    <row r="198">
      <c r="F198" s="1"/>
      <c r="G198" s="1"/>
      <c r="H198" s="1"/>
      <c r="I198" s="1"/>
      <c r="J198" s="1"/>
      <c r="L198" s="67"/>
      <c r="M198" s="1"/>
      <c r="N198" s="1"/>
      <c r="O198" s="1"/>
      <c r="P198" s="1"/>
      <c r="Q198" s="69"/>
      <c r="R198" s="1"/>
      <c r="S198" s="1"/>
      <c r="T198" s="1"/>
      <c r="U198" s="1"/>
      <c r="V198" s="1"/>
      <c r="W198" s="1"/>
      <c r="X198" s="1"/>
      <c r="Y198" s="44"/>
    </row>
    <row r="199">
      <c r="F199" s="1"/>
      <c r="G199" s="1"/>
      <c r="H199" s="1"/>
      <c r="I199" s="1"/>
      <c r="J199" s="1"/>
      <c r="L199" s="67"/>
      <c r="M199" s="1"/>
      <c r="N199" s="1"/>
      <c r="O199" s="1"/>
      <c r="P199" s="1"/>
      <c r="Q199" s="69"/>
      <c r="R199" s="1"/>
      <c r="S199" s="1"/>
      <c r="T199" s="1"/>
      <c r="U199" s="1"/>
      <c r="V199" s="1"/>
      <c r="W199" s="1"/>
      <c r="X199" s="1"/>
      <c r="Y199" s="44"/>
    </row>
    <row r="200">
      <c r="F200" s="1"/>
      <c r="G200" s="1"/>
      <c r="H200" s="1"/>
      <c r="I200" s="1"/>
      <c r="J200" s="1"/>
      <c r="L200" s="67"/>
      <c r="M200" s="1"/>
      <c r="N200" s="1"/>
      <c r="O200" s="1"/>
      <c r="P200" s="1"/>
      <c r="Q200" s="69"/>
      <c r="R200" s="1"/>
      <c r="S200" s="1"/>
      <c r="T200" s="1"/>
      <c r="U200" s="1"/>
      <c r="V200" s="1"/>
      <c r="W200" s="1"/>
      <c r="X200" s="1"/>
      <c r="Y200" s="44"/>
    </row>
    <row r="201">
      <c r="F201" s="1"/>
      <c r="G201" s="1"/>
      <c r="H201" s="1"/>
      <c r="I201" s="1"/>
      <c r="J201" s="1"/>
      <c r="L201" s="67"/>
      <c r="M201" s="1"/>
      <c r="N201" s="1"/>
      <c r="O201" s="1"/>
      <c r="P201" s="1"/>
      <c r="Q201" s="69"/>
      <c r="R201" s="1"/>
      <c r="S201" s="1"/>
      <c r="T201" s="1"/>
      <c r="U201" s="1"/>
      <c r="V201" s="1"/>
      <c r="W201" s="1"/>
      <c r="X201" s="1"/>
      <c r="Y201" s="44"/>
    </row>
    <row r="202">
      <c r="F202" s="1"/>
      <c r="G202" s="1"/>
      <c r="H202" s="1"/>
      <c r="I202" s="1"/>
      <c r="J202" s="1"/>
      <c r="L202" s="67"/>
      <c r="M202" s="1"/>
      <c r="N202" s="1"/>
      <c r="O202" s="1"/>
      <c r="P202" s="1"/>
      <c r="Q202" s="69"/>
      <c r="R202" s="1"/>
      <c r="S202" s="1"/>
      <c r="T202" s="1"/>
      <c r="U202" s="1"/>
      <c r="V202" s="1"/>
      <c r="W202" s="1"/>
      <c r="X202" s="1"/>
      <c r="Y202" s="44"/>
    </row>
    <row r="203">
      <c r="F203" s="1"/>
      <c r="G203" s="1"/>
      <c r="H203" s="1"/>
      <c r="I203" s="1"/>
      <c r="J203" s="1"/>
      <c r="L203" s="67"/>
      <c r="M203" s="1"/>
      <c r="N203" s="1"/>
      <c r="O203" s="1"/>
      <c r="P203" s="1"/>
      <c r="Q203" s="69"/>
      <c r="R203" s="1"/>
      <c r="S203" s="1"/>
      <c r="T203" s="1"/>
      <c r="U203" s="1"/>
      <c r="V203" s="1"/>
      <c r="W203" s="1"/>
      <c r="X203" s="1"/>
      <c r="Y203" s="44"/>
    </row>
    <row r="204">
      <c r="F204" s="1"/>
      <c r="G204" s="1"/>
      <c r="H204" s="1"/>
      <c r="I204" s="1"/>
      <c r="J204" s="1"/>
      <c r="L204" s="67"/>
      <c r="M204" s="1"/>
      <c r="N204" s="1"/>
      <c r="O204" s="1"/>
      <c r="P204" s="1"/>
      <c r="Q204" s="69"/>
      <c r="R204" s="1"/>
      <c r="S204" s="1"/>
      <c r="T204" s="1"/>
      <c r="U204" s="1"/>
      <c r="V204" s="1"/>
      <c r="W204" s="1"/>
      <c r="X204" s="1"/>
      <c r="Y204" s="44"/>
    </row>
    <row r="205">
      <c r="F205" s="1"/>
      <c r="G205" s="1"/>
      <c r="H205" s="1"/>
      <c r="I205" s="1"/>
      <c r="J205" s="1"/>
      <c r="L205" s="67"/>
      <c r="M205" s="1"/>
      <c r="N205" s="1"/>
      <c r="O205" s="1"/>
      <c r="P205" s="1"/>
      <c r="Q205" s="69"/>
      <c r="R205" s="1"/>
      <c r="S205" s="1"/>
      <c r="T205" s="1"/>
      <c r="U205" s="1"/>
      <c r="V205" s="1"/>
      <c r="W205" s="1"/>
      <c r="X205" s="1"/>
      <c r="Y205" s="44"/>
    </row>
    <row r="206">
      <c r="F206" s="1"/>
      <c r="G206" s="1"/>
      <c r="H206" s="1"/>
      <c r="I206" s="1"/>
      <c r="J206" s="1"/>
      <c r="L206" s="67"/>
      <c r="M206" s="1"/>
      <c r="N206" s="1"/>
      <c r="O206" s="1"/>
      <c r="P206" s="1"/>
      <c r="Q206" s="69"/>
      <c r="R206" s="1"/>
      <c r="S206" s="1"/>
      <c r="T206" s="1"/>
      <c r="U206" s="1"/>
      <c r="V206" s="1"/>
      <c r="W206" s="1"/>
      <c r="X206" s="1"/>
      <c r="Y206" s="44"/>
    </row>
    <row r="207">
      <c r="F207" s="1"/>
      <c r="G207" s="1"/>
      <c r="H207" s="1"/>
      <c r="I207" s="1"/>
      <c r="J207" s="1"/>
      <c r="L207" s="67"/>
      <c r="M207" s="1"/>
      <c r="N207" s="1"/>
      <c r="O207" s="1"/>
      <c r="P207" s="1"/>
      <c r="Q207" s="69"/>
      <c r="R207" s="1"/>
      <c r="S207" s="1"/>
      <c r="T207" s="1"/>
      <c r="U207" s="1"/>
      <c r="V207" s="1"/>
      <c r="W207" s="1"/>
      <c r="X207" s="1"/>
      <c r="Y207" s="44"/>
    </row>
    <row r="208">
      <c r="F208" s="1"/>
      <c r="G208" s="1"/>
      <c r="H208" s="1"/>
      <c r="I208" s="1"/>
      <c r="J208" s="1"/>
      <c r="L208" s="67"/>
      <c r="M208" s="1"/>
      <c r="N208" s="1"/>
      <c r="O208" s="1"/>
      <c r="P208" s="1"/>
      <c r="Q208" s="69"/>
      <c r="R208" s="1"/>
      <c r="S208" s="1"/>
      <c r="T208" s="1"/>
      <c r="U208" s="1"/>
      <c r="V208" s="1"/>
      <c r="W208" s="1"/>
      <c r="X208" s="1"/>
      <c r="Y208" s="44"/>
    </row>
    <row r="209">
      <c r="F209" s="1"/>
      <c r="G209" s="1"/>
      <c r="H209" s="1"/>
      <c r="I209" s="1"/>
      <c r="J209" s="1"/>
      <c r="L209" s="67"/>
      <c r="M209" s="1"/>
      <c r="N209" s="1"/>
      <c r="O209" s="1"/>
      <c r="P209" s="1"/>
      <c r="Q209" s="69"/>
      <c r="R209" s="1"/>
      <c r="S209" s="1"/>
      <c r="T209" s="1"/>
      <c r="U209" s="1"/>
      <c r="V209" s="1"/>
      <c r="W209" s="1"/>
      <c r="X209" s="1"/>
      <c r="Y209" s="44"/>
    </row>
    <row r="210">
      <c r="F210" s="1"/>
      <c r="G210" s="1"/>
      <c r="H210" s="1"/>
      <c r="I210" s="1"/>
      <c r="J210" s="1"/>
      <c r="L210" s="67"/>
      <c r="M210" s="1"/>
      <c r="N210" s="1"/>
      <c r="O210" s="1"/>
      <c r="P210" s="1"/>
      <c r="Q210" s="69"/>
      <c r="R210" s="1"/>
      <c r="S210" s="1"/>
      <c r="T210" s="1"/>
      <c r="U210" s="1"/>
      <c r="V210" s="1"/>
      <c r="W210" s="1"/>
      <c r="X210" s="1"/>
      <c r="Y210" s="44"/>
    </row>
    <row r="211">
      <c r="F211" s="1"/>
      <c r="G211" s="1"/>
      <c r="H211" s="1"/>
      <c r="I211" s="1"/>
      <c r="J211" s="1"/>
      <c r="L211" s="67"/>
      <c r="M211" s="1"/>
      <c r="N211" s="1"/>
      <c r="O211" s="1"/>
      <c r="P211" s="1"/>
      <c r="Q211" s="69"/>
      <c r="R211" s="1"/>
      <c r="S211" s="1"/>
      <c r="T211" s="1"/>
      <c r="U211" s="1"/>
      <c r="V211" s="1"/>
      <c r="W211" s="1"/>
      <c r="X211" s="1"/>
      <c r="Y211" s="44"/>
    </row>
    <row r="212">
      <c r="F212" s="1"/>
      <c r="G212" s="1"/>
      <c r="H212" s="1"/>
      <c r="I212" s="1"/>
      <c r="J212" s="1"/>
      <c r="L212" s="67"/>
      <c r="M212" s="1"/>
      <c r="N212" s="1"/>
      <c r="O212" s="1"/>
      <c r="P212" s="1"/>
      <c r="Q212" s="69"/>
      <c r="R212" s="1"/>
      <c r="S212" s="1"/>
      <c r="T212" s="1"/>
      <c r="U212" s="1"/>
      <c r="V212" s="1"/>
      <c r="W212" s="1"/>
      <c r="X212" s="1"/>
      <c r="Y212" s="44"/>
    </row>
    <row r="213">
      <c r="F213" s="1"/>
      <c r="G213" s="1"/>
      <c r="H213" s="1"/>
      <c r="I213" s="1"/>
      <c r="J213" s="1"/>
      <c r="L213" s="67"/>
      <c r="M213" s="1"/>
      <c r="N213" s="1"/>
      <c r="O213" s="1"/>
      <c r="P213" s="1"/>
      <c r="Q213" s="69"/>
      <c r="R213" s="1"/>
      <c r="S213" s="1"/>
      <c r="T213" s="1"/>
      <c r="U213" s="1"/>
      <c r="V213" s="1"/>
      <c r="W213" s="1"/>
      <c r="X213" s="1"/>
      <c r="Y213" s="44"/>
    </row>
    <row r="214">
      <c r="F214" s="1"/>
      <c r="G214" s="1"/>
      <c r="H214" s="1"/>
      <c r="I214" s="1"/>
      <c r="J214" s="1"/>
      <c r="L214" s="67"/>
      <c r="M214" s="1"/>
      <c r="N214" s="1"/>
      <c r="O214" s="1"/>
      <c r="P214" s="1"/>
      <c r="Q214" s="69"/>
      <c r="R214" s="1"/>
      <c r="S214" s="1"/>
      <c r="T214" s="1"/>
      <c r="U214" s="1"/>
      <c r="V214" s="1"/>
      <c r="W214" s="1"/>
      <c r="X214" s="1"/>
      <c r="Y214" s="44"/>
    </row>
    <row r="215">
      <c r="F215" s="1"/>
      <c r="G215" s="1"/>
      <c r="H215" s="1"/>
      <c r="I215" s="1"/>
      <c r="J215" s="1"/>
      <c r="L215" s="67"/>
      <c r="M215" s="1"/>
      <c r="N215" s="1"/>
      <c r="O215" s="1"/>
      <c r="P215" s="1"/>
      <c r="Q215" s="69"/>
      <c r="R215" s="1"/>
      <c r="S215" s="1"/>
      <c r="T215" s="1"/>
      <c r="U215" s="1"/>
      <c r="V215" s="1"/>
      <c r="W215" s="1"/>
      <c r="X215" s="1"/>
      <c r="Y215" s="44"/>
    </row>
    <row r="216">
      <c r="F216" s="1"/>
      <c r="G216" s="1"/>
      <c r="H216" s="1"/>
      <c r="I216" s="1"/>
      <c r="J216" s="1"/>
      <c r="L216" s="67"/>
      <c r="M216" s="1"/>
      <c r="N216" s="1"/>
      <c r="O216" s="1"/>
      <c r="P216" s="1"/>
      <c r="Q216" s="69"/>
      <c r="R216" s="1"/>
      <c r="S216" s="1"/>
      <c r="T216" s="1"/>
      <c r="U216" s="1"/>
      <c r="V216" s="1"/>
      <c r="W216" s="1"/>
      <c r="X216" s="1"/>
      <c r="Y216" s="44"/>
    </row>
    <row r="217">
      <c r="F217" s="1"/>
      <c r="G217" s="1"/>
      <c r="H217" s="1"/>
      <c r="I217" s="1"/>
      <c r="J217" s="1"/>
      <c r="L217" s="67"/>
      <c r="M217" s="1"/>
      <c r="N217" s="1"/>
      <c r="O217" s="1"/>
      <c r="P217" s="1"/>
      <c r="Q217" s="69"/>
      <c r="R217" s="1"/>
      <c r="S217" s="1"/>
      <c r="T217" s="1"/>
      <c r="U217" s="1"/>
      <c r="V217" s="1"/>
      <c r="W217" s="1"/>
      <c r="X217" s="1"/>
      <c r="Y217" s="44"/>
    </row>
    <row r="218">
      <c r="F218" s="1"/>
      <c r="G218" s="1"/>
      <c r="H218" s="1"/>
      <c r="I218" s="1"/>
      <c r="J218" s="1"/>
      <c r="L218" s="67"/>
      <c r="M218" s="1"/>
      <c r="N218" s="1"/>
      <c r="O218" s="1"/>
      <c r="P218" s="1"/>
      <c r="Q218" s="69"/>
      <c r="R218" s="1"/>
      <c r="S218" s="1"/>
      <c r="T218" s="1"/>
      <c r="U218" s="1"/>
      <c r="V218" s="1"/>
      <c r="W218" s="1"/>
      <c r="X218" s="1"/>
      <c r="Y218" s="44"/>
    </row>
    <row r="219">
      <c r="F219" s="1"/>
      <c r="G219" s="1"/>
      <c r="H219" s="1"/>
      <c r="I219" s="1"/>
      <c r="J219" s="1"/>
      <c r="L219" s="67"/>
      <c r="M219" s="1"/>
      <c r="N219" s="1"/>
      <c r="O219" s="1"/>
      <c r="P219" s="1"/>
      <c r="Q219" s="69"/>
      <c r="R219" s="1"/>
      <c r="S219" s="1"/>
      <c r="T219" s="1"/>
      <c r="U219" s="1"/>
      <c r="V219" s="1"/>
      <c r="W219" s="1"/>
      <c r="X219" s="1"/>
      <c r="Y219" s="44"/>
    </row>
    <row r="220">
      <c r="F220" s="1"/>
      <c r="G220" s="1"/>
      <c r="H220" s="1"/>
      <c r="I220" s="1"/>
      <c r="J220" s="1"/>
      <c r="L220" s="67"/>
      <c r="M220" s="1"/>
      <c r="N220" s="1"/>
      <c r="O220" s="1"/>
      <c r="P220" s="1"/>
      <c r="Q220" s="69"/>
      <c r="R220" s="1"/>
      <c r="S220" s="1"/>
      <c r="T220" s="1"/>
      <c r="U220" s="1"/>
      <c r="V220" s="1"/>
      <c r="W220" s="1"/>
      <c r="X220" s="1"/>
      <c r="Y220" s="44"/>
    </row>
    <row r="221">
      <c r="F221" s="1"/>
      <c r="G221" s="1"/>
      <c r="H221" s="1"/>
      <c r="I221" s="1"/>
      <c r="J221" s="1"/>
      <c r="L221" s="67"/>
      <c r="M221" s="1"/>
      <c r="N221" s="1"/>
      <c r="O221" s="1"/>
      <c r="P221" s="1"/>
      <c r="Q221" s="69"/>
      <c r="R221" s="1"/>
      <c r="S221" s="1"/>
      <c r="T221" s="1"/>
      <c r="U221" s="1"/>
      <c r="V221" s="1"/>
      <c r="W221" s="1"/>
      <c r="X221" s="1"/>
      <c r="Y221" s="44"/>
    </row>
    <row r="222">
      <c r="F222" s="1"/>
      <c r="G222" s="1"/>
      <c r="H222" s="1"/>
      <c r="I222" s="1"/>
      <c r="J222" s="1"/>
      <c r="L222" s="67"/>
      <c r="M222" s="1"/>
      <c r="N222" s="1"/>
      <c r="O222" s="1"/>
      <c r="P222" s="1"/>
      <c r="Q222" s="69"/>
      <c r="R222" s="1"/>
      <c r="S222" s="1"/>
      <c r="T222" s="1"/>
      <c r="U222" s="1"/>
      <c r="V222" s="1"/>
      <c r="W222" s="1"/>
      <c r="X222" s="1"/>
      <c r="Y222" s="44"/>
    </row>
    <row r="223">
      <c r="F223" s="1"/>
      <c r="G223" s="1"/>
      <c r="H223" s="1"/>
      <c r="I223" s="1"/>
      <c r="J223" s="1"/>
      <c r="L223" s="67"/>
      <c r="M223" s="1"/>
      <c r="N223" s="1"/>
      <c r="O223" s="1"/>
      <c r="P223" s="1"/>
      <c r="Q223" s="69"/>
      <c r="R223" s="1"/>
      <c r="S223" s="1"/>
      <c r="T223" s="1"/>
      <c r="U223" s="1"/>
      <c r="V223" s="1"/>
      <c r="W223" s="1"/>
      <c r="X223" s="1"/>
      <c r="Y223" s="44"/>
    </row>
    <row r="224">
      <c r="F224" s="1"/>
      <c r="G224" s="1"/>
      <c r="H224" s="1"/>
      <c r="I224" s="1"/>
      <c r="J224" s="1"/>
      <c r="L224" s="67"/>
      <c r="M224" s="1"/>
      <c r="N224" s="1"/>
      <c r="O224" s="1"/>
      <c r="P224" s="1"/>
      <c r="Q224" s="69"/>
      <c r="R224" s="1"/>
      <c r="S224" s="1"/>
      <c r="T224" s="1"/>
      <c r="U224" s="1"/>
      <c r="V224" s="1"/>
      <c r="W224" s="1"/>
      <c r="X224" s="1"/>
      <c r="Y224" s="44"/>
    </row>
    <row r="225">
      <c r="F225" s="1"/>
      <c r="G225" s="1"/>
      <c r="H225" s="1"/>
      <c r="I225" s="1"/>
      <c r="J225" s="1"/>
      <c r="L225" s="67"/>
      <c r="M225" s="1"/>
      <c r="N225" s="1"/>
      <c r="O225" s="1"/>
      <c r="P225" s="1"/>
      <c r="Q225" s="69"/>
      <c r="R225" s="1"/>
      <c r="S225" s="1"/>
      <c r="T225" s="1"/>
      <c r="U225" s="1"/>
      <c r="V225" s="1"/>
      <c r="W225" s="1"/>
      <c r="X225" s="1"/>
      <c r="Y225" s="44"/>
    </row>
    <row r="226">
      <c r="F226" s="1"/>
      <c r="G226" s="1"/>
      <c r="H226" s="1"/>
      <c r="I226" s="1"/>
      <c r="J226" s="1"/>
      <c r="L226" s="67"/>
      <c r="M226" s="1"/>
      <c r="N226" s="1"/>
      <c r="O226" s="1"/>
      <c r="P226" s="1"/>
      <c r="Q226" s="69"/>
      <c r="R226" s="1"/>
      <c r="S226" s="1"/>
      <c r="T226" s="1"/>
      <c r="U226" s="1"/>
      <c r="V226" s="1"/>
      <c r="W226" s="1"/>
      <c r="X226" s="1"/>
      <c r="Y226" s="44"/>
    </row>
    <row r="227">
      <c r="F227" s="1"/>
      <c r="G227" s="1"/>
      <c r="H227" s="1"/>
      <c r="I227" s="1"/>
      <c r="J227" s="1"/>
      <c r="L227" s="67"/>
      <c r="M227" s="1"/>
      <c r="N227" s="1"/>
      <c r="O227" s="1"/>
      <c r="P227" s="1"/>
      <c r="Q227" s="69"/>
      <c r="R227" s="1"/>
      <c r="S227" s="1"/>
      <c r="T227" s="1"/>
      <c r="U227" s="1"/>
      <c r="V227" s="1"/>
      <c r="W227" s="1"/>
      <c r="X227" s="1"/>
      <c r="Y227" s="44"/>
    </row>
    <row r="228">
      <c r="F228" s="1"/>
      <c r="G228" s="1"/>
      <c r="H228" s="1"/>
      <c r="I228" s="1"/>
      <c r="J228" s="1"/>
      <c r="L228" s="67"/>
      <c r="M228" s="1"/>
      <c r="N228" s="1"/>
      <c r="O228" s="1"/>
      <c r="P228" s="1"/>
      <c r="Q228" s="69"/>
      <c r="R228" s="1"/>
      <c r="S228" s="1"/>
      <c r="T228" s="1"/>
      <c r="U228" s="1"/>
      <c r="V228" s="1"/>
      <c r="W228" s="1"/>
      <c r="X228" s="1"/>
      <c r="Y228" s="44"/>
    </row>
    <row r="229">
      <c r="F229" s="1"/>
      <c r="G229" s="1"/>
      <c r="H229" s="1"/>
      <c r="I229" s="1"/>
      <c r="J229" s="1"/>
      <c r="L229" s="67"/>
      <c r="M229" s="1"/>
      <c r="N229" s="1"/>
      <c r="O229" s="1"/>
      <c r="P229" s="1"/>
      <c r="Q229" s="69"/>
      <c r="R229" s="1"/>
      <c r="S229" s="1"/>
      <c r="T229" s="1"/>
      <c r="U229" s="1"/>
      <c r="V229" s="1"/>
      <c r="W229" s="1"/>
      <c r="X229" s="1"/>
      <c r="Y229" s="44"/>
    </row>
    <row r="230">
      <c r="F230" s="1"/>
      <c r="G230" s="1"/>
      <c r="H230" s="1"/>
      <c r="I230" s="1"/>
      <c r="J230" s="1"/>
      <c r="L230" s="67"/>
      <c r="M230" s="1"/>
      <c r="N230" s="1"/>
      <c r="O230" s="1"/>
      <c r="P230" s="1"/>
      <c r="Q230" s="69"/>
      <c r="R230" s="1"/>
      <c r="S230" s="1"/>
      <c r="T230" s="1"/>
      <c r="U230" s="1"/>
      <c r="V230" s="1"/>
      <c r="W230" s="1"/>
      <c r="X230" s="1"/>
      <c r="Y230" s="44"/>
    </row>
    <row r="231">
      <c r="F231" s="1"/>
      <c r="G231" s="1"/>
      <c r="H231" s="1"/>
      <c r="I231" s="1"/>
      <c r="J231" s="1"/>
      <c r="L231" s="67"/>
      <c r="M231" s="1"/>
      <c r="N231" s="1"/>
      <c r="O231" s="1"/>
      <c r="P231" s="1"/>
      <c r="Q231" s="69"/>
      <c r="R231" s="1"/>
      <c r="S231" s="1"/>
      <c r="T231" s="1"/>
      <c r="U231" s="1"/>
      <c r="V231" s="1"/>
      <c r="W231" s="1"/>
      <c r="X231" s="1"/>
      <c r="Y231" s="44"/>
    </row>
    <row r="232">
      <c r="F232" s="1"/>
      <c r="G232" s="1"/>
      <c r="H232" s="1"/>
      <c r="I232" s="1"/>
      <c r="J232" s="1"/>
      <c r="L232" s="67"/>
      <c r="M232" s="1"/>
      <c r="N232" s="1"/>
      <c r="O232" s="1"/>
      <c r="P232" s="1"/>
      <c r="Q232" s="69"/>
      <c r="R232" s="1"/>
      <c r="S232" s="1"/>
      <c r="T232" s="1"/>
      <c r="U232" s="1"/>
      <c r="V232" s="1"/>
      <c r="W232" s="1"/>
      <c r="X232" s="1"/>
      <c r="Y232" s="44"/>
    </row>
    <row r="233">
      <c r="F233" s="1"/>
      <c r="G233" s="1"/>
      <c r="H233" s="1"/>
      <c r="I233" s="1"/>
      <c r="J233" s="1"/>
      <c r="L233" s="67"/>
      <c r="M233" s="1"/>
      <c r="N233" s="1"/>
      <c r="O233" s="1"/>
      <c r="P233" s="1"/>
      <c r="Q233" s="69"/>
      <c r="R233" s="1"/>
      <c r="S233" s="1"/>
      <c r="T233" s="1"/>
      <c r="U233" s="1"/>
      <c r="V233" s="1"/>
      <c r="W233" s="1"/>
      <c r="X233" s="1"/>
      <c r="Y233" s="44"/>
    </row>
    <row r="234">
      <c r="F234" s="1"/>
      <c r="G234" s="1"/>
      <c r="H234" s="1"/>
      <c r="I234" s="1"/>
      <c r="J234" s="1"/>
      <c r="L234" s="67"/>
      <c r="M234" s="1"/>
      <c r="N234" s="1"/>
      <c r="O234" s="1"/>
      <c r="P234" s="1"/>
      <c r="Q234" s="69"/>
      <c r="R234" s="1"/>
      <c r="S234" s="1"/>
      <c r="T234" s="1"/>
      <c r="U234" s="1"/>
      <c r="V234" s="1"/>
      <c r="W234" s="1"/>
      <c r="X234" s="1"/>
      <c r="Y234" s="44"/>
    </row>
    <row r="235">
      <c r="F235" s="1"/>
      <c r="G235" s="1"/>
      <c r="H235" s="1"/>
      <c r="I235" s="1"/>
      <c r="J235" s="1"/>
      <c r="L235" s="67"/>
      <c r="M235" s="1"/>
      <c r="N235" s="1"/>
      <c r="O235" s="1"/>
      <c r="P235" s="1"/>
      <c r="Q235" s="69"/>
      <c r="R235" s="1"/>
      <c r="S235" s="1"/>
      <c r="T235" s="1"/>
      <c r="U235" s="1"/>
      <c r="V235" s="1"/>
      <c r="W235" s="1"/>
      <c r="X235" s="1"/>
      <c r="Y235" s="44"/>
    </row>
    <row r="236">
      <c r="F236" s="1"/>
      <c r="G236" s="1"/>
      <c r="H236" s="1"/>
      <c r="I236" s="1"/>
      <c r="J236" s="1"/>
      <c r="L236" s="67"/>
      <c r="M236" s="1"/>
      <c r="N236" s="1"/>
      <c r="O236" s="1"/>
      <c r="P236" s="1"/>
      <c r="Q236" s="69"/>
      <c r="R236" s="1"/>
      <c r="S236" s="1"/>
      <c r="T236" s="1"/>
      <c r="U236" s="1"/>
      <c r="V236" s="1"/>
      <c r="W236" s="1"/>
      <c r="X236" s="1"/>
      <c r="Y236" s="44"/>
    </row>
    <row r="237">
      <c r="F237" s="1"/>
      <c r="G237" s="1"/>
      <c r="H237" s="1"/>
      <c r="I237" s="1"/>
      <c r="J237" s="1"/>
      <c r="L237" s="67"/>
      <c r="M237" s="1"/>
      <c r="N237" s="1"/>
      <c r="O237" s="1"/>
      <c r="P237" s="1"/>
      <c r="Q237" s="69"/>
      <c r="R237" s="1"/>
      <c r="S237" s="1"/>
      <c r="T237" s="1"/>
      <c r="U237" s="1"/>
      <c r="V237" s="1"/>
      <c r="W237" s="1"/>
      <c r="X237" s="1"/>
      <c r="Y237" s="44"/>
    </row>
    <row r="238">
      <c r="F238" s="1"/>
      <c r="G238" s="1"/>
      <c r="H238" s="1"/>
      <c r="I238" s="1"/>
      <c r="J238" s="1"/>
      <c r="L238" s="67"/>
      <c r="M238" s="1"/>
      <c r="N238" s="1"/>
      <c r="O238" s="1"/>
      <c r="P238" s="1"/>
      <c r="Q238" s="69"/>
      <c r="R238" s="1"/>
      <c r="S238" s="1"/>
      <c r="T238" s="1"/>
      <c r="U238" s="1"/>
      <c r="V238" s="1"/>
      <c r="W238" s="1"/>
      <c r="X238" s="1"/>
      <c r="Y238" s="44"/>
    </row>
    <row r="239">
      <c r="F239" s="1"/>
      <c r="G239" s="1"/>
      <c r="H239" s="1"/>
      <c r="I239" s="1"/>
      <c r="J239" s="1"/>
      <c r="L239" s="67"/>
      <c r="M239" s="1"/>
      <c r="N239" s="1"/>
      <c r="O239" s="1"/>
      <c r="P239" s="1"/>
      <c r="Q239" s="69"/>
      <c r="R239" s="1"/>
      <c r="S239" s="1"/>
      <c r="T239" s="1"/>
      <c r="U239" s="1"/>
      <c r="V239" s="1"/>
      <c r="W239" s="1"/>
      <c r="X239" s="1"/>
      <c r="Y239" s="44"/>
    </row>
    <row r="240">
      <c r="F240" s="1"/>
      <c r="G240" s="1"/>
      <c r="H240" s="1"/>
      <c r="I240" s="1"/>
      <c r="J240" s="1"/>
      <c r="L240" s="67"/>
      <c r="M240" s="1"/>
      <c r="N240" s="1"/>
      <c r="O240" s="1"/>
      <c r="P240" s="1"/>
      <c r="Q240" s="69"/>
      <c r="R240" s="1"/>
      <c r="S240" s="1"/>
      <c r="T240" s="1"/>
      <c r="U240" s="1"/>
      <c r="V240" s="1"/>
      <c r="W240" s="1"/>
      <c r="X240" s="1"/>
      <c r="Y240" s="44"/>
    </row>
    <row r="241">
      <c r="F241" s="1"/>
      <c r="G241" s="1"/>
      <c r="H241" s="1"/>
      <c r="I241" s="1"/>
      <c r="J241" s="1"/>
      <c r="L241" s="67"/>
      <c r="M241" s="1"/>
      <c r="N241" s="1"/>
      <c r="O241" s="1"/>
      <c r="P241" s="1"/>
      <c r="Q241" s="69"/>
      <c r="R241" s="1"/>
      <c r="S241" s="1"/>
      <c r="T241" s="1"/>
      <c r="U241" s="1"/>
      <c r="V241" s="1"/>
      <c r="W241" s="1"/>
      <c r="X241" s="1"/>
      <c r="Y241" s="44"/>
    </row>
    <row r="242">
      <c r="F242" s="1"/>
      <c r="G242" s="1"/>
      <c r="H242" s="1"/>
      <c r="I242" s="1"/>
      <c r="J242" s="1"/>
      <c r="L242" s="67"/>
      <c r="M242" s="1"/>
      <c r="N242" s="1"/>
      <c r="O242" s="1"/>
      <c r="P242" s="1"/>
      <c r="Q242" s="69"/>
      <c r="R242" s="1"/>
      <c r="S242" s="1"/>
      <c r="T242" s="1"/>
      <c r="U242" s="1"/>
      <c r="V242" s="1"/>
      <c r="W242" s="1"/>
      <c r="X242" s="1"/>
      <c r="Y242" s="44"/>
    </row>
    <row r="243">
      <c r="F243" s="1"/>
      <c r="G243" s="1"/>
      <c r="H243" s="1"/>
      <c r="I243" s="1"/>
      <c r="J243" s="1"/>
      <c r="L243" s="67"/>
      <c r="M243" s="1"/>
      <c r="N243" s="1"/>
      <c r="O243" s="1"/>
      <c r="P243" s="1"/>
      <c r="Q243" s="69"/>
      <c r="R243" s="1"/>
      <c r="S243" s="1"/>
      <c r="T243" s="1"/>
      <c r="U243" s="1"/>
      <c r="V243" s="1"/>
      <c r="W243" s="1"/>
      <c r="X243" s="1"/>
      <c r="Y243" s="44"/>
    </row>
    <row r="244">
      <c r="F244" s="1"/>
      <c r="G244" s="1"/>
      <c r="H244" s="1"/>
      <c r="I244" s="1"/>
      <c r="J244" s="1"/>
      <c r="L244" s="67"/>
      <c r="M244" s="1"/>
      <c r="N244" s="1"/>
      <c r="O244" s="1"/>
      <c r="P244" s="1"/>
      <c r="Q244" s="69"/>
      <c r="R244" s="1"/>
      <c r="S244" s="1"/>
      <c r="T244" s="1"/>
      <c r="U244" s="1"/>
      <c r="V244" s="1"/>
      <c r="W244" s="1"/>
      <c r="X244" s="1"/>
      <c r="Y244" s="44"/>
    </row>
    <row r="245">
      <c r="F245" s="1"/>
      <c r="G245" s="1"/>
      <c r="H245" s="1"/>
      <c r="I245" s="1"/>
      <c r="J245" s="1"/>
      <c r="L245" s="67"/>
      <c r="M245" s="1"/>
      <c r="N245" s="1"/>
      <c r="O245" s="1"/>
      <c r="P245" s="1"/>
      <c r="Q245" s="69"/>
      <c r="R245" s="1"/>
      <c r="S245" s="1"/>
      <c r="T245" s="1"/>
      <c r="U245" s="1"/>
      <c r="V245" s="1"/>
      <c r="W245" s="1"/>
      <c r="X245" s="1"/>
      <c r="Y245" s="44"/>
    </row>
    <row r="246">
      <c r="F246" s="1"/>
      <c r="G246" s="1"/>
      <c r="H246" s="1"/>
      <c r="I246" s="1"/>
      <c r="J246" s="1"/>
      <c r="L246" s="67"/>
      <c r="M246" s="1"/>
      <c r="N246" s="1"/>
      <c r="O246" s="1"/>
      <c r="P246" s="1"/>
      <c r="Q246" s="69"/>
      <c r="R246" s="1"/>
      <c r="S246" s="1"/>
      <c r="T246" s="1"/>
      <c r="U246" s="1"/>
      <c r="V246" s="1"/>
      <c r="W246" s="1"/>
      <c r="X246" s="1"/>
      <c r="Y246" s="44"/>
    </row>
    <row r="247">
      <c r="F247" s="1"/>
      <c r="G247" s="1"/>
      <c r="H247" s="1"/>
      <c r="I247" s="1"/>
      <c r="J247" s="1"/>
      <c r="L247" s="67"/>
      <c r="M247" s="1"/>
      <c r="N247" s="1"/>
      <c r="O247" s="1"/>
      <c r="P247" s="1"/>
      <c r="Q247" s="69"/>
      <c r="R247" s="1"/>
      <c r="S247" s="1"/>
      <c r="T247" s="1"/>
      <c r="U247" s="1"/>
      <c r="V247" s="1"/>
      <c r="W247" s="1"/>
      <c r="X247" s="1"/>
      <c r="Y247" s="44"/>
    </row>
    <row r="248">
      <c r="F248" s="1"/>
      <c r="G248" s="1"/>
      <c r="H248" s="1"/>
      <c r="I248" s="1"/>
      <c r="J248" s="1"/>
      <c r="L248" s="67"/>
      <c r="M248" s="1"/>
      <c r="N248" s="1"/>
      <c r="O248" s="1"/>
      <c r="P248" s="1"/>
      <c r="Q248" s="69"/>
      <c r="R248" s="1"/>
      <c r="S248" s="1"/>
      <c r="T248" s="1"/>
      <c r="U248" s="1"/>
      <c r="V248" s="1"/>
      <c r="W248" s="1"/>
      <c r="X248" s="1"/>
      <c r="Y248" s="44"/>
    </row>
    <row r="249">
      <c r="F249" s="1"/>
      <c r="G249" s="1"/>
      <c r="H249" s="1"/>
      <c r="I249" s="1"/>
      <c r="J249" s="1"/>
      <c r="L249" s="67"/>
      <c r="M249" s="1"/>
      <c r="N249" s="1"/>
      <c r="O249" s="1"/>
      <c r="P249" s="1"/>
      <c r="Q249" s="69"/>
      <c r="R249" s="1"/>
      <c r="S249" s="1"/>
      <c r="T249" s="1"/>
      <c r="U249" s="1"/>
      <c r="V249" s="1"/>
      <c r="W249" s="1"/>
      <c r="X249" s="1"/>
      <c r="Y249" s="44"/>
    </row>
    <row r="250">
      <c r="F250" s="1"/>
      <c r="G250" s="1"/>
      <c r="H250" s="1"/>
      <c r="I250" s="1"/>
      <c r="J250" s="1"/>
      <c r="L250" s="67"/>
      <c r="M250" s="1"/>
      <c r="N250" s="1"/>
      <c r="O250" s="1"/>
      <c r="P250" s="1"/>
      <c r="Q250" s="69"/>
      <c r="R250" s="1"/>
      <c r="S250" s="1"/>
      <c r="T250" s="1"/>
      <c r="U250" s="1"/>
      <c r="V250" s="1"/>
      <c r="W250" s="1"/>
      <c r="X250" s="1"/>
      <c r="Y250" s="44"/>
    </row>
    <row r="251">
      <c r="F251" s="1"/>
      <c r="G251" s="1"/>
      <c r="H251" s="1"/>
      <c r="I251" s="1"/>
      <c r="J251" s="1"/>
      <c r="L251" s="67"/>
      <c r="M251" s="1"/>
      <c r="N251" s="1"/>
      <c r="O251" s="1"/>
      <c r="P251" s="1"/>
      <c r="Q251" s="69"/>
      <c r="R251" s="1"/>
      <c r="S251" s="1"/>
      <c r="T251" s="1"/>
      <c r="U251" s="1"/>
      <c r="V251" s="1"/>
      <c r="W251" s="1"/>
      <c r="X251" s="1"/>
      <c r="Y251" s="44"/>
    </row>
    <row r="252">
      <c r="F252" s="1"/>
      <c r="G252" s="1"/>
      <c r="H252" s="1"/>
      <c r="I252" s="1"/>
      <c r="J252" s="1"/>
      <c r="L252" s="67"/>
      <c r="M252" s="1"/>
      <c r="N252" s="1"/>
      <c r="O252" s="1"/>
      <c r="P252" s="1"/>
      <c r="Q252" s="69"/>
      <c r="R252" s="1"/>
      <c r="S252" s="1"/>
      <c r="T252" s="1"/>
      <c r="U252" s="1"/>
      <c r="V252" s="1"/>
      <c r="W252" s="1"/>
      <c r="X252" s="1"/>
      <c r="Y252" s="44"/>
    </row>
    <row r="253">
      <c r="F253" s="1"/>
      <c r="G253" s="1"/>
      <c r="H253" s="1"/>
      <c r="I253" s="1"/>
      <c r="J253" s="1"/>
      <c r="L253" s="67"/>
      <c r="M253" s="1"/>
      <c r="N253" s="1"/>
      <c r="O253" s="1"/>
      <c r="P253" s="1"/>
      <c r="Q253" s="69"/>
      <c r="R253" s="1"/>
      <c r="S253" s="1"/>
      <c r="T253" s="1"/>
      <c r="U253" s="1"/>
      <c r="V253" s="1"/>
      <c r="W253" s="1"/>
      <c r="X253" s="1"/>
      <c r="Y253" s="44"/>
    </row>
    <row r="254">
      <c r="F254" s="1"/>
      <c r="G254" s="1"/>
      <c r="H254" s="1"/>
      <c r="I254" s="1"/>
      <c r="J254" s="1"/>
      <c r="L254" s="67"/>
      <c r="M254" s="1"/>
      <c r="N254" s="1"/>
      <c r="O254" s="1"/>
      <c r="P254" s="1"/>
      <c r="Q254" s="69"/>
      <c r="R254" s="1"/>
      <c r="S254" s="1"/>
      <c r="T254" s="1"/>
      <c r="U254" s="1"/>
      <c r="V254" s="1"/>
      <c r="W254" s="1"/>
      <c r="X254" s="1"/>
      <c r="Y254" s="44"/>
    </row>
    <row r="255">
      <c r="F255" s="1"/>
      <c r="G255" s="1"/>
      <c r="H255" s="1"/>
      <c r="I255" s="1"/>
      <c r="J255" s="1"/>
      <c r="L255" s="67"/>
      <c r="M255" s="1"/>
      <c r="N255" s="1"/>
      <c r="O255" s="1"/>
      <c r="P255" s="1"/>
      <c r="Q255" s="69"/>
      <c r="R255" s="1"/>
      <c r="S255" s="1"/>
      <c r="T255" s="1"/>
      <c r="U255" s="1"/>
      <c r="V255" s="1"/>
      <c r="W255" s="1"/>
      <c r="X255" s="1"/>
      <c r="Y255" s="44"/>
    </row>
    <row r="256">
      <c r="F256" s="1"/>
      <c r="G256" s="1"/>
      <c r="H256" s="1"/>
      <c r="I256" s="1"/>
      <c r="J256" s="1"/>
      <c r="L256" s="67"/>
      <c r="M256" s="1"/>
      <c r="N256" s="1"/>
      <c r="O256" s="1"/>
      <c r="P256" s="1"/>
      <c r="Q256" s="69"/>
      <c r="R256" s="1"/>
      <c r="S256" s="1"/>
      <c r="T256" s="1"/>
      <c r="U256" s="1"/>
      <c r="V256" s="1"/>
      <c r="W256" s="1"/>
      <c r="X256" s="1"/>
      <c r="Y256" s="44"/>
    </row>
    <row r="257">
      <c r="F257" s="1"/>
      <c r="G257" s="1"/>
      <c r="H257" s="1"/>
      <c r="I257" s="1"/>
      <c r="J257" s="1"/>
      <c r="L257" s="67"/>
      <c r="M257" s="1"/>
      <c r="N257" s="1"/>
      <c r="O257" s="1"/>
      <c r="P257" s="1"/>
      <c r="Q257" s="69"/>
      <c r="R257" s="1"/>
      <c r="S257" s="1"/>
      <c r="T257" s="1"/>
      <c r="U257" s="1"/>
      <c r="V257" s="1"/>
      <c r="W257" s="1"/>
      <c r="X257" s="1"/>
      <c r="Y257" s="44"/>
    </row>
    <row r="258">
      <c r="F258" s="1"/>
      <c r="G258" s="1"/>
      <c r="H258" s="1"/>
      <c r="I258" s="1"/>
      <c r="J258" s="1"/>
      <c r="L258" s="67"/>
      <c r="M258" s="1"/>
      <c r="N258" s="1"/>
      <c r="O258" s="1"/>
      <c r="P258" s="1"/>
      <c r="Q258" s="69"/>
      <c r="R258" s="1"/>
      <c r="S258" s="1"/>
      <c r="T258" s="1"/>
      <c r="U258" s="1"/>
      <c r="V258" s="1"/>
      <c r="W258" s="1"/>
      <c r="X258" s="1"/>
      <c r="Y258" s="44"/>
    </row>
    <row r="259">
      <c r="F259" s="1"/>
      <c r="G259" s="1"/>
      <c r="H259" s="1"/>
      <c r="I259" s="1"/>
      <c r="J259" s="1"/>
      <c r="L259" s="67"/>
      <c r="M259" s="1"/>
      <c r="N259" s="1"/>
      <c r="O259" s="1"/>
      <c r="P259" s="1"/>
      <c r="Q259" s="69"/>
      <c r="R259" s="1"/>
      <c r="S259" s="1"/>
      <c r="T259" s="1"/>
      <c r="U259" s="1"/>
      <c r="V259" s="1"/>
      <c r="W259" s="1"/>
      <c r="X259" s="1"/>
      <c r="Y259" s="44"/>
    </row>
    <row r="260">
      <c r="F260" s="1"/>
      <c r="G260" s="1"/>
      <c r="H260" s="1"/>
      <c r="I260" s="1"/>
      <c r="J260" s="1"/>
      <c r="L260" s="67"/>
      <c r="M260" s="1"/>
      <c r="N260" s="1"/>
      <c r="O260" s="1"/>
      <c r="P260" s="1"/>
      <c r="Q260" s="69"/>
      <c r="R260" s="1"/>
      <c r="S260" s="1"/>
      <c r="T260" s="1"/>
      <c r="U260" s="1"/>
      <c r="V260" s="1"/>
      <c r="W260" s="1"/>
      <c r="X260" s="1"/>
      <c r="Y260" s="44"/>
    </row>
    <row r="261">
      <c r="F261" s="1"/>
      <c r="G261" s="1"/>
      <c r="H261" s="1"/>
      <c r="I261" s="1"/>
      <c r="J261" s="1"/>
      <c r="L261" s="67"/>
      <c r="M261" s="1"/>
      <c r="N261" s="1"/>
      <c r="O261" s="1"/>
      <c r="P261" s="1"/>
      <c r="Q261" s="69"/>
      <c r="R261" s="1"/>
      <c r="S261" s="1"/>
      <c r="T261" s="1"/>
      <c r="U261" s="1"/>
      <c r="V261" s="1"/>
      <c r="W261" s="1"/>
      <c r="X261" s="1"/>
      <c r="Y261" s="44"/>
    </row>
    <row r="262">
      <c r="F262" s="1"/>
      <c r="G262" s="1"/>
      <c r="H262" s="1"/>
      <c r="I262" s="1"/>
      <c r="J262" s="1"/>
      <c r="L262" s="67"/>
      <c r="M262" s="1"/>
      <c r="N262" s="1"/>
      <c r="O262" s="1"/>
      <c r="P262" s="1"/>
      <c r="Q262" s="69"/>
      <c r="R262" s="1"/>
      <c r="S262" s="1"/>
      <c r="T262" s="1"/>
      <c r="U262" s="1"/>
      <c r="V262" s="1"/>
      <c r="W262" s="1"/>
      <c r="X262" s="1"/>
      <c r="Y262" s="44"/>
    </row>
    <row r="263">
      <c r="F263" s="1"/>
      <c r="G263" s="1"/>
      <c r="H263" s="1"/>
      <c r="I263" s="1"/>
      <c r="J263" s="1"/>
      <c r="L263" s="67"/>
      <c r="M263" s="1"/>
      <c r="N263" s="1"/>
      <c r="O263" s="1"/>
      <c r="P263" s="1"/>
      <c r="Q263" s="69"/>
      <c r="R263" s="1"/>
      <c r="S263" s="1"/>
      <c r="T263" s="1"/>
      <c r="U263" s="1"/>
      <c r="V263" s="1"/>
      <c r="W263" s="1"/>
      <c r="X263" s="1"/>
      <c r="Y263" s="44"/>
    </row>
    <row r="264">
      <c r="F264" s="1"/>
      <c r="G264" s="1"/>
      <c r="H264" s="1"/>
      <c r="I264" s="1"/>
      <c r="J264" s="1"/>
      <c r="L264" s="67"/>
      <c r="M264" s="1"/>
      <c r="N264" s="1"/>
      <c r="O264" s="1"/>
      <c r="P264" s="1"/>
      <c r="Q264" s="69"/>
      <c r="R264" s="1"/>
      <c r="S264" s="1"/>
      <c r="T264" s="1"/>
      <c r="U264" s="1"/>
      <c r="V264" s="1"/>
      <c r="W264" s="1"/>
      <c r="X264" s="1"/>
      <c r="Y264" s="44"/>
    </row>
    <row r="265">
      <c r="F265" s="1"/>
      <c r="G265" s="1"/>
      <c r="H265" s="1"/>
      <c r="I265" s="1"/>
      <c r="J265" s="1"/>
      <c r="L265" s="67"/>
      <c r="M265" s="1"/>
      <c r="N265" s="1"/>
      <c r="O265" s="1"/>
      <c r="P265" s="1"/>
      <c r="Q265" s="69"/>
      <c r="R265" s="1"/>
      <c r="S265" s="1"/>
      <c r="T265" s="1"/>
      <c r="U265" s="1"/>
      <c r="V265" s="1"/>
      <c r="W265" s="1"/>
      <c r="X265" s="1"/>
      <c r="Y265" s="44"/>
    </row>
    <row r="266">
      <c r="F266" s="1"/>
      <c r="G266" s="1"/>
      <c r="H266" s="1"/>
      <c r="I266" s="1"/>
      <c r="J266" s="1"/>
      <c r="L266" s="67"/>
      <c r="M266" s="1"/>
      <c r="N266" s="1"/>
      <c r="O266" s="1"/>
      <c r="P266" s="1"/>
      <c r="Q266" s="69"/>
      <c r="R266" s="1"/>
      <c r="S266" s="1"/>
      <c r="T266" s="1"/>
      <c r="U266" s="1"/>
      <c r="V266" s="1"/>
      <c r="W266" s="1"/>
      <c r="X266" s="1"/>
      <c r="Y266" s="44"/>
    </row>
    <row r="267" ht="15">
      <c r="F267" s="1"/>
      <c r="G267" s="1"/>
      <c r="H267" s="1"/>
      <c r="I267" s="1"/>
      <c r="J267" s="1"/>
      <c r="L267" s="73"/>
      <c r="M267" s="74"/>
      <c r="N267" s="74"/>
      <c r="O267" s="74"/>
      <c r="P267" s="74"/>
      <c r="Q267" s="75"/>
      <c r="R267" s="1"/>
      <c r="S267" s="1"/>
      <c r="T267" s="1"/>
      <c r="U267" s="1"/>
      <c r="V267" s="1"/>
      <c r="W267" s="1"/>
      <c r="X267" s="1"/>
      <c r="Y267" s="44"/>
    </row>
    <row r="268"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44"/>
    </row>
    <row r="269"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44"/>
    </row>
    <row r="270"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44"/>
    </row>
    <row r="271"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44"/>
    </row>
    <row r="272"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44"/>
    </row>
    <row r="273"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44"/>
    </row>
    <row r="274"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44"/>
    </row>
    <row r="275"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44"/>
    </row>
    <row r="276"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44"/>
    </row>
    <row r="277"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44"/>
    </row>
    <row r="278"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44"/>
    </row>
    <row r="279"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44"/>
    </row>
    <row r="280"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44"/>
    </row>
    <row r="281"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44"/>
    </row>
    <row r="282"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44"/>
    </row>
    <row r="283"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44"/>
    </row>
    <row r="284"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44"/>
    </row>
    <row r="285"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44"/>
    </row>
    <row r="286"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44"/>
    </row>
    <row r="287"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44"/>
    </row>
    <row r="288"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44"/>
    </row>
    <row r="289"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44"/>
    </row>
    <row r="290"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44"/>
    </row>
    <row r="291"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44"/>
    </row>
    <row r="292"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44"/>
    </row>
    <row r="293"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44"/>
    </row>
    <row r="294"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44"/>
    </row>
    <row r="295"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44"/>
    </row>
    <row r="296"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44"/>
    </row>
    <row r="297"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44"/>
    </row>
    <row r="298"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44"/>
    </row>
    <row r="299"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44"/>
    </row>
    <row r="300"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44"/>
    </row>
    <row r="301"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44"/>
    </row>
    <row r="302"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44"/>
    </row>
    <row r="303"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44"/>
    </row>
    <row r="304"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44"/>
    </row>
    <row r="305"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44"/>
    </row>
    <row r="306"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44"/>
    </row>
    <row r="307"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44"/>
    </row>
    <row r="308"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44"/>
    </row>
    <row r="309"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44"/>
    </row>
    <row r="310"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44"/>
    </row>
    <row r="311"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44"/>
    </row>
    <row r="312"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44"/>
    </row>
    <row r="313"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44"/>
    </row>
    <row r="314"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44"/>
    </row>
    <row r="315"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44"/>
    </row>
    <row r="316"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44"/>
    </row>
    <row r="317"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44"/>
    </row>
    <row r="318">
      <c r="F318" s="1"/>
      <c r="G318" s="1"/>
      <c r="H318" s="1"/>
      <c r="I318" s="1"/>
      <c r="J318" s="1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F319" s="1"/>
      <c r="G319" s="1"/>
      <c r="H319" s="1"/>
      <c r="I319" s="1"/>
      <c r="J319" s="1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F320" s="1"/>
      <c r="G320" s="1"/>
      <c r="H320" s="1"/>
      <c r="I320" s="1"/>
      <c r="J320" s="1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F321" s="1"/>
      <c r="G321" s="1"/>
      <c r="H321" s="1"/>
      <c r="I321" s="1"/>
      <c r="J321" s="1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F322" s="1"/>
      <c r="G322" s="1"/>
      <c r="H322" s="1"/>
      <c r="I322" s="1"/>
      <c r="J322" s="1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F323" s="1"/>
      <c r="G323" s="1"/>
      <c r="H323" s="1"/>
      <c r="I323" s="1"/>
      <c r="J323" s="1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F324" s="1"/>
      <c r="G324" s="1"/>
      <c r="H324" s="1"/>
      <c r="I324" s="1"/>
      <c r="J324" s="1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F325" s="1"/>
      <c r="G325" s="1"/>
      <c r="H325" s="1"/>
      <c r="I325" s="1"/>
      <c r="J325" s="1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F326" s="1"/>
      <c r="G326" s="1"/>
      <c r="H326" s="1"/>
      <c r="I326" s="1"/>
      <c r="J326" s="1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F327" s="1"/>
      <c r="G327" s="1"/>
      <c r="H327" s="1"/>
      <c r="I327" s="1"/>
      <c r="J327" s="1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F328" s="1"/>
      <c r="G328" s="1"/>
      <c r="H328" s="1"/>
      <c r="I328" s="1"/>
      <c r="J328" s="1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F329" s="1"/>
      <c r="G329" s="1"/>
      <c r="H329" s="1"/>
      <c r="I329" s="1"/>
      <c r="J329" s="1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F330" s="1"/>
      <c r="G330" s="1"/>
      <c r="H330" s="1"/>
      <c r="I330" s="1"/>
      <c r="J330" s="1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F331" s="1"/>
      <c r="G331" s="1"/>
      <c r="H331" s="1"/>
      <c r="I331" s="1"/>
      <c r="J331" s="1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F332" s="1"/>
      <c r="G332" s="1"/>
      <c r="H332" s="1"/>
      <c r="I332" s="1"/>
      <c r="J332" s="1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F333" s="1"/>
      <c r="G333" s="1"/>
      <c r="H333" s="1"/>
      <c r="I333" s="1"/>
      <c r="J333" s="1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F334" s="1"/>
      <c r="G334" s="1"/>
      <c r="H334" s="1"/>
      <c r="I334" s="1"/>
      <c r="J334" s="1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F335" s="1"/>
      <c r="G335" s="1"/>
      <c r="H335" s="1"/>
      <c r="I335" s="1"/>
      <c r="J335" s="1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F336" s="1"/>
      <c r="G336" s="1"/>
      <c r="H336" s="1"/>
      <c r="I336" s="1"/>
      <c r="J336" s="1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F337" s="1"/>
      <c r="G337" s="1"/>
      <c r="H337" s="1"/>
      <c r="I337" s="1"/>
      <c r="J337" s="1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F338" s="1"/>
      <c r="G338" s="1"/>
      <c r="H338" s="1"/>
      <c r="I338" s="1"/>
      <c r="J338" s="1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F339" s="1"/>
      <c r="G339" s="1"/>
      <c r="H339" s="1"/>
      <c r="I339" s="1"/>
      <c r="J339" s="1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F340" s="1"/>
      <c r="G340" s="1"/>
      <c r="H340" s="1"/>
      <c r="I340" s="1"/>
      <c r="J340" s="1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F341" s="1"/>
      <c r="G341" s="1"/>
      <c r="H341" s="1"/>
      <c r="I341" s="1"/>
      <c r="J341" s="1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F342" s="1"/>
      <c r="G342" s="1"/>
      <c r="H342" s="1"/>
      <c r="I342" s="1"/>
      <c r="J342" s="1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F343" s="1"/>
      <c r="G343" s="1"/>
      <c r="H343" s="1"/>
      <c r="I343" s="1"/>
      <c r="J343" s="1"/>
    </row>
    <row r="344">
      <c r="F344" s="1"/>
      <c r="G344" s="1"/>
      <c r="H344" s="1"/>
      <c r="I344" s="1"/>
      <c r="J344" s="1"/>
    </row>
    <row r="345">
      <c r="F345" s="1"/>
      <c r="G345" s="1"/>
      <c r="H345" s="1"/>
      <c r="I345" s="1"/>
      <c r="J345" s="1"/>
    </row>
    <row r="346">
      <c r="F346" s="1"/>
      <c r="G346" s="1"/>
      <c r="H346" s="1"/>
      <c r="I346" s="1"/>
      <c r="J346" s="1"/>
    </row>
  </sheetData>
  <mergeCells count="9">
    <mergeCell ref="F10:K10"/>
    <mergeCell ref="L10:Q10"/>
    <mergeCell ref="R10:X10"/>
    <mergeCell ref="B1:J2"/>
    <mergeCell ref="B4:C4"/>
    <mergeCell ref="B5:C5"/>
    <mergeCell ref="B6:C6"/>
    <mergeCell ref="B7:C7"/>
    <mergeCell ref="G4:H6"/>
  </mergeCells>
  <hyperlinks>
    <hyperlink r:id="rId1" ref="D12"/>
    <hyperlink r:id="rId2" ref="D13"/>
    <hyperlink r:id="rId3" ref="D16"/>
    <hyperlink r:id="rId4" ref="D17"/>
    <hyperlink r:id="rId5" ref="D18"/>
    <hyperlink r:id="rId6" ref="D19"/>
    <hyperlink r:id="rId7" ref="D21"/>
    <hyperlink r:id="rId8" ref="D24"/>
    <hyperlink r:id="rId9" ref="D35"/>
    <hyperlink r:id="rId10" ref="D37"/>
  </hyperlinks>
  <printOptions headings="0" gridLines="0"/>
  <pageMargins left="0.69999999999999996" right="0.69999999999999996" top="0.75" bottom="0.75" header="0.29999999999999999" footer="0.29999999999999999"/>
  <pageSetup paperSize="8" scale="37" fitToWidth="1" fitToHeight="0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2">
    <outlinePr applyStyles="0" summaryBelow="1" summaryRight="1" showOutlineSymbols="1"/>
    <pageSetUpPr autoPageBreaks="1" fitToPage="1"/>
  </sheetPr>
  <sheetViews>
    <sheetView zoomScale="70" workbookViewId="0">
      <selection activeCell="B34" activeCellId="0" sqref="B34"/>
    </sheetView>
  </sheetViews>
  <sheetFormatPr defaultRowHeight="14.4"/>
  <cols>
    <col bestFit="1" customWidth="1" min="2" max="2" width="51"/>
    <col bestFit="1" customWidth="1" min="3" max="3" style="1" width="27.44140625"/>
    <col customWidth="1" min="4" max="4" style="1" width="73.5546875"/>
    <col customWidth="1" min="5" max="5" style="1" width="20"/>
    <col customWidth="1" min="6" max="6" width="16.44140625"/>
    <col bestFit="1" customWidth="1" min="7" max="7" width="22.44140625"/>
    <col bestFit="1" customWidth="1" min="8" max="8" width="19.33203125"/>
    <col bestFit="1" customWidth="1" min="9" max="9" width="18.88671875"/>
    <col bestFit="1" customWidth="1" min="10" max="10" width="18.6640625"/>
    <col customWidth="1" min="11" max="11" width="18.33203125"/>
    <col bestFit="1" customWidth="1" min="12" max="12" width="20.33203125"/>
    <col customWidth="1" min="13" max="13" width="13.33203125"/>
    <col bestFit="1" customWidth="1" min="14" max="14" width="20.33203125"/>
    <col customWidth="1" min="15" max="15" width="27.5546875"/>
    <col customWidth="1" min="16" max="16" width="30.109375"/>
    <col customWidth="1" min="17" max="17" width="20.5546875"/>
    <col customWidth="1" min="18" max="18" width="14.44140625"/>
  </cols>
  <sheetData>
    <row r="1" ht="15" customHeight="1">
      <c r="B1" s="76" t="s">
        <v>2</v>
      </c>
      <c r="C1" s="77" t="s">
        <v>0</v>
      </c>
      <c r="D1" s="77"/>
      <c r="E1" s="77"/>
      <c r="F1" s="9" t="s">
        <v>135</v>
      </c>
      <c r="G1" s="10"/>
      <c r="I1" s="15">
        <v>4</v>
      </c>
      <c r="J1" s="16" t="s">
        <v>3</v>
      </c>
    </row>
    <row r="2" ht="15.75" customHeight="1">
      <c r="B2" s="76"/>
      <c r="C2" s="77"/>
      <c r="D2" s="77"/>
      <c r="E2" s="77"/>
      <c r="F2" s="17" t="s">
        <v>136</v>
      </c>
      <c r="G2" s="18"/>
      <c r="I2" s="21">
        <v>3</v>
      </c>
      <c r="J2" s="22" t="s">
        <v>5</v>
      </c>
    </row>
    <row r="3">
      <c r="B3" s="76"/>
      <c r="C3" s="77"/>
      <c r="D3" s="77"/>
      <c r="E3" s="77"/>
      <c r="F3" s="17" t="s">
        <v>6</v>
      </c>
      <c r="G3" s="18"/>
      <c r="I3" s="21">
        <v>2</v>
      </c>
      <c r="J3" s="22" t="s">
        <v>7</v>
      </c>
    </row>
    <row r="4" ht="15" customHeight="1">
      <c r="B4" s="76"/>
      <c r="C4" s="77"/>
      <c r="D4" s="77"/>
      <c r="E4" s="77"/>
      <c r="F4" s="25" t="s">
        <v>8</v>
      </c>
      <c r="G4" s="26"/>
      <c r="I4" s="27">
        <v>1</v>
      </c>
      <c r="J4" s="28" t="s">
        <v>9</v>
      </c>
    </row>
    <row r="5" ht="15" customHeight="1">
      <c r="D5" s="78"/>
      <c r="E5" s="78"/>
    </row>
    <row r="6" s="12" customFormat="1" ht="15"/>
    <row r="7" s="12" customFormat="1">
      <c r="F7" s="31" t="s">
        <v>11</v>
      </c>
      <c r="G7" s="32"/>
      <c r="H7" s="32"/>
      <c r="I7" s="32"/>
      <c r="J7" s="32"/>
      <c r="K7" s="33"/>
      <c r="L7" s="34" t="s">
        <v>12</v>
      </c>
      <c r="M7" s="34"/>
      <c r="N7" s="34"/>
      <c r="O7" s="34"/>
      <c r="P7" s="34"/>
      <c r="Q7" s="34"/>
      <c r="R7" s="35"/>
    </row>
    <row r="8" s="36" customFormat="1" ht="75.75" customHeight="1">
      <c r="B8" s="37" t="s">
        <v>13</v>
      </c>
      <c r="C8" s="38" t="s">
        <v>14</v>
      </c>
      <c r="D8" s="38" t="s">
        <v>15</v>
      </c>
      <c r="E8" s="38" t="s">
        <v>16</v>
      </c>
      <c r="F8" s="39" t="s">
        <v>17</v>
      </c>
      <c r="G8" s="38" t="s">
        <v>18</v>
      </c>
      <c r="H8" s="38" t="s">
        <v>19</v>
      </c>
      <c r="I8" s="38" t="s">
        <v>20</v>
      </c>
      <c r="J8" s="38" t="s">
        <v>21</v>
      </c>
      <c r="K8" s="40" t="s">
        <v>22</v>
      </c>
      <c r="L8" s="41" t="s">
        <v>29</v>
      </c>
      <c r="M8" s="41" t="s">
        <v>30</v>
      </c>
      <c r="N8" s="41" t="s">
        <v>31</v>
      </c>
      <c r="O8" s="41" t="s">
        <v>32</v>
      </c>
      <c r="P8" s="41" t="s">
        <v>33</v>
      </c>
      <c r="Q8" s="42" t="s">
        <v>34</v>
      </c>
      <c r="R8" s="43" t="s">
        <v>35</v>
      </c>
    </row>
    <row r="9" ht="19.949999999999999" customHeight="1">
      <c r="B9" s="44" t="s">
        <v>36</v>
      </c>
      <c r="C9" s="45" t="s">
        <v>37</v>
      </c>
      <c r="D9" s="46" t="s">
        <v>38</v>
      </c>
      <c r="E9" s="46"/>
      <c r="F9" s="48">
        <v>0</v>
      </c>
      <c r="G9" s="45">
        <v>3</v>
      </c>
      <c r="H9" s="45" t="s">
        <v>39</v>
      </c>
      <c r="I9" s="45">
        <v>3</v>
      </c>
      <c r="J9" s="45" t="s">
        <v>40</v>
      </c>
      <c r="K9" s="49">
        <v>44805</v>
      </c>
      <c r="L9" s="45"/>
      <c r="M9" s="45"/>
      <c r="N9" s="45"/>
      <c r="O9" s="45"/>
      <c r="P9" s="45"/>
      <c r="Q9" s="50">
        <v>45890</v>
      </c>
      <c r="S9" s="51"/>
      <c r="T9" s="51"/>
      <c r="U9" s="51"/>
    </row>
    <row r="10" s="45" customFormat="1" ht="20.25" customHeight="1">
      <c r="B10" s="52" t="s">
        <v>41</v>
      </c>
      <c r="C10" s="45" t="s">
        <v>37</v>
      </c>
      <c r="D10" s="46" t="s">
        <v>42</v>
      </c>
      <c r="E10" s="53" t="s">
        <v>43</v>
      </c>
      <c r="F10" s="48">
        <v>0</v>
      </c>
      <c r="G10" s="45">
        <v>3</v>
      </c>
      <c r="H10" s="45" t="s">
        <v>39</v>
      </c>
      <c r="I10" s="45">
        <v>3</v>
      </c>
      <c r="J10" s="45" t="s">
        <v>40</v>
      </c>
      <c r="K10" s="49">
        <v>44834</v>
      </c>
      <c r="O10" s="47">
        <v>44916</v>
      </c>
      <c r="P10" s="54" t="s">
        <v>44</v>
      </c>
      <c r="Q10" s="47">
        <v>45228</v>
      </c>
    </row>
    <row r="11" s="45" customFormat="1" ht="19.949999999999999" customHeight="1">
      <c r="B11" s="52" t="s">
        <v>45</v>
      </c>
      <c r="C11" s="45" t="s">
        <v>46</v>
      </c>
      <c r="D11" s="55" t="s">
        <v>47</v>
      </c>
      <c r="E11" s="56">
        <v>3285363451</v>
      </c>
      <c r="F11" s="48">
        <v>0</v>
      </c>
      <c r="G11" s="45">
        <v>3</v>
      </c>
      <c r="H11" s="45" t="s">
        <v>39</v>
      </c>
      <c r="I11" s="45">
        <v>3</v>
      </c>
      <c r="J11" s="45" t="s">
        <v>40</v>
      </c>
      <c r="K11" s="49">
        <v>44819</v>
      </c>
    </row>
    <row r="12" ht="24" customHeight="1">
      <c r="B12" s="52" t="s">
        <v>48</v>
      </c>
      <c r="C12" s="45" t="s">
        <v>37</v>
      </c>
      <c r="D12" s="46" t="s">
        <v>49</v>
      </c>
      <c r="E12" s="57" t="s">
        <v>50</v>
      </c>
      <c r="F12" s="48">
        <v>0</v>
      </c>
      <c r="G12" s="45">
        <v>4</v>
      </c>
      <c r="H12" s="45" t="s">
        <v>39</v>
      </c>
      <c r="I12" s="45">
        <v>4</v>
      </c>
      <c r="J12" s="45" t="s">
        <v>40</v>
      </c>
      <c r="K12" s="49">
        <v>44846</v>
      </c>
      <c r="L12" s="47">
        <v>45764</v>
      </c>
      <c r="M12" s="45"/>
      <c r="N12" s="58" t="s">
        <v>51</v>
      </c>
      <c r="O12" s="47">
        <v>44970</v>
      </c>
      <c r="P12" s="55" t="s">
        <v>52</v>
      </c>
      <c r="Q12" s="47">
        <v>45694</v>
      </c>
      <c r="R12" s="45"/>
      <c r="S12" s="45"/>
    </row>
    <row r="13" ht="19.949999999999999" customHeight="1">
      <c r="B13" s="44" t="s">
        <v>53</v>
      </c>
      <c r="C13" s="45" t="s">
        <v>37</v>
      </c>
      <c r="D13" s="46" t="s">
        <v>54</v>
      </c>
      <c r="E13" s="53">
        <v>3467458611</v>
      </c>
      <c r="F13" s="48">
        <v>0</v>
      </c>
      <c r="G13" s="45">
        <v>3</v>
      </c>
      <c r="H13" s="45" t="s">
        <v>39</v>
      </c>
      <c r="I13" s="45">
        <v>3</v>
      </c>
      <c r="J13" s="45" t="s">
        <v>40</v>
      </c>
      <c r="K13" s="49">
        <v>44909</v>
      </c>
      <c r="Q13" s="59">
        <v>45849</v>
      </c>
    </row>
    <row r="14" s="45" customFormat="1" ht="26.399999999999999" customHeight="1">
      <c r="B14" s="52" t="s">
        <v>55</v>
      </c>
      <c r="C14" s="45" t="s">
        <v>37</v>
      </c>
      <c r="D14" s="46" t="s">
        <v>56</v>
      </c>
      <c r="E14" s="53" t="s">
        <v>57</v>
      </c>
      <c r="F14" s="48">
        <v>0</v>
      </c>
      <c r="G14" s="45">
        <v>4</v>
      </c>
      <c r="H14" s="55" t="s">
        <v>39</v>
      </c>
      <c r="I14" s="55">
        <v>4</v>
      </c>
      <c r="J14" s="45" t="s">
        <v>40</v>
      </c>
      <c r="K14" s="49">
        <v>44823</v>
      </c>
      <c r="L14" s="47">
        <v>45722</v>
      </c>
      <c r="N14" s="55" t="s">
        <v>58</v>
      </c>
      <c r="O14" s="47">
        <v>45090</v>
      </c>
      <c r="P14" s="55" t="s">
        <v>59</v>
      </c>
      <c r="Q14" s="47">
        <v>45606</v>
      </c>
      <c r="R14" s="45" t="s">
        <v>60</v>
      </c>
    </row>
    <row r="15" s="45" customFormat="1" ht="19.949999999999999" customHeight="1">
      <c r="B15" s="52" t="s">
        <v>61</v>
      </c>
      <c r="C15" s="45" t="s">
        <v>37</v>
      </c>
      <c r="D15" s="46" t="s">
        <v>62</v>
      </c>
      <c r="E15" s="46"/>
      <c r="F15" s="48">
        <v>0</v>
      </c>
      <c r="G15" s="45">
        <v>3</v>
      </c>
      <c r="H15" s="45" t="s">
        <v>39</v>
      </c>
      <c r="I15" s="45">
        <v>3</v>
      </c>
      <c r="J15" s="45" t="s">
        <v>40</v>
      </c>
      <c r="K15" s="49">
        <v>44820</v>
      </c>
      <c r="N15" s="45" t="s">
        <v>63</v>
      </c>
      <c r="O15" s="47">
        <v>44939</v>
      </c>
      <c r="Q15" s="47">
        <v>45231</v>
      </c>
    </row>
    <row r="16" s="45" customFormat="1" ht="19.949999999999999" customHeight="1">
      <c r="B16" s="52" t="s">
        <v>64</v>
      </c>
      <c r="C16" s="45" t="s">
        <v>46</v>
      </c>
      <c r="D16" s="46" t="s">
        <v>65</v>
      </c>
      <c r="E16" s="46"/>
      <c r="F16" s="48">
        <v>0</v>
      </c>
      <c r="G16" s="45">
        <v>3</v>
      </c>
      <c r="H16" s="45" t="s">
        <v>39</v>
      </c>
      <c r="I16" s="45">
        <v>3</v>
      </c>
      <c r="J16" s="47" t="s">
        <v>40</v>
      </c>
      <c r="K16" s="49">
        <v>44823</v>
      </c>
      <c r="O16" s="55" t="s">
        <v>66</v>
      </c>
      <c r="Q16" s="47">
        <v>44903</v>
      </c>
    </row>
    <row r="17" ht="19.949999999999999" hidden="1" customHeight="1">
      <c r="B17" s="44" t="s">
        <v>67</v>
      </c>
      <c r="C17" s="45" t="s">
        <v>37</v>
      </c>
      <c r="D17" s="45" t="s">
        <v>68</v>
      </c>
      <c r="E17" s="53">
        <v>3459056126</v>
      </c>
      <c r="F17" s="60"/>
      <c r="K17" s="61"/>
    </row>
    <row r="18" ht="19.949999999999999" hidden="1" customHeight="1">
      <c r="B18" s="36" t="s">
        <v>69</v>
      </c>
      <c r="C18" s="45" t="s">
        <v>70</v>
      </c>
      <c r="D18" s="46" t="s">
        <v>71</v>
      </c>
      <c r="E18" s="62">
        <v>3387930897</v>
      </c>
      <c r="F18" s="60"/>
      <c r="K18" s="61"/>
    </row>
    <row r="19" s="45" customFormat="1" ht="19.949999999999999" customHeight="1">
      <c r="B19" s="52" t="s">
        <v>72</v>
      </c>
      <c r="C19" s="45" t="s">
        <v>37</v>
      </c>
      <c r="D19" s="45" t="s">
        <v>73</v>
      </c>
      <c r="F19" s="48">
        <v>0</v>
      </c>
      <c r="G19" s="45">
        <v>3</v>
      </c>
      <c r="H19" s="45" t="s">
        <v>39</v>
      </c>
      <c r="I19" s="45">
        <v>3</v>
      </c>
      <c r="J19" s="45" t="s">
        <v>40</v>
      </c>
      <c r="K19" s="49">
        <v>44842</v>
      </c>
      <c r="Q19" s="47">
        <v>45347</v>
      </c>
    </row>
    <row r="20" ht="19.949999999999999" customHeight="1">
      <c r="B20" s="44" t="s">
        <v>74</v>
      </c>
      <c r="C20" s="45" t="s">
        <v>75</v>
      </c>
      <c r="D20" s="45" t="s">
        <v>76</v>
      </c>
      <c r="E20" s="63" t="s">
        <v>77</v>
      </c>
      <c r="F20" s="64">
        <v>0</v>
      </c>
      <c r="G20" s="1">
        <v>4</v>
      </c>
      <c r="H20" s="1" t="s">
        <v>39</v>
      </c>
      <c r="I20" s="1">
        <v>4</v>
      </c>
      <c r="J20" s="1" t="s">
        <v>40</v>
      </c>
      <c r="K20" s="65">
        <v>44806</v>
      </c>
      <c r="L20" s="59">
        <v>45510</v>
      </c>
      <c r="M20" s="1"/>
      <c r="N20" s="1"/>
      <c r="O20" s="1"/>
      <c r="P20" s="1" t="s">
        <v>78</v>
      </c>
      <c r="Q20" s="59">
        <v>45747</v>
      </c>
      <c r="R20" s="1"/>
      <c r="S20" s="44"/>
    </row>
    <row r="21" ht="19.949999999999999" customHeight="1">
      <c r="B21" s="44" t="s">
        <v>79</v>
      </c>
      <c r="C21" s="45" t="s">
        <v>80</v>
      </c>
      <c r="D21" s="46" t="s">
        <v>81</v>
      </c>
      <c r="E21" s="66" t="s">
        <v>82</v>
      </c>
      <c r="F21" s="64">
        <v>0</v>
      </c>
      <c r="G21" s="1">
        <v>3</v>
      </c>
      <c r="H21" s="1" t="s">
        <v>39</v>
      </c>
      <c r="I21" s="1">
        <v>3</v>
      </c>
      <c r="J21" s="1" t="s">
        <v>40</v>
      </c>
      <c r="K21" s="65">
        <v>44806</v>
      </c>
      <c r="L21" s="59">
        <v>45447</v>
      </c>
      <c r="M21" s="1"/>
      <c r="N21" s="1"/>
      <c r="O21" s="1"/>
      <c r="P21" s="1" t="s">
        <v>83</v>
      </c>
      <c r="Q21" s="1"/>
      <c r="R21" s="1"/>
      <c r="S21" s="44"/>
    </row>
    <row r="22" ht="19.949999999999999" customHeight="1">
      <c r="B22" s="44" t="s">
        <v>84</v>
      </c>
      <c r="C22" s="45" t="s">
        <v>80</v>
      </c>
      <c r="D22" s="45" t="s">
        <v>85</v>
      </c>
      <c r="E22" s="66" t="s">
        <v>86</v>
      </c>
      <c r="F22" s="67">
        <v>0</v>
      </c>
      <c r="G22" s="1">
        <v>3</v>
      </c>
      <c r="H22" s="1" t="s">
        <v>39</v>
      </c>
      <c r="I22" s="1">
        <v>3</v>
      </c>
      <c r="J22" s="1" t="s">
        <v>40</v>
      </c>
      <c r="K22" s="65">
        <v>44820</v>
      </c>
      <c r="L22" s="59">
        <v>45099</v>
      </c>
      <c r="M22" s="1"/>
      <c r="N22" s="1"/>
      <c r="O22" s="1"/>
      <c r="P22" s="1"/>
      <c r="Q22" s="1"/>
      <c r="R22" s="1"/>
      <c r="S22" s="44"/>
    </row>
    <row r="23" ht="19.949999999999999" customHeight="1">
      <c r="B23" s="52" t="s">
        <v>87</v>
      </c>
      <c r="C23" s="45" t="s">
        <v>80</v>
      </c>
      <c r="D23" s="45" t="s">
        <v>88</v>
      </c>
      <c r="E23" s="66" t="s">
        <v>89</v>
      </c>
      <c r="F23" s="48">
        <v>0</v>
      </c>
      <c r="G23" s="45">
        <v>3</v>
      </c>
      <c r="H23" s="45" t="s">
        <v>39</v>
      </c>
      <c r="I23" s="45">
        <v>3</v>
      </c>
      <c r="J23" s="45" t="s">
        <v>40</v>
      </c>
      <c r="K23" s="49">
        <v>44812</v>
      </c>
      <c r="L23" s="47">
        <v>45271</v>
      </c>
      <c r="M23" s="45"/>
      <c r="N23" s="45" t="s">
        <v>90</v>
      </c>
      <c r="O23" s="45"/>
      <c r="P23" s="55" t="s">
        <v>91</v>
      </c>
      <c r="Q23" s="1"/>
      <c r="R23" s="1"/>
      <c r="S23" s="44"/>
    </row>
    <row r="24" ht="19.949999999999999" customHeight="1">
      <c r="B24" s="52" t="s">
        <v>92</v>
      </c>
      <c r="C24" s="45" t="s">
        <v>80</v>
      </c>
      <c r="D24" s="45" t="s">
        <v>93</v>
      </c>
      <c r="E24" s="66" t="s">
        <v>94</v>
      </c>
      <c r="F24" s="48">
        <v>0</v>
      </c>
      <c r="G24" s="45">
        <v>3</v>
      </c>
      <c r="H24" s="45" t="s">
        <v>39</v>
      </c>
      <c r="I24" s="45">
        <v>3</v>
      </c>
      <c r="J24" s="45" t="s">
        <v>40</v>
      </c>
      <c r="K24" s="49">
        <v>44810</v>
      </c>
      <c r="L24" s="47">
        <v>45635</v>
      </c>
      <c r="M24" s="47">
        <v>45693</v>
      </c>
      <c r="N24" s="45"/>
      <c r="O24" s="45"/>
      <c r="P24" s="55" t="s">
        <v>95</v>
      </c>
      <c r="Q24" s="1"/>
      <c r="R24" s="1"/>
      <c r="S24" s="44"/>
    </row>
    <row r="25" ht="19.949999999999999" customHeight="1">
      <c r="B25" s="44" t="s">
        <v>96</v>
      </c>
      <c r="C25" s="45" t="s">
        <v>80</v>
      </c>
      <c r="D25" s="45" t="s">
        <v>97</v>
      </c>
      <c r="E25" s="66" t="s">
        <v>98</v>
      </c>
      <c r="F25" s="48">
        <v>0</v>
      </c>
      <c r="G25" s="68">
        <v>4</v>
      </c>
      <c r="H25" s="1" t="s">
        <v>39</v>
      </c>
      <c r="I25" s="1">
        <v>4</v>
      </c>
      <c r="J25" s="1" t="s">
        <v>40</v>
      </c>
      <c r="K25" s="65">
        <v>44826</v>
      </c>
      <c r="L25" s="59">
        <v>45432</v>
      </c>
      <c r="M25" s="59">
        <v>45432</v>
      </c>
      <c r="N25" s="1"/>
      <c r="O25" s="1"/>
      <c r="P25" s="1" t="s">
        <v>99</v>
      </c>
      <c r="Q25" s="1"/>
      <c r="R25" s="1"/>
      <c r="S25" s="44"/>
    </row>
    <row r="26" s="45" customFormat="1" ht="23.399999999999999" customHeight="1">
      <c r="B26" s="52" t="s">
        <v>100</v>
      </c>
      <c r="C26" s="45" t="s">
        <v>80</v>
      </c>
      <c r="D26" s="45" t="s">
        <v>101</v>
      </c>
      <c r="E26" s="66" t="s">
        <v>102</v>
      </c>
      <c r="F26" s="48">
        <v>0</v>
      </c>
      <c r="G26" s="45">
        <v>3</v>
      </c>
      <c r="H26" s="45" t="s">
        <v>39</v>
      </c>
      <c r="I26" s="55">
        <v>3</v>
      </c>
      <c r="J26" s="45" t="s">
        <v>40</v>
      </c>
      <c r="K26" s="49">
        <v>44831</v>
      </c>
      <c r="L26" s="47">
        <v>45082</v>
      </c>
      <c r="N26" s="45" t="s">
        <v>103</v>
      </c>
      <c r="P26" s="55" t="s">
        <v>104</v>
      </c>
    </row>
    <row r="27" ht="19.199999999999999" hidden="1" customHeight="1">
      <c r="B27" s="44" t="s">
        <v>105</v>
      </c>
      <c r="C27" s="45" t="s">
        <v>80</v>
      </c>
      <c r="D27" s="45" t="s">
        <v>106</v>
      </c>
      <c r="E27" s="66">
        <v>3473875848</v>
      </c>
      <c r="F27" s="67"/>
      <c r="G27" s="1"/>
      <c r="H27" s="1"/>
      <c r="I27" s="1"/>
      <c r="J27" s="1"/>
      <c r="K27" s="69"/>
      <c r="L27" s="1"/>
      <c r="M27" s="1"/>
      <c r="N27" s="1"/>
      <c r="O27" s="1"/>
      <c r="P27" s="1"/>
      <c r="Q27" s="1"/>
      <c r="R27" s="1"/>
      <c r="S27" s="44"/>
    </row>
    <row r="28" ht="19.949999999999999" customHeight="1">
      <c r="B28" s="44" t="s">
        <v>107</v>
      </c>
      <c r="C28" s="45" t="s">
        <v>80</v>
      </c>
      <c r="D28" s="45" t="s">
        <v>108</v>
      </c>
      <c r="E28" s="66">
        <v>35525395</v>
      </c>
      <c r="F28" s="64">
        <v>0</v>
      </c>
      <c r="G28" s="1">
        <v>3</v>
      </c>
      <c r="H28" s="1" t="s">
        <v>39</v>
      </c>
      <c r="I28" s="1">
        <v>3</v>
      </c>
      <c r="J28" s="1" t="s">
        <v>40</v>
      </c>
      <c r="K28" s="65">
        <v>44823</v>
      </c>
      <c r="L28" s="59">
        <v>45226</v>
      </c>
      <c r="M28" s="1"/>
      <c r="N28" s="1"/>
      <c r="O28" s="1"/>
      <c r="P28" s="1"/>
      <c r="Q28" s="1"/>
      <c r="R28" s="1"/>
      <c r="S28" s="44"/>
    </row>
    <row r="29" ht="19.949999999999999" hidden="1" customHeight="1">
      <c r="B29" s="44" t="s">
        <v>109</v>
      </c>
      <c r="C29" s="45" t="s">
        <v>110</v>
      </c>
      <c r="D29" s="45" t="s">
        <v>111</v>
      </c>
      <c r="E29" s="66" t="s">
        <v>112</v>
      </c>
      <c r="F29" s="67"/>
      <c r="G29" s="1"/>
      <c r="H29" s="1"/>
      <c r="I29" s="1"/>
      <c r="J29" s="1"/>
      <c r="K29" s="69"/>
      <c r="L29" s="1"/>
      <c r="M29" s="1"/>
      <c r="N29" s="1"/>
      <c r="O29" s="1"/>
      <c r="P29" s="1"/>
      <c r="Q29" s="1"/>
      <c r="R29" s="1"/>
      <c r="S29" s="44"/>
    </row>
    <row r="30" ht="19.949999999999999" hidden="1" customHeight="1">
      <c r="B30" s="44" t="s">
        <v>113</v>
      </c>
      <c r="C30" s="45" t="s">
        <v>110</v>
      </c>
      <c r="D30" s="45" t="s">
        <v>114</v>
      </c>
      <c r="E30" s="66" t="s">
        <v>115</v>
      </c>
      <c r="F30" s="70"/>
      <c r="G30" s="59"/>
      <c r="H30" s="1"/>
      <c r="I30" s="1"/>
      <c r="J30" s="1"/>
      <c r="K30" s="69"/>
      <c r="L30" s="1"/>
      <c r="M30" s="1"/>
      <c r="N30" s="1"/>
      <c r="O30" s="1"/>
      <c r="P30" s="1"/>
      <c r="Q30" s="1"/>
      <c r="R30" s="1"/>
      <c r="S30" s="44"/>
    </row>
    <row r="31" ht="19.199999999999999" customHeight="1">
      <c r="B31" s="44" t="s">
        <v>116</v>
      </c>
      <c r="C31" s="45" t="s">
        <v>117</v>
      </c>
      <c r="D31" s="45" t="s">
        <v>118</v>
      </c>
      <c r="E31" s="66" t="s">
        <v>119</v>
      </c>
      <c r="F31" s="67">
        <v>0</v>
      </c>
      <c r="G31" s="1">
        <v>4</v>
      </c>
      <c r="H31" s="1" t="s">
        <v>39</v>
      </c>
      <c r="I31" s="1">
        <v>4</v>
      </c>
      <c r="J31" s="1" t="s">
        <v>40</v>
      </c>
      <c r="K31" s="65">
        <v>44820</v>
      </c>
      <c r="L31" s="59">
        <v>45683</v>
      </c>
      <c r="M31" s="1"/>
      <c r="N31" s="1"/>
      <c r="O31" s="1"/>
      <c r="P31" s="1" t="s">
        <v>120</v>
      </c>
      <c r="Q31" s="1"/>
      <c r="R31" s="1"/>
      <c r="S31" s="44"/>
    </row>
    <row r="32" s="44" customFormat="1" ht="19.949999999999999" customHeight="1">
      <c r="B32" s="44" t="s">
        <v>121</v>
      </c>
      <c r="C32" s="45" t="s">
        <v>117</v>
      </c>
      <c r="D32" s="71" t="s">
        <v>122</v>
      </c>
      <c r="E32" s="66" t="s">
        <v>123</v>
      </c>
      <c r="F32" s="48">
        <v>0</v>
      </c>
      <c r="G32" s="45">
        <v>3</v>
      </c>
      <c r="H32" s="45" t="s">
        <v>39</v>
      </c>
      <c r="I32" s="45">
        <v>3</v>
      </c>
      <c r="J32" s="45" t="s">
        <v>40</v>
      </c>
      <c r="K32" s="49">
        <v>44809</v>
      </c>
      <c r="L32" s="47">
        <v>45408</v>
      </c>
      <c r="M32" s="47">
        <v>45606</v>
      </c>
      <c r="N32" s="45"/>
      <c r="O32" s="45"/>
      <c r="P32" s="45" t="s">
        <v>124</v>
      </c>
      <c r="Q32" s="45"/>
      <c r="R32" s="45"/>
    </row>
    <row r="33" s="44" customFormat="1" ht="19.199999999999999" hidden="1" customHeight="1">
      <c r="B33" s="44" t="s">
        <v>125</v>
      </c>
      <c r="C33" s="45" t="s">
        <v>117</v>
      </c>
      <c r="D33" s="55" t="s">
        <v>126</v>
      </c>
      <c r="E33" s="66" t="s">
        <v>127</v>
      </c>
      <c r="F33" s="48"/>
      <c r="G33" s="45"/>
      <c r="H33" s="45"/>
      <c r="I33" s="45"/>
      <c r="J33" s="45"/>
      <c r="K33" s="72"/>
      <c r="L33" s="45"/>
      <c r="M33" s="45"/>
      <c r="N33" s="45"/>
      <c r="O33" s="45"/>
      <c r="P33" s="45"/>
      <c r="Q33" s="45"/>
      <c r="R33" s="45"/>
    </row>
    <row r="34" s="44" customFormat="1" ht="19.949999999999999" customHeight="1">
      <c r="B34" s="44" t="s">
        <v>128</v>
      </c>
      <c r="C34" s="45" t="s">
        <v>129</v>
      </c>
      <c r="D34" s="71" t="s">
        <v>130</v>
      </c>
      <c r="E34" s="66" t="s">
        <v>131</v>
      </c>
      <c r="F34" s="48">
        <v>0</v>
      </c>
      <c r="G34" s="45">
        <v>4</v>
      </c>
      <c r="H34" s="45" t="s">
        <v>39</v>
      </c>
      <c r="I34" s="45">
        <v>4</v>
      </c>
      <c r="J34" s="45" t="s">
        <v>40</v>
      </c>
      <c r="K34" s="49">
        <v>44806</v>
      </c>
      <c r="L34" s="47">
        <v>45510</v>
      </c>
      <c r="M34" s="45"/>
      <c r="N34" s="45"/>
      <c r="O34" s="45"/>
      <c r="P34" s="45" t="s">
        <v>78</v>
      </c>
      <c r="Q34" s="47">
        <v>45747</v>
      </c>
      <c r="R34" s="45"/>
    </row>
    <row r="35" ht="19.949999999999999" hidden="1" customHeight="1">
      <c r="B35" s="44" t="s">
        <v>132</v>
      </c>
      <c r="C35" s="45" t="s">
        <v>133</v>
      </c>
      <c r="D35" s="45" t="s">
        <v>134</v>
      </c>
      <c r="F35" s="67"/>
      <c r="G35" s="1"/>
      <c r="H35" s="1"/>
      <c r="I35" s="1"/>
      <c r="J35" s="1"/>
      <c r="K35" s="69"/>
      <c r="L35" s="1"/>
      <c r="M35" s="1"/>
      <c r="N35" s="1"/>
      <c r="O35" s="1"/>
      <c r="P35" s="1"/>
      <c r="Q35" s="1"/>
      <c r="R35" s="1"/>
      <c r="S35" s="44"/>
    </row>
    <row r="36" ht="13.949999999999999" hidden="1" customHeight="1">
      <c r="F36" s="67"/>
      <c r="G36" s="1"/>
      <c r="H36" s="1"/>
      <c r="I36" s="1"/>
      <c r="J36" s="1"/>
      <c r="K36" s="69"/>
      <c r="L36" s="1"/>
      <c r="M36" s="1"/>
      <c r="N36" s="1"/>
      <c r="O36" s="1"/>
      <c r="P36" s="1"/>
      <c r="Q36" s="1"/>
      <c r="R36" s="1"/>
      <c r="S36" s="44"/>
    </row>
    <row r="37" hidden="1">
      <c r="F37" s="67"/>
      <c r="G37" s="1"/>
      <c r="H37" s="1"/>
      <c r="I37" s="1"/>
      <c r="J37" s="1"/>
      <c r="K37" s="69"/>
      <c r="L37" s="1"/>
      <c r="M37" s="1"/>
      <c r="N37" s="1"/>
      <c r="O37" s="1"/>
      <c r="P37" s="1"/>
      <c r="Q37" s="1"/>
      <c r="R37" s="1"/>
      <c r="S37" s="44"/>
    </row>
    <row r="38" hidden="1">
      <c r="F38" s="67"/>
      <c r="G38" s="1"/>
      <c r="H38" s="1"/>
      <c r="I38" s="1"/>
      <c r="J38" s="1"/>
      <c r="K38" s="69"/>
      <c r="L38" s="1"/>
      <c r="M38" s="1"/>
      <c r="N38" s="1"/>
      <c r="O38" s="1"/>
      <c r="P38" s="1"/>
      <c r="Q38" s="1"/>
      <c r="R38" s="1"/>
      <c r="S38" s="44"/>
    </row>
    <row r="39" hidden="1">
      <c r="F39" s="67"/>
      <c r="G39" s="1"/>
      <c r="H39" s="1"/>
      <c r="I39" s="1"/>
      <c r="J39" s="1"/>
      <c r="K39" s="69"/>
      <c r="L39" s="1"/>
      <c r="M39" s="1"/>
      <c r="N39" s="1"/>
      <c r="O39" s="1"/>
      <c r="P39" s="1"/>
      <c r="Q39" s="1"/>
      <c r="R39" s="1"/>
      <c r="S39" s="44"/>
    </row>
    <row r="40" hidden="1">
      <c r="F40" s="67"/>
      <c r="G40" s="1"/>
      <c r="H40" s="1"/>
      <c r="I40" s="1"/>
      <c r="J40" s="1"/>
      <c r="K40" s="69"/>
      <c r="L40" s="1"/>
      <c r="M40" s="1"/>
      <c r="N40" s="1"/>
      <c r="O40" s="1"/>
      <c r="P40" s="1"/>
      <c r="Q40" s="1"/>
      <c r="R40" s="1"/>
      <c r="S40" s="44"/>
    </row>
    <row r="41" hidden="1">
      <c r="F41" s="67"/>
      <c r="G41" s="1"/>
      <c r="H41" s="1"/>
      <c r="I41" s="1"/>
      <c r="J41" s="1"/>
      <c r="K41" s="69"/>
      <c r="L41" s="1"/>
      <c r="M41" s="1"/>
      <c r="N41" s="1"/>
      <c r="O41" s="1"/>
      <c r="P41" s="1"/>
      <c r="Q41" s="1"/>
      <c r="R41" s="1"/>
      <c r="S41" s="44"/>
    </row>
    <row r="42" hidden="1">
      <c r="F42" s="67"/>
      <c r="G42" s="1"/>
      <c r="H42" s="1"/>
      <c r="I42" s="1"/>
      <c r="J42" s="1"/>
      <c r="K42" s="69"/>
      <c r="L42" s="1"/>
      <c r="M42" s="1"/>
      <c r="N42" s="1"/>
      <c r="O42" s="1"/>
      <c r="P42" s="1"/>
      <c r="Q42" s="1"/>
      <c r="R42" s="1"/>
      <c r="S42" s="44"/>
    </row>
    <row r="43" hidden="1">
      <c r="F43" s="67"/>
      <c r="G43" s="1"/>
      <c r="H43" s="1"/>
      <c r="I43" s="1"/>
      <c r="J43" s="1"/>
      <c r="K43" s="69"/>
      <c r="L43" s="1"/>
      <c r="M43" s="1"/>
      <c r="N43" s="1"/>
      <c r="O43" s="1"/>
      <c r="P43" s="1"/>
      <c r="Q43" s="1"/>
      <c r="R43" s="1"/>
      <c r="S43" s="44"/>
    </row>
    <row r="44" hidden="1">
      <c r="F44" s="67"/>
      <c r="G44" s="1"/>
      <c r="H44" s="1"/>
      <c r="I44" s="1"/>
      <c r="J44" s="1"/>
      <c r="K44" s="69"/>
      <c r="L44" s="1"/>
      <c r="M44" s="1"/>
      <c r="N44" s="1"/>
      <c r="O44" s="1"/>
      <c r="P44" s="1"/>
      <c r="Q44" s="1"/>
      <c r="R44" s="1"/>
      <c r="S44" s="44"/>
    </row>
    <row r="45" hidden="1">
      <c r="F45" s="67"/>
      <c r="G45" s="1"/>
      <c r="H45" s="1"/>
      <c r="I45" s="1"/>
      <c r="J45" s="1"/>
      <c r="K45" s="69"/>
      <c r="L45" s="1"/>
      <c r="M45" s="1"/>
      <c r="N45" s="1"/>
      <c r="O45" s="1"/>
      <c r="P45" s="1"/>
      <c r="Q45" s="1"/>
      <c r="R45" s="1"/>
      <c r="S45" s="44"/>
    </row>
    <row r="46" hidden="1">
      <c r="F46" s="67"/>
      <c r="G46" s="1"/>
      <c r="H46" s="1"/>
      <c r="I46" s="1"/>
      <c r="J46" s="1"/>
      <c r="K46" s="69"/>
      <c r="L46" s="1"/>
      <c r="M46" s="1"/>
      <c r="N46" s="1"/>
      <c r="O46" s="1"/>
      <c r="P46" s="1"/>
      <c r="Q46" s="1"/>
      <c r="R46" s="1"/>
      <c r="S46" s="44"/>
    </row>
    <row r="47" hidden="1">
      <c r="F47" s="67"/>
      <c r="G47" s="1"/>
      <c r="H47" s="1"/>
      <c r="I47" s="1"/>
      <c r="J47" s="1"/>
      <c r="K47" s="69"/>
      <c r="L47" s="1"/>
      <c r="M47" s="1"/>
      <c r="N47" s="1"/>
      <c r="O47" s="1"/>
      <c r="P47" s="1"/>
      <c r="Q47" s="1"/>
      <c r="R47" s="1"/>
      <c r="S47" s="44"/>
    </row>
    <row r="48" hidden="1">
      <c r="F48" s="67"/>
      <c r="G48" s="1"/>
      <c r="H48" s="1"/>
      <c r="I48" s="1"/>
      <c r="J48" s="1"/>
      <c r="K48" s="69"/>
      <c r="L48" s="1"/>
      <c r="M48" s="1"/>
      <c r="N48" s="1"/>
      <c r="O48" s="1"/>
      <c r="P48" s="1"/>
      <c r="Q48" s="1"/>
      <c r="R48" s="1"/>
      <c r="S48" s="44"/>
    </row>
    <row r="49" hidden="1">
      <c r="F49" s="67"/>
      <c r="G49" s="1"/>
      <c r="H49" s="1"/>
      <c r="I49" s="1"/>
      <c r="J49" s="1"/>
      <c r="K49" s="69"/>
      <c r="L49" s="1"/>
      <c r="M49" s="1"/>
      <c r="N49" s="1"/>
      <c r="O49" s="1"/>
      <c r="P49" s="1"/>
      <c r="Q49" s="1"/>
      <c r="R49" s="1"/>
      <c r="S49" s="44"/>
    </row>
    <row r="50" hidden="1">
      <c r="F50" s="67"/>
      <c r="G50" s="1"/>
      <c r="H50" s="1"/>
      <c r="I50" s="1"/>
      <c r="J50" s="1"/>
      <c r="K50" s="69"/>
      <c r="L50" s="1"/>
      <c r="M50" s="1"/>
      <c r="N50" s="1"/>
      <c r="O50" s="1"/>
      <c r="P50" s="1"/>
      <c r="Q50" s="1"/>
      <c r="R50" s="1"/>
      <c r="S50" s="44"/>
    </row>
    <row r="51" hidden="1">
      <c r="F51" s="67"/>
      <c r="G51" s="1"/>
      <c r="H51" s="1"/>
      <c r="I51" s="1"/>
      <c r="J51" s="1"/>
      <c r="K51" s="69"/>
      <c r="L51" s="1"/>
      <c r="M51" s="1"/>
      <c r="N51" s="1"/>
      <c r="O51" s="1"/>
      <c r="P51" s="1"/>
      <c r="Q51" s="1"/>
      <c r="R51" s="1"/>
      <c r="S51" s="44"/>
    </row>
    <row r="52" hidden="1">
      <c r="F52" s="67"/>
      <c r="G52" s="1"/>
      <c r="H52" s="1"/>
      <c r="I52" s="1"/>
      <c r="J52" s="1"/>
      <c r="K52" s="69"/>
      <c r="L52" s="1"/>
      <c r="M52" s="1"/>
      <c r="N52" s="1"/>
      <c r="O52" s="1"/>
      <c r="P52" s="1"/>
      <c r="Q52" s="1"/>
      <c r="R52" s="1"/>
      <c r="S52" s="44"/>
    </row>
    <row r="53" hidden="1">
      <c r="F53" s="67"/>
      <c r="G53" s="1"/>
      <c r="H53" s="1"/>
      <c r="I53" s="1"/>
      <c r="J53" s="1"/>
      <c r="K53" s="69"/>
      <c r="L53" s="1"/>
      <c r="M53" s="1"/>
      <c r="N53" s="1"/>
      <c r="O53" s="1"/>
      <c r="P53" s="1"/>
      <c r="Q53" s="1"/>
      <c r="R53" s="1"/>
      <c r="S53" s="44"/>
    </row>
    <row r="54" hidden="1">
      <c r="F54" s="67"/>
      <c r="G54" s="1"/>
      <c r="H54" s="1"/>
      <c r="I54" s="1"/>
      <c r="J54" s="1"/>
      <c r="K54" s="69"/>
      <c r="L54" s="1"/>
      <c r="M54" s="1"/>
      <c r="N54" s="1"/>
      <c r="O54" s="1"/>
      <c r="P54" s="1"/>
      <c r="Q54" s="1"/>
      <c r="R54" s="1"/>
      <c r="S54" s="44"/>
    </row>
    <row r="55" hidden="1">
      <c r="F55" s="67"/>
      <c r="G55" s="1"/>
      <c r="H55" s="1"/>
      <c r="I55" s="1"/>
      <c r="J55" s="1"/>
      <c r="K55" s="69"/>
      <c r="L55" s="1"/>
      <c r="M55" s="1"/>
      <c r="N55" s="1"/>
      <c r="O55" s="1"/>
      <c r="P55" s="1"/>
      <c r="Q55" s="1"/>
      <c r="R55" s="1"/>
      <c r="S55" s="44"/>
    </row>
    <row r="56" hidden="1">
      <c r="F56" s="67"/>
      <c r="G56" s="1"/>
      <c r="H56" s="1"/>
      <c r="I56" s="1"/>
      <c r="J56" s="1"/>
      <c r="K56" s="69"/>
      <c r="L56" s="1"/>
      <c r="M56" s="1"/>
      <c r="N56" s="1"/>
      <c r="O56" s="1"/>
      <c r="P56" s="1"/>
      <c r="Q56" s="1"/>
      <c r="R56" s="1"/>
      <c r="S56" s="44"/>
    </row>
    <row r="57" hidden="1">
      <c r="F57" s="67"/>
      <c r="G57" s="1"/>
      <c r="H57" s="1"/>
      <c r="I57" s="1"/>
      <c r="J57" s="1"/>
      <c r="K57" s="69"/>
      <c r="L57" s="1"/>
      <c r="M57" s="1"/>
      <c r="N57" s="1"/>
      <c r="O57" s="1"/>
      <c r="P57" s="1"/>
      <c r="Q57" s="1"/>
      <c r="R57" s="1"/>
      <c r="S57" s="44"/>
    </row>
    <row r="58" hidden="1">
      <c r="F58" s="67"/>
      <c r="G58" s="1"/>
      <c r="H58" s="1"/>
      <c r="I58" s="1"/>
      <c r="J58" s="1"/>
      <c r="K58" s="69"/>
      <c r="L58" s="1"/>
      <c r="M58" s="1"/>
      <c r="N58" s="1"/>
      <c r="O58" s="1"/>
      <c r="P58" s="1"/>
      <c r="Q58" s="1"/>
      <c r="R58" s="1"/>
      <c r="S58" s="44"/>
    </row>
    <row r="59" hidden="1">
      <c r="F59" s="67"/>
      <c r="G59" s="1"/>
      <c r="H59" s="1"/>
      <c r="I59" s="1"/>
      <c r="J59" s="1"/>
      <c r="K59" s="69"/>
      <c r="L59" s="1"/>
      <c r="M59" s="1"/>
      <c r="N59" s="1"/>
      <c r="O59" s="1"/>
      <c r="P59" s="1"/>
      <c r="Q59" s="1"/>
      <c r="R59" s="1"/>
      <c r="S59" s="44"/>
    </row>
    <row r="60" hidden="1">
      <c r="F60" s="67"/>
      <c r="G60" s="1"/>
      <c r="H60" s="1"/>
      <c r="I60" s="1"/>
      <c r="J60" s="1"/>
      <c r="K60" s="69"/>
      <c r="L60" s="1"/>
      <c r="M60" s="1"/>
      <c r="N60" s="1"/>
      <c r="O60" s="1"/>
      <c r="P60" s="1"/>
      <c r="Q60" s="1"/>
      <c r="R60" s="1"/>
      <c r="S60" s="44"/>
    </row>
    <row r="61" hidden="1">
      <c r="F61" s="67"/>
      <c r="G61" s="1"/>
      <c r="H61" s="1"/>
      <c r="I61" s="1"/>
      <c r="J61" s="1"/>
      <c r="K61" s="69"/>
      <c r="L61" s="1"/>
      <c r="M61" s="1"/>
      <c r="N61" s="1"/>
      <c r="O61" s="1"/>
      <c r="P61" s="1"/>
      <c r="Q61" s="1"/>
      <c r="R61" s="1"/>
      <c r="S61" s="44"/>
    </row>
    <row r="62" hidden="1">
      <c r="F62" s="67"/>
      <c r="G62" s="1"/>
      <c r="H62" s="1"/>
      <c r="I62" s="1"/>
      <c r="J62" s="1"/>
      <c r="K62" s="69"/>
      <c r="L62" s="1"/>
      <c r="M62" s="1"/>
      <c r="N62" s="1"/>
      <c r="O62" s="1"/>
      <c r="P62" s="1"/>
      <c r="Q62" s="1"/>
      <c r="R62" s="1"/>
      <c r="S62" s="44"/>
    </row>
    <row r="63" hidden="1">
      <c r="F63" s="67"/>
      <c r="G63" s="1"/>
      <c r="H63" s="1"/>
      <c r="I63" s="1"/>
      <c r="J63" s="1"/>
      <c r="K63" s="69"/>
      <c r="L63" s="1"/>
      <c r="M63" s="1"/>
      <c r="N63" s="1"/>
      <c r="O63" s="1"/>
      <c r="P63" s="1"/>
      <c r="Q63" s="1"/>
      <c r="R63" s="1"/>
      <c r="S63" s="44"/>
    </row>
    <row r="64" hidden="1">
      <c r="F64" s="67"/>
      <c r="G64" s="1"/>
      <c r="H64" s="1"/>
      <c r="I64" s="1"/>
      <c r="J64" s="1"/>
      <c r="K64" s="69"/>
      <c r="L64" s="1"/>
      <c r="M64" s="1"/>
      <c r="N64" s="1"/>
      <c r="O64" s="1"/>
      <c r="P64" s="1"/>
      <c r="Q64" s="1"/>
      <c r="R64" s="1"/>
      <c r="S64" s="44"/>
    </row>
    <row r="65" hidden="1">
      <c r="F65" s="67"/>
      <c r="G65" s="1"/>
      <c r="H65" s="1"/>
      <c r="I65" s="1"/>
      <c r="J65" s="1"/>
      <c r="K65" s="69"/>
      <c r="L65" s="1"/>
      <c r="M65" s="1"/>
      <c r="N65" s="1"/>
      <c r="O65" s="1"/>
      <c r="P65" s="1"/>
      <c r="Q65" s="1"/>
      <c r="R65" s="1"/>
      <c r="S65" s="44"/>
    </row>
    <row r="66" hidden="1">
      <c r="F66" s="67"/>
      <c r="G66" s="1"/>
      <c r="H66" s="1"/>
      <c r="I66" s="1"/>
      <c r="J66" s="1"/>
      <c r="K66" s="69"/>
      <c r="L66" s="1"/>
      <c r="M66" s="1"/>
      <c r="N66" s="1"/>
      <c r="O66" s="1"/>
      <c r="P66" s="1"/>
      <c r="Q66" s="1"/>
      <c r="R66" s="1"/>
      <c r="S66" s="44"/>
    </row>
    <row r="67" hidden="1">
      <c r="F67" s="67"/>
      <c r="G67" s="1"/>
      <c r="H67" s="1"/>
      <c r="I67" s="1"/>
      <c r="J67" s="1"/>
      <c r="K67" s="69"/>
      <c r="L67" s="1"/>
      <c r="M67" s="1"/>
      <c r="N67" s="1"/>
      <c r="O67" s="1"/>
      <c r="P67" s="1"/>
      <c r="Q67" s="1"/>
      <c r="R67" s="1"/>
      <c r="S67" s="44"/>
    </row>
    <row r="68" hidden="1">
      <c r="F68" s="67"/>
      <c r="G68" s="1"/>
      <c r="H68" s="1"/>
      <c r="I68" s="1"/>
      <c r="J68" s="1"/>
      <c r="K68" s="69"/>
      <c r="L68" s="1"/>
      <c r="M68" s="1"/>
      <c r="N68" s="1"/>
      <c r="O68" s="1"/>
      <c r="P68" s="1"/>
      <c r="Q68" s="1"/>
      <c r="R68" s="1"/>
      <c r="S68" s="44"/>
    </row>
    <row r="69" hidden="1">
      <c r="F69" s="67"/>
      <c r="G69" s="1"/>
      <c r="H69" s="1"/>
      <c r="I69" s="1"/>
      <c r="J69" s="1"/>
      <c r="K69" s="69"/>
      <c r="L69" s="1"/>
      <c r="M69" s="1"/>
      <c r="N69" s="1"/>
      <c r="O69" s="1"/>
      <c r="P69" s="1"/>
      <c r="Q69" s="1"/>
      <c r="R69" s="1"/>
      <c r="S69" s="44"/>
    </row>
    <row r="70" hidden="1">
      <c r="F70" s="67"/>
      <c r="G70" s="1"/>
      <c r="H70" s="1"/>
      <c r="I70" s="1"/>
      <c r="J70" s="1"/>
      <c r="K70" s="69"/>
      <c r="L70" s="1"/>
      <c r="M70" s="1"/>
      <c r="N70" s="1"/>
      <c r="O70" s="1"/>
      <c r="P70" s="1"/>
      <c r="Q70" s="1"/>
      <c r="R70" s="1"/>
      <c r="S70" s="44"/>
    </row>
    <row r="71" hidden="1">
      <c r="F71" s="67"/>
      <c r="G71" s="1"/>
      <c r="H71" s="1"/>
      <c r="I71" s="1"/>
      <c r="J71" s="1"/>
      <c r="K71" s="69"/>
      <c r="L71" s="1"/>
      <c r="M71" s="1"/>
      <c r="N71" s="1"/>
      <c r="O71" s="1"/>
      <c r="P71" s="1"/>
      <c r="Q71" s="1"/>
      <c r="R71" s="1"/>
      <c r="S71" s="44"/>
    </row>
    <row r="72" hidden="1">
      <c r="F72" s="67"/>
      <c r="G72" s="1"/>
      <c r="H72" s="1"/>
      <c r="I72" s="1"/>
      <c r="J72" s="1"/>
      <c r="K72" s="69"/>
      <c r="L72" s="1"/>
      <c r="M72" s="1"/>
      <c r="N72" s="1"/>
      <c r="O72" s="1"/>
      <c r="P72" s="1"/>
      <c r="Q72" s="1"/>
      <c r="R72" s="1"/>
      <c r="S72" s="44"/>
    </row>
    <row r="73" hidden="1">
      <c r="F73" s="67"/>
      <c r="G73" s="1"/>
      <c r="H73" s="1"/>
      <c r="I73" s="1"/>
      <c r="J73" s="1"/>
      <c r="K73" s="69"/>
      <c r="L73" s="1"/>
      <c r="M73" s="1"/>
      <c r="N73" s="1"/>
      <c r="O73" s="1"/>
      <c r="P73" s="1"/>
      <c r="Q73" s="1"/>
      <c r="R73" s="1"/>
      <c r="S73" s="44"/>
    </row>
    <row r="74" hidden="1">
      <c r="F74" s="67"/>
      <c r="G74" s="1"/>
      <c r="H74" s="1"/>
      <c r="I74" s="1"/>
      <c r="J74" s="1"/>
      <c r="K74" s="69"/>
      <c r="L74" s="1"/>
      <c r="M74" s="1"/>
      <c r="N74" s="1"/>
      <c r="O74" s="1"/>
      <c r="P74" s="1"/>
      <c r="Q74" s="1"/>
      <c r="R74" s="1"/>
      <c r="S74" s="44"/>
    </row>
    <row r="75" hidden="1">
      <c r="F75" s="67"/>
      <c r="G75" s="1"/>
      <c r="H75" s="1"/>
      <c r="I75" s="1"/>
      <c r="J75" s="1"/>
      <c r="K75" s="69"/>
      <c r="L75" s="1"/>
      <c r="M75" s="1"/>
      <c r="N75" s="1"/>
      <c r="O75" s="1"/>
      <c r="P75" s="1"/>
      <c r="Q75" s="1"/>
      <c r="R75" s="1"/>
      <c r="S75" s="44"/>
    </row>
    <row r="76" hidden="1">
      <c r="F76" s="67"/>
      <c r="G76" s="1"/>
      <c r="H76" s="1"/>
      <c r="I76" s="1"/>
      <c r="J76" s="1"/>
      <c r="K76" s="69"/>
      <c r="L76" s="1"/>
      <c r="M76" s="1"/>
      <c r="N76" s="1"/>
      <c r="O76" s="1"/>
      <c r="P76" s="1"/>
      <c r="Q76" s="1"/>
      <c r="R76" s="1"/>
      <c r="S76" s="44"/>
    </row>
    <row r="77" hidden="1">
      <c r="F77" s="67"/>
      <c r="G77" s="1"/>
      <c r="H77" s="1"/>
      <c r="I77" s="1"/>
      <c r="J77" s="1"/>
      <c r="K77" s="69"/>
      <c r="L77" s="1"/>
      <c r="M77" s="1"/>
      <c r="N77" s="1"/>
      <c r="O77" s="1"/>
      <c r="P77" s="1"/>
      <c r="Q77" s="1"/>
      <c r="R77" s="1"/>
      <c r="S77" s="44"/>
    </row>
    <row r="78" hidden="1">
      <c r="F78" s="67"/>
      <c r="G78" s="1"/>
      <c r="H78" s="1"/>
      <c r="I78" s="1"/>
      <c r="J78" s="1"/>
      <c r="K78" s="69"/>
      <c r="L78" s="1"/>
      <c r="M78" s="1"/>
      <c r="N78" s="1"/>
      <c r="O78" s="1"/>
      <c r="P78" s="1"/>
      <c r="Q78" s="1"/>
      <c r="R78" s="1"/>
      <c r="S78" s="44"/>
    </row>
    <row r="79" hidden="1">
      <c r="F79" s="67"/>
      <c r="G79" s="1"/>
      <c r="H79" s="1"/>
      <c r="I79" s="1"/>
      <c r="J79" s="1"/>
      <c r="K79" s="69"/>
      <c r="L79" s="1"/>
      <c r="M79" s="1"/>
      <c r="N79" s="1"/>
      <c r="O79" s="1"/>
      <c r="P79" s="1"/>
      <c r="Q79" s="1"/>
      <c r="R79" s="1"/>
      <c r="S79" s="44"/>
    </row>
    <row r="80" hidden="1">
      <c r="F80" s="67"/>
      <c r="G80" s="1"/>
      <c r="H80" s="1"/>
      <c r="I80" s="1"/>
      <c r="J80" s="1"/>
      <c r="K80" s="69"/>
      <c r="L80" s="1"/>
      <c r="M80" s="1"/>
      <c r="N80" s="1"/>
      <c r="O80" s="1"/>
      <c r="P80" s="1"/>
      <c r="Q80" s="1"/>
      <c r="R80" s="1"/>
      <c r="S80" s="44"/>
    </row>
    <row r="81" hidden="1">
      <c r="F81" s="67"/>
      <c r="G81" s="1"/>
      <c r="H81" s="1"/>
      <c r="I81" s="1"/>
      <c r="J81" s="1"/>
      <c r="K81" s="69"/>
      <c r="L81" s="1"/>
      <c r="M81" s="1"/>
      <c r="N81" s="1"/>
      <c r="O81" s="1"/>
      <c r="P81" s="1"/>
      <c r="Q81" s="1"/>
      <c r="R81" s="1"/>
      <c r="S81" s="44"/>
    </row>
    <row r="82" hidden="1">
      <c r="F82" s="67"/>
      <c r="G82" s="1"/>
      <c r="H82" s="1"/>
      <c r="I82" s="1"/>
      <c r="J82" s="1"/>
      <c r="K82" s="69"/>
      <c r="L82" s="1"/>
      <c r="M82" s="1"/>
      <c r="N82" s="1"/>
      <c r="O82" s="1"/>
      <c r="P82" s="1"/>
      <c r="Q82" s="1"/>
      <c r="R82" s="1"/>
      <c r="S82" s="44"/>
    </row>
    <row r="83" hidden="1">
      <c r="F83" s="67"/>
      <c r="G83" s="1"/>
      <c r="H83" s="1"/>
      <c r="I83" s="1"/>
      <c r="J83" s="1"/>
      <c r="K83" s="69"/>
      <c r="L83" s="1"/>
      <c r="M83" s="1"/>
      <c r="N83" s="1"/>
      <c r="O83" s="1"/>
      <c r="P83" s="1"/>
      <c r="Q83" s="1"/>
      <c r="R83" s="1"/>
      <c r="S83" s="44"/>
    </row>
    <row r="84" hidden="1">
      <c r="F84" s="67"/>
      <c r="G84" s="1"/>
      <c r="H84" s="1"/>
      <c r="I84" s="1"/>
      <c r="J84" s="1"/>
      <c r="K84" s="69"/>
      <c r="L84" s="1"/>
      <c r="M84" s="1"/>
      <c r="N84" s="1"/>
      <c r="O84" s="1"/>
      <c r="P84" s="1"/>
      <c r="Q84" s="1"/>
      <c r="R84" s="1"/>
      <c r="S84" s="44"/>
    </row>
    <row r="85" hidden="1">
      <c r="F85" s="67"/>
      <c r="G85" s="1"/>
      <c r="H85" s="1"/>
      <c r="I85" s="1"/>
      <c r="J85" s="1"/>
      <c r="K85" s="69"/>
      <c r="L85" s="1"/>
      <c r="M85" s="1"/>
      <c r="N85" s="1"/>
      <c r="O85" s="1"/>
      <c r="P85" s="1"/>
      <c r="Q85" s="1"/>
      <c r="R85" s="1"/>
      <c r="S85" s="44"/>
    </row>
    <row r="86" hidden="1">
      <c r="F86" s="67"/>
      <c r="G86" s="1"/>
      <c r="H86" s="1"/>
      <c r="I86" s="1"/>
      <c r="J86" s="1"/>
      <c r="K86" s="69"/>
      <c r="L86" s="1"/>
      <c r="M86" s="1"/>
      <c r="N86" s="1"/>
      <c r="O86" s="1"/>
      <c r="P86" s="1"/>
      <c r="Q86" s="1"/>
      <c r="R86" s="1"/>
      <c r="S86" s="44"/>
    </row>
    <row r="87" hidden="1">
      <c r="F87" s="67"/>
      <c r="G87" s="1"/>
      <c r="H87" s="1"/>
      <c r="I87" s="1"/>
      <c r="J87" s="1"/>
      <c r="K87" s="69"/>
      <c r="L87" s="1"/>
      <c r="M87" s="1"/>
      <c r="N87" s="1"/>
      <c r="O87" s="1"/>
      <c r="P87" s="1"/>
      <c r="Q87" s="1"/>
      <c r="R87" s="1"/>
      <c r="S87" s="44"/>
    </row>
    <row r="88" hidden="1">
      <c r="F88" s="67"/>
      <c r="G88" s="1"/>
      <c r="H88" s="1"/>
      <c r="I88" s="1"/>
      <c r="J88" s="1"/>
      <c r="K88" s="69"/>
      <c r="L88" s="1"/>
      <c r="M88" s="1"/>
      <c r="N88" s="1"/>
      <c r="O88" s="1"/>
      <c r="P88" s="1"/>
      <c r="Q88" s="1"/>
      <c r="R88" s="1"/>
      <c r="S88" s="44"/>
    </row>
    <row r="89" hidden="1">
      <c r="F89" s="67"/>
      <c r="G89" s="1"/>
      <c r="H89" s="1"/>
      <c r="I89" s="1"/>
      <c r="J89" s="1"/>
      <c r="K89" s="69"/>
      <c r="L89" s="1"/>
      <c r="M89" s="1"/>
      <c r="N89" s="1"/>
      <c r="O89" s="1"/>
      <c r="P89" s="1"/>
      <c r="Q89" s="1"/>
      <c r="R89" s="1"/>
      <c r="S89" s="44"/>
    </row>
    <row r="90" hidden="1">
      <c r="F90" s="67"/>
      <c r="G90" s="1"/>
      <c r="H90" s="1"/>
      <c r="I90" s="1"/>
      <c r="J90" s="1"/>
      <c r="K90" s="69"/>
      <c r="L90" s="1"/>
      <c r="M90" s="1"/>
      <c r="N90" s="1"/>
      <c r="O90" s="1"/>
      <c r="P90" s="1"/>
      <c r="Q90" s="1"/>
      <c r="R90" s="1"/>
      <c r="S90" s="44"/>
    </row>
    <row r="91" hidden="1">
      <c r="F91" s="67"/>
      <c r="G91" s="1"/>
      <c r="H91" s="1"/>
      <c r="I91" s="1"/>
      <c r="J91" s="1"/>
      <c r="K91" s="69"/>
      <c r="L91" s="1"/>
      <c r="M91" s="1"/>
      <c r="N91" s="1"/>
      <c r="O91" s="1"/>
      <c r="P91" s="1"/>
      <c r="Q91" s="1"/>
      <c r="R91" s="1"/>
      <c r="S91" s="44"/>
    </row>
    <row r="92" hidden="1">
      <c r="F92" s="67"/>
      <c r="G92" s="1"/>
      <c r="H92" s="1"/>
      <c r="I92" s="1"/>
      <c r="J92" s="1"/>
      <c r="K92" s="69"/>
      <c r="L92" s="1"/>
      <c r="M92" s="1"/>
      <c r="N92" s="1"/>
      <c r="O92" s="1"/>
      <c r="P92" s="1"/>
      <c r="Q92" s="1"/>
      <c r="R92" s="1"/>
      <c r="S92" s="44"/>
    </row>
    <row r="93" hidden="1">
      <c r="F93" s="67"/>
      <c r="G93" s="1"/>
      <c r="H93" s="1"/>
      <c r="I93" s="1"/>
      <c r="J93" s="1"/>
      <c r="K93" s="69"/>
      <c r="L93" s="1"/>
      <c r="M93" s="1"/>
      <c r="N93" s="1"/>
      <c r="O93" s="1"/>
      <c r="P93" s="1"/>
      <c r="Q93" s="1"/>
      <c r="R93" s="1"/>
      <c r="S93" s="44"/>
    </row>
    <row r="94" hidden="1">
      <c r="F94" s="67"/>
      <c r="G94" s="1"/>
      <c r="H94" s="1"/>
      <c r="I94" s="1"/>
      <c r="J94" s="1"/>
      <c r="K94" s="69"/>
      <c r="L94" s="1"/>
      <c r="M94" s="1"/>
      <c r="N94" s="1"/>
      <c r="O94" s="1"/>
      <c r="P94" s="1"/>
      <c r="Q94" s="1"/>
      <c r="R94" s="1"/>
      <c r="S94" s="44"/>
    </row>
    <row r="95" hidden="1">
      <c r="F95" s="67"/>
      <c r="G95" s="1"/>
      <c r="H95" s="1"/>
      <c r="I95" s="1"/>
      <c r="J95" s="1"/>
      <c r="K95" s="69"/>
      <c r="L95" s="1"/>
      <c r="M95" s="1"/>
      <c r="N95" s="1"/>
      <c r="O95" s="1"/>
      <c r="P95" s="1"/>
      <c r="Q95" s="1"/>
      <c r="R95" s="1"/>
      <c r="S95" s="44"/>
    </row>
    <row r="96" hidden="1">
      <c r="F96" s="67"/>
      <c r="G96" s="1"/>
      <c r="H96" s="1"/>
      <c r="I96" s="1"/>
      <c r="J96" s="1"/>
      <c r="K96" s="69"/>
      <c r="L96" s="1"/>
      <c r="M96" s="1"/>
      <c r="N96" s="1"/>
      <c r="O96" s="1"/>
      <c r="P96" s="1"/>
      <c r="Q96" s="1"/>
      <c r="R96" s="1"/>
      <c r="S96" s="44"/>
    </row>
    <row r="97" hidden="1">
      <c r="F97" s="67"/>
      <c r="G97" s="1"/>
      <c r="H97" s="1"/>
      <c r="I97" s="1"/>
      <c r="J97" s="1"/>
      <c r="K97" s="69"/>
      <c r="L97" s="1"/>
      <c r="M97" s="1"/>
      <c r="N97" s="1"/>
      <c r="O97" s="1"/>
      <c r="P97" s="1"/>
      <c r="Q97" s="1"/>
      <c r="R97" s="1"/>
      <c r="S97" s="44"/>
    </row>
    <row r="98" hidden="1">
      <c r="F98" s="67"/>
      <c r="G98" s="1"/>
      <c r="H98" s="1"/>
      <c r="I98" s="1"/>
      <c r="J98" s="1"/>
      <c r="K98" s="69"/>
      <c r="L98" s="1"/>
      <c r="M98" s="1"/>
      <c r="N98" s="1"/>
      <c r="O98" s="1"/>
      <c r="P98" s="1"/>
      <c r="Q98" s="1"/>
      <c r="R98" s="1"/>
      <c r="S98" s="44"/>
    </row>
    <row r="99" hidden="1">
      <c r="F99" s="67"/>
      <c r="G99" s="1"/>
      <c r="H99" s="1"/>
      <c r="I99" s="1"/>
      <c r="J99" s="1"/>
      <c r="K99" s="69"/>
      <c r="L99" s="1"/>
      <c r="M99" s="1"/>
      <c r="N99" s="1"/>
      <c r="O99" s="1"/>
      <c r="P99" s="1"/>
      <c r="Q99" s="1"/>
      <c r="R99" s="1"/>
      <c r="S99" s="44"/>
    </row>
    <row r="100" hidden="1">
      <c r="F100" s="67"/>
      <c r="G100" s="1"/>
      <c r="H100" s="1"/>
      <c r="I100" s="1"/>
      <c r="J100" s="1"/>
      <c r="K100" s="69"/>
      <c r="L100" s="1"/>
      <c r="M100" s="1"/>
      <c r="N100" s="1"/>
      <c r="O100" s="1"/>
      <c r="P100" s="1"/>
      <c r="Q100" s="1"/>
      <c r="R100" s="1"/>
      <c r="S100" s="44"/>
    </row>
    <row r="101" hidden="1">
      <c r="F101" s="67"/>
      <c r="G101" s="1"/>
      <c r="H101" s="1"/>
      <c r="I101" s="1"/>
      <c r="J101" s="1"/>
      <c r="K101" s="69"/>
      <c r="L101" s="1"/>
      <c r="M101" s="1"/>
      <c r="N101" s="1"/>
      <c r="O101" s="1"/>
      <c r="P101" s="1"/>
      <c r="Q101" s="1"/>
      <c r="R101" s="1"/>
      <c r="S101" s="44"/>
    </row>
    <row r="102" hidden="1">
      <c r="F102" s="67"/>
      <c r="G102" s="1"/>
      <c r="H102" s="1"/>
      <c r="I102" s="1"/>
      <c r="J102" s="1"/>
      <c r="K102" s="69"/>
      <c r="L102" s="1"/>
      <c r="M102" s="1"/>
      <c r="N102" s="1"/>
      <c r="O102" s="1"/>
      <c r="P102" s="1"/>
      <c r="Q102" s="1"/>
      <c r="R102" s="1"/>
      <c r="S102" s="44"/>
    </row>
    <row r="103" hidden="1">
      <c r="F103" s="67"/>
      <c r="G103" s="1"/>
      <c r="H103" s="1"/>
      <c r="I103" s="1"/>
      <c r="J103" s="1"/>
      <c r="K103" s="69"/>
      <c r="L103" s="1"/>
      <c r="M103" s="1"/>
      <c r="N103" s="1"/>
      <c r="O103" s="1"/>
      <c r="P103" s="1"/>
      <c r="Q103" s="1"/>
      <c r="R103" s="1"/>
      <c r="S103" s="44"/>
    </row>
    <row r="104" hidden="1">
      <c r="F104" s="67"/>
      <c r="G104" s="1"/>
      <c r="H104" s="1"/>
      <c r="I104" s="1"/>
      <c r="J104" s="1"/>
      <c r="K104" s="69"/>
      <c r="L104" s="1"/>
      <c r="M104" s="1"/>
      <c r="N104" s="1"/>
      <c r="O104" s="1"/>
      <c r="P104" s="1"/>
      <c r="Q104" s="1"/>
      <c r="R104" s="1"/>
      <c r="S104" s="44"/>
    </row>
    <row r="105" hidden="1">
      <c r="F105" s="67"/>
      <c r="G105" s="1"/>
      <c r="H105" s="1"/>
      <c r="I105" s="1"/>
      <c r="J105" s="1"/>
      <c r="K105" s="69"/>
      <c r="L105" s="1"/>
      <c r="M105" s="1"/>
      <c r="N105" s="1"/>
      <c r="O105" s="1"/>
      <c r="P105" s="1"/>
      <c r="Q105" s="1"/>
      <c r="R105" s="1"/>
      <c r="S105" s="44"/>
    </row>
    <row r="106" hidden="1">
      <c r="F106" s="67"/>
      <c r="G106" s="1"/>
      <c r="H106" s="1"/>
      <c r="I106" s="1"/>
      <c r="J106" s="1"/>
      <c r="K106" s="69"/>
      <c r="L106" s="1"/>
      <c r="M106" s="1"/>
      <c r="N106" s="1"/>
      <c r="O106" s="1"/>
      <c r="P106" s="1"/>
      <c r="Q106" s="1"/>
      <c r="R106" s="1"/>
      <c r="S106" s="44"/>
    </row>
    <row r="107" hidden="1">
      <c r="F107" s="67"/>
      <c r="G107" s="1"/>
      <c r="H107" s="1"/>
      <c r="I107" s="1"/>
      <c r="J107" s="1"/>
      <c r="K107" s="69"/>
      <c r="L107" s="1"/>
      <c r="M107" s="1"/>
      <c r="N107" s="1"/>
      <c r="O107" s="1"/>
      <c r="P107" s="1"/>
      <c r="Q107" s="1"/>
      <c r="R107" s="1"/>
      <c r="S107" s="44"/>
    </row>
    <row r="108" hidden="1">
      <c r="F108" s="67"/>
      <c r="G108" s="1"/>
      <c r="H108" s="1"/>
      <c r="I108" s="1"/>
      <c r="J108" s="1"/>
      <c r="K108" s="69"/>
      <c r="L108" s="1"/>
      <c r="M108" s="1"/>
      <c r="N108" s="1"/>
      <c r="O108" s="1"/>
      <c r="P108" s="1"/>
      <c r="Q108" s="1"/>
      <c r="R108" s="1"/>
      <c r="S108" s="44"/>
    </row>
    <row r="109" hidden="1">
      <c r="F109" s="67"/>
      <c r="G109" s="1"/>
      <c r="H109" s="1"/>
      <c r="I109" s="1"/>
      <c r="J109" s="1"/>
      <c r="K109" s="69"/>
      <c r="L109" s="1"/>
      <c r="M109" s="1"/>
      <c r="N109" s="1"/>
      <c r="O109" s="1"/>
      <c r="P109" s="1"/>
      <c r="Q109" s="1"/>
      <c r="R109" s="1"/>
      <c r="S109" s="44"/>
    </row>
    <row r="110" hidden="1">
      <c r="F110" s="67"/>
      <c r="G110" s="1"/>
      <c r="H110" s="1"/>
      <c r="I110" s="1"/>
      <c r="J110" s="1"/>
      <c r="K110" s="69"/>
      <c r="L110" s="1"/>
      <c r="M110" s="1"/>
      <c r="N110" s="1"/>
      <c r="O110" s="1"/>
      <c r="P110" s="1"/>
      <c r="Q110" s="1"/>
      <c r="R110" s="1"/>
      <c r="S110" s="44"/>
    </row>
    <row r="111" hidden="1">
      <c r="F111" s="67"/>
      <c r="G111" s="1"/>
      <c r="H111" s="1"/>
      <c r="I111" s="1"/>
      <c r="J111" s="1"/>
      <c r="K111" s="69"/>
      <c r="L111" s="1"/>
      <c r="M111" s="1"/>
      <c r="N111" s="1"/>
      <c r="O111" s="1"/>
      <c r="P111" s="1"/>
      <c r="Q111" s="1"/>
      <c r="R111" s="1"/>
      <c r="S111" s="44"/>
    </row>
    <row r="112" hidden="1">
      <c r="F112" s="67"/>
      <c r="G112" s="1"/>
      <c r="H112" s="1"/>
      <c r="I112" s="1"/>
      <c r="J112" s="1"/>
      <c r="K112" s="69"/>
      <c r="L112" s="1"/>
      <c r="M112" s="1"/>
      <c r="N112" s="1"/>
      <c r="O112" s="1"/>
      <c r="P112" s="1"/>
      <c r="Q112" s="1"/>
      <c r="R112" s="1"/>
      <c r="S112" s="44"/>
    </row>
    <row r="113" hidden="1">
      <c r="F113" s="67"/>
      <c r="G113" s="1"/>
      <c r="H113" s="1"/>
      <c r="I113" s="1"/>
      <c r="J113" s="1"/>
      <c r="K113" s="69"/>
      <c r="L113" s="1"/>
      <c r="M113" s="1"/>
      <c r="N113" s="1"/>
      <c r="O113" s="1"/>
      <c r="P113" s="1"/>
      <c r="Q113" s="1"/>
      <c r="R113" s="1"/>
      <c r="S113" s="44"/>
    </row>
    <row r="114" hidden="1">
      <c r="F114" s="67"/>
      <c r="G114" s="1"/>
      <c r="H114" s="1"/>
      <c r="I114" s="1"/>
      <c r="J114" s="1"/>
      <c r="K114" s="69"/>
      <c r="L114" s="1"/>
      <c r="M114" s="1"/>
      <c r="N114" s="1"/>
      <c r="O114" s="1"/>
      <c r="P114" s="1"/>
      <c r="Q114" s="1"/>
      <c r="R114" s="1"/>
      <c r="S114" s="44"/>
    </row>
    <row r="115" hidden="1">
      <c r="F115" s="67"/>
      <c r="G115" s="1"/>
      <c r="H115" s="1"/>
      <c r="I115" s="1"/>
      <c r="J115" s="1"/>
      <c r="K115" s="69"/>
      <c r="L115" s="1"/>
      <c r="M115" s="1"/>
      <c r="N115" s="1"/>
      <c r="O115" s="1"/>
      <c r="P115" s="1"/>
      <c r="Q115" s="1"/>
      <c r="R115" s="1"/>
      <c r="S115" s="44"/>
    </row>
    <row r="116" hidden="1">
      <c r="F116" s="67"/>
      <c r="G116" s="1"/>
      <c r="H116" s="1"/>
      <c r="I116" s="1"/>
      <c r="J116" s="1"/>
      <c r="K116" s="69"/>
      <c r="L116" s="1"/>
      <c r="M116" s="1"/>
      <c r="N116" s="1"/>
      <c r="O116" s="1"/>
      <c r="P116" s="1"/>
      <c r="Q116" s="1"/>
      <c r="R116" s="1"/>
      <c r="S116" s="44"/>
    </row>
    <row r="117" hidden="1">
      <c r="F117" s="67"/>
      <c r="G117" s="1"/>
      <c r="H117" s="1"/>
      <c r="I117" s="1"/>
      <c r="J117" s="1"/>
      <c r="K117" s="69"/>
      <c r="L117" s="1"/>
      <c r="M117" s="1"/>
      <c r="N117" s="1"/>
      <c r="O117" s="1"/>
      <c r="P117" s="1"/>
      <c r="Q117" s="1"/>
      <c r="R117" s="1"/>
      <c r="S117" s="44"/>
    </row>
    <row r="118" hidden="1">
      <c r="F118" s="67"/>
      <c r="G118" s="1"/>
      <c r="H118" s="1"/>
      <c r="I118" s="1"/>
      <c r="J118" s="1"/>
      <c r="K118" s="69"/>
      <c r="L118" s="1"/>
      <c r="M118" s="1"/>
      <c r="N118" s="1"/>
      <c r="O118" s="1"/>
      <c r="P118" s="1"/>
      <c r="Q118" s="1"/>
      <c r="R118" s="1"/>
      <c r="S118" s="44"/>
    </row>
    <row r="119" hidden="1">
      <c r="F119" s="67"/>
      <c r="G119" s="1"/>
      <c r="H119" s="1"/>
      <c r="I119" s="1"/>
      <c r="J119" s="1"/>
      <c r="K119" s="69"/>
      <c r="L119" s="1"/>
      <c r="M119" s="1"/>
      <c r="N119" s="1"/>
      <c r="O119" s="1"/>
      <c r="P119" s="1"/>
      <c r="Q119" s="1"/>
      <c r="R119" s="1"/>
      <c r="S119" s="44"/>
    </row>
    <row r="120" hidden="1">
      <c r="F120" s="67"/>
      <c r="G120" s="1"/>
      <c r="H120" s="1"/>
      <c r="I120" s="1"/>
      <c r="J120" s="1"/>
      <c r="K120" s="69"/>
      <c r="L120" s="1"/>
      <c r="M120" s="1"/>
      <c r="N120" s="1"/>
      <c r="O120" s="1"/>
      <c r="P120" s="1"/>
      <c r="Q120" s="1"/>
      <c r="R120" s="1"/>
      <c r="S120" s="44"/>
    </row>
    <row r="121" hidden="1">
      <c r="F121" s="67"/>
      <c r="G121" s="1"/>
      <c r="H121" s="1"/>
      <c r="I121" s="1"/>
      <c r="J121" s="1"/>
      <c r="K121" s="69"/>
      <c r="L121" s="1"/>
      <c r="M121" s="1"/>
      <c r="N121" s="1"/>
      <c r="O121" s="1"/>
      <c r="P121" s="1"/>
      <c r="Q121" s="1"/>
      <c r="R121" s="1"/>
      <c r="S121" s="44"/>
    </row>
    <row r="122" hidden="1">
      <c r="F122" s="67"/>
      <c r="G122" s="1"/>
      <c r="H122" s="1"/>
      <c r="I122" s="1"/>
      <c r="J122" s="1"/>
      <c r="K122" s="69"/>
      <c r="L122" s="1"/>
      <c r="M122" s="1"/>
      <c r="N122" s="1"/>
      <c r="O122" s="1"/>
      <c r="P122" s="1"/>
      <c r="Q122" s="1"/>
      <c r="R122" s="1"/>
      <c r="S122" s="44"/>
    </row>
    <row r="123" hidden="1">
      <c r="F123" s="67"/>
      <c r="G123" s="1"/>
      <c r="H123" s="1"/>
      <c r="I123" s="1"/>
      <c r="J123" s="1"/>
      <c r="K123" s="69"/>
      <c r="L123" s="1"/>
      <c r="M123" s="1"/>
      <c r="N123" s="1"/>
      <c r="O123" s="1"/>
      <c r="P123" s="1"/>
      <c r="Q123" s="1"/>
      <c r="R123" s="1"/>
      <c r="S123" s="44"/>
    </row>
    <row r="124" hidden="1">
      <c r="F124" s="67"/>
      <c r="G124" s="1"/>
      <c r="H124" s="1"/>
      <c r="I124" s="1"/>
      <c r="J124" s="1"/>
      <c r="K124" s="69"/>
      <c r="L124" s="1"/>
      <c r="M124" s="1"/>
      <c r="N124" s="1"/>
      <c r="O124" s="1"/>
      <c r="P124" s="1"/>
      <c r="Q124" s="1"/>
      <c r="R124" s="1"/>
      <c r="S124" s="44"/>
    </row>
    <row r="125" hidden="1">
      <c r="F125" s="67"/>
      <c r="G125" s="1"/>
      <c r="H125" s="1"/>
      <c r="I125" s="1"/>
      <c r="J125" s="1"/>
      <c r="K125" s="69"/>
      <c r="L125" s="1"/>
      <c r="M125" s="1"/>
      <c r="N125" s="1"/>
      <c r="O125" s="1"/>
      <c r="P125" s="1"/>
      <c r="Q125" s="1"/>
      <c r="R125" s="1"/>
      <c r="S125" s="44"/>
    </row>
    <row r="126" hidden="1">
      <c r="F126" s="67"/>
      <c r="G126" s="1"/>
      <c r="H126" s="1"/>
      <c r="I126" s="1"/>
      <c r="J126" s="1"/>
      <c r="K126" s="69"/>
      <c r="L126" s="1"/>
      <c r="M126" s="1"/>
      <c r="N126" s="1"/>
      <c r="O126" s="1"/>
      <c r="P126" s="1"/>
      <c r="Q126" s="1"/>
      <c r="R126" s="1"/>
      <c r="S126" s="44"/>
    </row>
    <row r="127" hidden="1">
      <c r="F127" s="67"/>
      <c r="G127" s="1"/>
      <c r="H127" s="1"/>
      <c r="I127" s="1"/>
      <c r="J127" s="1"/>
      <c r="K127" s="69"/>
      <c r="L127" s="1"/>
      <c r="M127" s="1"/>
      <c r="N127" s="1"/>
      <c r="O127" s="1"/>
      <c r="P127" s="1"/>
      <c r="Q127" s="1"/>
      <c r="R127" s="1"/>
      <c r="S127" s="44"/>
    </row>
    <row r="128" hidden="1">
      <c r="F128" s="67"/>
      <c r="G128" s="1"/>
      <c r="H128" s="1"/>
      <c r="I128" s="1"/>
      <c r="J128" s="1"/>
      <c r="K128" s="69"/>
      <c r="L128" s="1"/>
      <c r="M128" s="1"/>
      <c r="N128" s="1"/>
      <c r="O128" s="1"/>
      <c r="P128" s="1"/>
      <c r="Q128" s="1"/>
      <c r="R128" s="1"/>
      <c r="S128" s="44"/>
    </row>
    <row r="129" hidden="1">
      <c r="F129" s="67"/>
      <c r="G129" s="1"/>
      <c r="H129" s="1"/>
      <c r="I129" s="1"/>
      <c r="J129" s="1"/>
      <c r="K129" s="69"/>
      <c r="L129" s="1"/>
      <c r="M129" s="1"/>
      <c r="N129" s="1"/>
      <c r="O129" s="1"/>
      <c r="P129" s="1"/>
      <c r="Q129" s="1"/>
      <c r="R129" s="1"/>
      <c r="S129" s="44"/>
    </row>
    <row r="130" hidden="1">
      <c r="F130" s="67"/>
      <c r="G130" s="1"/>
      <c r="H130" s="1"/>
      <c r="I130" s="1"/>
      <c r="J130" s="1"/>
      <c r="K130" s="69"/>
      <c r="L130" s="1"/>
      <c r="M130" s="1"/>
      <c r="N130" s="1"/>
      <c r="O130" s="1"/>
      <c r="P130" s="1"/>
      <c r="Q130" s="1"/>
      <c r="R130" s="1"/>
      <c r="S130" s="44"/>
    </row>
    <row r="131" hidden="1">
      <c r="F131" s="67"/>
      <c r="G131" s="1"/>
      <c r="H131" s="1"/>
      <c r="I131" s="1"/>
      <c r="J131" s="1"/>
      <c r="K131" s="69"/>
      <c r="L131" s="1"/>
      <c r="M131" s="1"/>
      <c r="N131" s="1"/>
      <c r="O131" s="1"/>
      <c r="P131" s="1"/>
      <c r="Q131" s="1"/>
      <c r="R131" s="1"/>
      <c r="S131" s="44"/>
    </row>
    <row r="132" hidden="1">
      <c r="F132" s="67"/>
      <c r="G132" s="1"/>
      <c r="H132" s="1"/>
      <c r="I132" s="1"/>
      <c r="J132" s="1"/>
      <c r="K132" s="69"/>
      <c r="L132" s="1"/>
      <c r="M132" s="1"/>
      <c r="N132" s="1"/>
      <c r="O132" s="1"/>
      <c r="P132" s="1"/>
      <c r="Q132" s="1"/>
      <c r="R132" s="1"/>
      <c r="S132" s="44"/>
    </row>
    <row r="133" hidden="1">
      <c r="F133" s="67"/>
      <c r="G133" s="1"/>
      <c r="H133" s="1"/>
      <c r="I133" s="1"/>
      <c r="J133" s="1"/>
      <c r="K133" s="69"/>
      <c r="L133" s="1"/>
      <c r="M133" s="1"/>
      <c r="N133" s="1"/>
      <c r="O133" s="1"/>
      <c r="P133" s="1"/>
      <c r="Q133" s="1"/>
      <c r="R133" s="1"/>
      <c r="S133" s="44"/>
    </row>
    <row r="134" hidden="1">
      <c r="F134" s="67"/>
      <c r="G134" s="1"/>
      <c r="H134" s="1"/>
      <c r="I134" s="1"/>
      <c r="J134" s="1"/>
      <c r="K134" s="69"/>
      <c r="L134" s="1"/>
      <c r="M134" s="1"/>
      <c r="N134" s="1"/>
      <c r="O134" s="1"/>
      <c r="P134" s="1"/>
      <c r="Q134" s="1"/>
      <c r="R134" s="1"/>
      <c r="S134" s="44"/>
    </row>
    <row r="135" hidden="1">
      <c r="F135" s="67"/>
      <c r="G135" s="1"/>
      <c r="H135" s="1"/>
      <c r="I135" s="1"/>
      <c r="J135" s="1"/>
      <c r="K135" s="69"/>
      <c r="L135" s="1"/>
      <c r="M135" s="1"/>
      <c r="N135" s="1"/>
      <c r="O135" s="1"/>
      <c r="P135" s="1"/>
      <c r="Q135" s="1"/>
      <c r="R135" s="1"/>
      <c r="S135" s="44"/>
    </row>
    <row r="136" hidden="1">
      <c r="F136" s="67"/>
      <c r="G136" s="1"/>
      <c r="H136" s="1"/>
      <c r="I136" s="1"/>
      <c r="J136" s="1"/>
      <c r="K136" s="69"/>
      <c r="L136" s="1"/>
      <c r="M136" s="1"/>
      <c r="N136" s="1"/>
      <c r="O136" s="1"/>
      <c r="P136" s="1"/>
      <c r="Q136" s="1"/>
      <c r="R136" s="1"/>
      <c r="S136" s="44"/>
    </row>
    <row r="137" hidden="1">
      <c r="F137" s="67"/>
      <c r="G137" s="1"/>
      <c r="H137" s="1"/>
      <c r="I137" s="1"/>
      <c r="J137" s="1"/>
      <c r="K137" s="69"/>
      <c r="L137" s="1"/>
      <c r="M137" s="1"/>
      <c r="N137" s="1"/>
      <c r="O137" s="1"/>
      <c r="P137" s="1"/>
      <c r="Q137" s="1"/>
      <c r="R137" s="1"/>
      <c r="S137" s="44"/>
    </row>
    <row r="138" hidden="1">
      <c r="F138" s="67"/>
      <c r="G138" s="1"/>
      <c r="H138" s="1"/>
      <c r="I138" s="1"/>
      <c r="J138" s="1"/>
      <c r="K138" s="69"/>
      <c r="L138" s="1"/>
      <c r="M138" s="1"/>
      <c r="N138" s="1"/>
      <c r="O138" s="1"/>
      <c r="P138" s="1"/>
      <c r="Q138" s="1"/>
      <c r="R138" s="1"/>
      <c r="S138" s="44"/>
    </row>
    <row r="139" hidden="1">
      <c r="F139" s="67"/>
      <c r="G139" s="1"/>
      <c r="H139" s="1"/>
      <c r="I139" s="1"/>
      <c r="J139" s="1"/>
      <c r="K139" s="69"/>
      <c r="L139" s="1"/>
      <c r="M139" s="1"/>
      <c r="N139" s="1"/>
      <c r="O139" s="1"/>
      <c r="P139" s="1"/>
      <c r="Q139" s="1"/>
      <c r="R139" s="1"/>
      <c r="S139" s="44"/>
    </row>
    <row r="140" hidden="1">
      <c r="F140" s="67"/>
      <c r="G140" s="1"/>
      <c r="H140" s="1"/>
      <c r="I140" s="1"/>
      <c r="J140" s="1"/>
      <c r="K140" s="69"/>
      <c r="L140" s="1"/>
      <c r="M140" s="1"/>
      <c r="N140" s="1"/>
      <c r="O140" s="1"/>
      <c r="P140" s="1"/>
      <c r="Q140" s="1"/>
      <c r="R140" s="1"/>
      <c r="S140" s="44"/>
    </row>
    <row r="141" hidden="1">
      <c r="F141" s="67"/>
      <c r="G141" s="1"/>
      <c r="H141" s="1"/>
      <c r="I141" s="1"/>
      <c r="J141" s="1"/>
      <c r="K141" s="69"/>
      <c r="L141" s="1"/>
      <c r="M141" s="1"/>
      <c r="N141" s="1"/>
      <c r="O141" s="1"/>
      <c r="P141" s="1"/>
      <c r="Q141" s="1"/>
      <c r="R141" s="1"/>
      <c r="S141" s="44"/>
    </row>
    <row r="142" hidden="1">
      <c r="F142" s="67"/>
      <c r="G142" s="1"/>
      <c r="H142" s="1"/>
      <c r="I142" s="1"/>
      <c r="J142" s="1"/>
      <c r="K142" s="69"/>
      <c r="L142" s="1"/>
      <c r="M142" s="1"/>
      <c r="N142" s="1"/>
      <c r="O142" s="1"/>
      <c r="P142" s="1"/>
      <c r="Q142" s="1"/>
      <c r="R142" s="1"/>
      <c r="S142" s="44"/>
    </row>
    <row r="143" hidden="1">
      <c r="F143" s="67"/>
      <c r="G143" s="1"/>
      <c r="H143" s="1"/>
      <c r="I143" s="1"/>
      <c r="J143" s="1"/>
      <c r="K143" s="69"/>
      <c r="L143" s="1"/>
      <c r="M143" s="1"/>
      <c r="N143" s="1"/>
      <c r="O143" s="1"/>
      <c r="P143" s="1"/>
      <c r="Q143" s="1"/>
      <c r="R143" s="1"/>
      <c r="S143" s="44"/>
    </row>
    <row r="144" hidden="1">
      <c r="F144" s="67"/>
      <c r="G144" s="1"/>
      <c r="H144" s="1"/>
      <c r="I144" s="1"/>
      <c r="J144" s="1"/>
      <c r="K144" s="69"/>
      <c r="L144" s="1"/>
      <c r="M144" s="1"/>
      <c r="N144" s="1"/>
      <c r="O144" s="1"/>
      <c r="P144" s="1"/>
      <c r="Q144" s="1"/>
      <c r="R144" s="1"/>
      <c r="S144" s="44"/>
    </row>
    <row r="145" hidden="1">
      <c r="F145" s="67"/>
      <c r="G145" s="1"/>
      <c r="H145" s="1"/>
      <c r="I145" s="1"/>
      <c r="J145" s="1"/>
      <c r="K145" s="69"/>
      <c r="L145" s="1"/>
      <c r="M145" s="1"/>
      <c r="N145" s="1"/>
      <c r="O145" s="1"/>
      <c r="P145" s="1"/>
      <c r="Q145" s="1"/>
      <c r="R145" s="1"/>
      <c r="S145" s="44"/>
    </row>
    <row r="146" hidden="1">
      <c r="F146" s="67"/>
      <c r="G146" s="1"/>
      <c r="H146" s="1"/>
      <c r="I146" s="1"/>
      <c r="J146" s="1"/>
      <c r="K146" s="69"/>
      <c r="L146" s="1"/>
      <c r="M146" s="1"/>
      <c r="N146" s="1"/>
      <c r="O146" s="1"/>
      <c r="P146" s="1"/>
      <c r="Q146" s="1"/>
      <c r="R146" s="1"/>
      <c r="S146" s="44"/>
    </row>
    <row r="147" hidden="1">
      <c r="F147" s="67"/>
      <c r="G147" s="1"/>
      <c r="H147" s="1"/>
      <c r="I147" s="1"/>
      <c r="J147" s="1"/>
      <c r="K147" s="69"/>
      <c r="L147" s="1"/>
      <c r="M147" s="1"/>
      <c r="N147" s="1"/>
      <c r="O147" s="1"/>
      <c r="P147" s="1"/>
      <c r="Q147" s="1"/>
      <c r="R147" s="1"/>
      <c r="S147" s="44"/>
    </row>
    <row r="148" hidden="1">
      <c r="F148" s="67"/>
      <c r="G148" s="1"/>
      <c r="H148" s="1"/>
      <c r="I148" s="1"/>
      <c r="J148" s="1"/>
      <c r="K148" s="69"/>
      <c r="L148" s="1"/>
      <c r="M148" s="1"/>
      <c r="N148" s="1"/>
      <c r="O148" s="1"/>
      <c r="P148" s="1"/>
      <c r="Q148" s="1"/>
      <c r="R148" s="1"/>
      <c r="S148" s="44"/>
    </row>
    <row r="149" hidden="1">
      <c r="F149" s="67"/>
      <c r="G149" s="1"/>
      <c r="H149" s="1"/>
      <c r="I149" s="1"/>
      <c r="J149" s="1"/>
      <c r="K149" s="69"/>
      <c r="L149" s="1"/>
      <c r="M149" s="1"/>
      <c r="N149" s="1"/>
      <c r="O149" s="1"/>
      <c r="P149" s="1"/>
      <c r="Q149" s="1"/>
      <c r="R149" s="1"/>
      <c r="S149" s="44"/>
    </row>
    <row r="150" hidden="1">
      <c r="F150" s="67"/>
      <c r="G150" s="1"/>
      <c r="H150" s="1"/>
      <c r="I150" s="1"/>
      <c r="J150" s="1"/>
      <c r="K150" s="69"/>
      <c r="L150" s="1"/>
      <c r="M150" s="1"/>
      <c r="N150" s="1"/>
      <c r="O150" s="1"/>
      <c r="P150" s="1"/>
      <c r="Q150" s="1"/>
      <c r="R150" s="1"/>
      <c r="S150" s="44"/>
    </row>
    <row r="151" hidden="1">
      <c r="F151" s="67"/>
      <c r="G151" s="1"/>
      <c r="H151" s="1"/>
      <c r="I151" s="1"/>
      <c r="J151" s="1"/>
      <c r="K151" s="69"/>
      <c r="L151" s="1"/>
      <c r="M151" s="1"/>
      <c r="N151" s="1"/>
      <c r="O151" s="1"/>
      <c r="P151" s="1"/>
      <c r="Q151" s="1"/>
      <c r="R151" s="1"/>
      <c r="S151" s="44"/>
    </row>
    <row r="152" hidden="1">
      <c r="F152" s="67"/>
      <c r="G152" s="1"/>
      <c r="H152" s="1"/>
      <c r="I152" s="1"/>
      <c r="J152" s="1"/>
      <c r="K152" s="69"/>
      <c r="L152" s="1"/>
      <c r="M152" s="1"/>
      <c r="N152" s="1"/>
      <c r="O152" s="1"/>
      <c r="P152" s="1"/>
      <c r="Q152" s="1"/>
      <c r="R152" s="1"/>
      <c r="S152" s="44"/>
    </row>
    <row r="153" hidden="1">
      <c r="F153" s="67"/>
      <c r="G153" s="1"/>
      <c r="H153" s="1"/>
      <c r="I153" s="1"/>
      <c r="J153" s="1"/>
      <c r="K153" s="69"/>
      <c r="L153" s="1"/>
      <c r="M153" s="1"/>
      <c r="N153" s="1"/>
      <c r="O153" s="1"/>
      <c r="P153" s="1"/>
      <c r="Q153" s="1"/>
      <c r="R153" s="1"/>
      <c r="S153" s="44"/>
    </row>
    <row r="154" hidden="1">
      <c r="F154" s="67"/>
      <c r="G154" s="1"/>
      <c r="H154" s="1"/>
      <c r="I154" s="1"/>
      <c r="J154" s="1"/>
      <c r="K154" s="69"/>
      <c r="L154" s="1"/>
      <c r="M154" s="1"/>
      <c r="N154" s="1"/>
      <c r="O154" s="1"/>
      <c r="P154" s="1"/>
      <c r="Q154" s="1"/>
      <c r="R154" s="1"/>
      <c r="S154" s="44"/>
    </row>
    <row r="155" hidden="1">
      <c r="F155" s="67"/>
      <c r="G155" s="1"/>
      <c r="H155" s="1"/>
      <c r="I155" s="1"/>
      <c r="J155" s="1"/>
      <c r="K155" s="69"/>
      <c r="L155" s="1"/>
      <c r="M155" s="1"/>
      <c r="N155" s="1"/>
      <c r="O155" s="1"/>
      <c r="P155" s="1"/>
      <c r="Q155" s="1"/>
      <c r="R155" s="1"/>
      <c r="S155" s="44"/>
    </row>
    <row r="156" hidden="1">
      <c r="F156" s="67"/>
      <c r="G156" s="1"/>
      <c r="H156" s="1"/>
      <c r="I156" s="1"/>
      <c r="J156" s="1"/>
      <c r="K156" s="69"/>
      <c r="L156" s="1"/>
      <c r="M156" s="1"/>
      <c r="N156" s="1"/>
      <c r="O156" s="1"/>
      <c r="P156" s="1"/>
      <c r="Q156" s="1"/>
      <c r="R156" s="1"/>
      <c r="S156" s="44"/>
    </row>
    <row r="157" hidden="1">
      <c r="F157" s="67"/>
      <c r="G157" s="1"/>
      <c r="H157" s="1"/>
      <c r="I157" s="1"/>
      <c r="J157" s="1"/>
      <c r="K157" s="69"/>
      <c r="L157" s="1"/>
      <c r="M157" s="1"/>
      <c r="N157" s="1"/>
      <c r="O157" s="1"/>
      <c r="P157" s="1"/>
      <c r="Q157" s="1"/>
      <c r="R157" s="1"/>
      <c r="S157" s="44"/>
    </row>
    <row r="158" hidden="1">
      <c r="F158" s="67"/>
      <c r="G158" s="1"/>
      <c r="H158" s="1"/>
      <c r="I158" s="1"/>
      <c r="J158" s="1"/>
      <c r="K158" s="69"/>
      <c r="L158" s="1"/>
      <c r="M158" s="1"/>
      <c r="N158" s="1"/>
      <c r="O158" s="1"/>
      <c r="P158" s="1"/>
      <c r="Q158" s="1"/>
      <c r="R158" s="1"/>
      <c r="S158" s="44"/>
    </row>
    <row r="159" hidden="1">
      <c r="F159" s="67"/>
      <c r="G159" s="1"/>
      <c r="H159" s="1"/>
      <c r="I159" s="1"/>
      <c r="J159" s="1"/>
      <c r="K159" s="69"/>
      <c r="L159" s="1"/>
      <c r="M159" s="1"/>
      <c r="N159" s="1"/>
      <c r="O159" s="1"/>
      <c r="P159" s="1"/>
      <c r="Q159" s="1"/>
      <c r="R159" s="1"/>
      <c r="S159" s="44"/>
    </row>
    <row r="160" hidden="1">
      <c r="F160" s="67"/>
      <c r="G160" s="1"/>
      <c r="H160" s="1"/>
      <c r="I160" s="1"/>
      <c r="J160" s="1"/>
      <c r="K160" s="69"/>
      <c r="L160" s="1"/>
      <c r="M160" s="1"/>
      <c r="N160" s="1"/>
      <c r="O160" s="1"/>
      <c r="P160" s="1"/>
      <c r="Q160" s="1"/>
      <c r="R160" s="1"/>
      <c r="S160" s="44"/>
    </row>
    <row r="161" hidden="1">
      <c r="F161" s="67"/>
      <c r="G161" s="1"/>
      <c r="H161" s="1"/>
      <c r="I161" s="1"/>
      <c r="J161" s="1"/>
      <c r="K161" s="69"/>
      <c r="L161" s="1"/>
      <c r="M161" s="1"/>
      <c r="N161" s="1"/>
      <c r="O161" s="1"/>
      <c r="P161" s="1"/>
      <c r="Q161" s="1"/>
      <c r="R161" s="1"/>
      <c r="S161" s="44"/>
    </row>
    <row r="162" hidden="1">
      <c r="F162" s="67"/>
      <c r="G162" s="1"/>
      <c r="H162" s="1"/>
      <c r="I162" s="1"/>
      <c r="J162" s="1"/>
      <c r="K162" s="69"/>
      <c r="L162" s="1"/>
      <c r="M162" s="1"/>
      <c r="N162" s="1"/>
      <c r="O162" s="1"/>
      <c r="P162" s="1"/>
      <c r="Q162" s="1"/>
      <c r="R162" s="1"/>
      <c r="S162" s="44"/>
    </row>
    <row r="163" hidden="1">
      <c r="F163" s="67"/>
      <c r="G163" s="1"/>
      <c r="H163" s="1"/>
      <c r="I163" s="1"/>
      <c r="J163" s="1"/>
      <c r="K163" s="69"/>
      <c r="L163" s="1"/>
      <c r="M163" s="1"/>
      <c r="N163" s="1"/>
      <c r="O163" s="1"/>
      <c r="P163" s="1"/>
      <c r="Q163" s="1"/>
      <c r="R163" s="1"/>
      <c r="S163" s="44"/>
    </row>
    <row r="164" hidden="1">
      <c r="F164" s="67"/>
      <c r="G164" s="1"/>
      <c r="H164" s="1"/>
      <c r="I164" s="1"/>
      <c r="J164" s="1"/>
      <c r="K164" s="69"/>
      <c r="L164" s="1"/>
      <c r="M164" s="1"/>
      <c r="N164" s="1"/>
      <c r="O164" s="1"/>
      <c r="P164" s="1"/>
      <c r="Q164" s="1"/>
      <c r="R164" s="1"/>
      <c r="S164" s="44"/>
    </row>
    <row r="165" hidden="1">
      <c r="F165" s="67"/>
      <c r="G165" s="1"/>
      <c r="H165" s="1"/>
      <c r="I165" s="1"/>
      <c r="J165" s="1"/>
      <c r="K165" s="69"/>
      <c r="L165" s="1"/>
      <c r="M165" s="1"/>
      <c r="N165" s="1"/>
      <c r="O165" s="1"/>
      <c r="P165" s="1"/>
      <c r="Q165" s="1"/>
      <c r="R165" s="1"/>
      <c r="S165" s="44"/>
    </row>
    <row r="166" hidden="1">
      <c r="F166" s="67"/>
      <c r="G166" s="1"/>
      <c r="H166" s="1"/>
      <c r="I166" s="1"/>
      <c r="J166" s="1"/>
      <c r="K166" s="69"/>
      <c r="L166" s="1"/>
      <c r="M166" s="1"/>
      <c r="N166" s="1"/>
      <c r="O166" s="1"/>
      <c r="P166" s="1"/>
      <c r="Q166" s="1"/>
      <c r="R166" s="1"/>
      <c r="S166" s="44"/>
    </row>
    <row r="167" hidden="1">
      <c r="F167" s="67"/>
      <c r="G167" s="1"/>
      <c r="H167" s="1"/>
      <c r="I167" s="1"/>
      <c r="J167" s="1"/>
      <c r="K167" s="69"/>
      <c r="L167" s="1"/>
      <c r="M167" s="1"/>
      <c r="N167" s="1"/>
      <c r="O167" s="1"/>
      <c r="P167" s="1"/>
      <c r="Q167" s="1"/>
      <c r="R167" s="1"/>
      <c r="S167" s="44"/>
    </row>
    <row r="168" hidden="1">
      <c r="F168" s="67"/>
      <c r="G168" s="1"/>
      <c r="H168" s="1"/>
      <c r="I168" s="1"/>
      <c r="J168" s="1"/>
      <c r="K168" s="69"/>
      <c r="L168" s="1"/>
      <c r="M168" s="1"/>
      <c r="N168" s="1"/>
      <c r="O168" s="1"/>
      <c r="P168" s="1"/>
      <c r="Q168" s="1"/>
      <c r="R168" s="1"/>
      <c r="S168" s="44"/>
    </row>
    <row r="169" hidden="1">
      <c r="F169" s="67"/>
      <c r="G169" s="1"/>
      <c r="H169" s="1"/>
      <c r="I169" s="1"/>
      <c r="J169" s="1"/>
      <c r="K169" s="69"/>
      <c r="L169" s="1"/>
      <c r="M169" s="1"/>
      <c r="N169" s="1"/>
      <c r="O169" s="1"/>
      <c r="P169" s="1"/>
      <c r="Q169" s="1"/>
      <c r="R169" s="1"/>
      <c r="S169" s="44"/>
    </row>
    <row r="170" hidden="1">
      <c r="F170" s="67"/>
      <c r="G170" s="1"/>
      <c r="H170" s="1"/>
      <c r="I170" s="1"/>
      <c r="J170" s="1"/>
      <c r="K170" s="69"/>
      <c r="L170" s="1"/>
      <c r="M170" s="1"/>
      <c r="N170" s="1"/>
      <c r="O170" s="1"/>
      <c r="P170" s="1"/>
      <c r="Q170" s="1"/>
      <c r="R170" s="1"/>
      <c r="S170" s="44"/>
    </row>
    <row r="171" hidden="1">
      <c r="F171" s="67"/>
      <c r="G171" s="1"/>
      <c r="H171" s="1"/>
      <c r="I171" s="1"/>
      <c r="J171" s="1"/>
      <c r="K171" s="69"/>
      <c r="L171" s="1"/>
      <c r="M171" s="1"/>
      <c r="N171" s="1"/>
      <c r="O171" s="1"/>
      <c r="P171" s="1"/>
      <c r="Q171" s="1"/>
      <c r="R171" s="1"/>
      <c r="S171" s="44"/>
    </row>
    <row r="172" hidden="1">
      <c r="F172" s="67"/>
      <c r="G172" s="1"/>
      <c r="H172" s="1"/>
      <c r="I172" s="1"/>
      <c r="J172" s="1"/>
      <c r="K172" s="69"/>
      <c r="L172" s="1"/>
      <c r="M172" s="1"/>
      <c r="N172" s="1"/>
      <c r="O172" s="1"/>
      <c r="P172" s="1"/>
      <c r="Q172" s="1"/>
      <c r="R172" s="1"/>
      <c r="S172" s="44"/>
    </row>
    <row r="173" hidden="1">
      <c r="F173" s="67"/>
      <c r="G173" s="1"/>
      <c r="H173" s="1"/>
      <c r="I173" s="1"/>
      <c r="J173" s="1"/>
      <c r="K173" s="69"/>
      <c r="L173" s="1"/>
      <c r="M173" s="1"/>
      <c r="N173" s="1"/>
      <c r="O173" s="1"/>
      <c r="P173" s="1"/>
      <c r="Q173" s="1"/>
      <c r="R173" s="1"/>
      <c r="S173" s="44"/>
    </row>
    <row r="174" hidden="1">
      <c r="F174" s="67"/>
      <c r="G174" s="1"/>
      <c r="H174" s="1"/>
      <c r="I174" s="1"/>
      <c r="J174" s="1"/>
      <c r="K174" s="69"/>
      <c r="L174" s="1"/>
      <c r="M174" s="1"/>
      <c r="N174" s="1"/>
      <c r="O174" s="1"/>
      <c r="P174" s="1"/>
      <c r="Q174" s="1"/>
      <c r="R174" s="1"/>
      <c r="S174" s="44"/>
    </row>
    <row r="175" hidden="1">
      <c r="F175" s="67"/>
      <c r="G175" s="1"/>
      <c r="H175" s="1"/>
      <c r="I175" s="1"/>
      <c r="J175" s="1"/>
      <c r="K175" s="69"/>
      <c r="L175" s="1"/>
      <c r="M175" s="1"/>
      <c r="N175" s="1"/>
      <c r="O175" s="1"/>
      <c r="P175" s="1"/>
      <c r="Q175" s="1"/>
      <c r="R175" s="1"/>
      <c r="S175" s="44"/>
    </row>
    <row r="176" hidden="1">
      <c r="F176" s="67"/>
      <c r="G176" s="1"/>
      <c r="H176" s="1"/>
      <c r="I176" s="1"/>
      <c r="J176" s="1"/>
      <c r="K176" s="69"/>
      <c r="L176" s="1"/>
      <c r="M176" s="1"/>
      <c r="N176" s="1"/>
      <c r="O176" s="1"/>
      <c r="P176" s="1"/>
      <c r="Q176" s="1"/>
      <c r="R176" s="1"/>
      <c r="S176" s="44"/>
    </row>
    <row r="177" hidden="1">
      <c r="F177" s="67"/>
      <c r="G177" s="1"/>
      <c r="H177" s="1"/>
      <c r="I177" s="1"/>
      <c r="J177" s="1"/>
      <c r="K177" s="69"/>
      <c r="L177" s="1"/>
      <c r="M177" s="1"/>
      <c r="N177" s="1"/>
      <c r="O177" s="1"/>
      <c r="P177" s="1"/>
      <c r="Q177" s="1"/>
      <c r="R177" s="1"/>
      <c r="S177" s="44"/>
    </row>
    <row r="178" hidden="1">
      <c r="F178" s="67"/>
      <c r="G178" s="1"/>
      <c r="H178" s="1"/>
      <c r="I178" s="1"/>
      <c r="J178" s="1"/>
      <c r="K178" s="69"/>
      <c r="L178" s="1"/>
      <c r="M178" s="1"/>
      <c r="N178" s="1"/>
      <c r="O178" s="1"/>
      <c r="P178" s="1"/>
      <c r="Q178" s="1"/>
      <c r="R178" s="1"/>
      <c r="S178" s="44"/>
    </row>
    <row r="179" hidden="1">
      <c r="F179" s="67"/>
      <c r="G179" s="1"/>
      <c r="H179" s="1"/>
      <c r="I179" s="1"/>
      <c r="J179" s="1"/>
      <c r="K179" s="69"/>
      <c r="L179" s="1"/>
      <c r="M179" s="1"/>
      <c r="N179" s="1"/>
      <c r="O179" s="1"/>
      <c r="P179" s="1"/>
      <c r="Q179" s="1"/>
      <c r="R179" s="1"/>
      <c r="S179" s="44"/>
    </row>
    <row r="180" hidden="1">
      <c r="F180" s="67"/>
      <c r="G180" s="1"/>
      <c r="H180" s="1"/>
      <c r="I180" s="1"/>
      <c r="J180" s="1"/>
      <c r="K180" s="69"/>
      <c r="L180" s="1"/>
      <c r="M180" s="1"/>
      <c r="N180" s="1"/>
      <c r="O180" s="1"/>
      <c r="P180" s="1"/>
      <c r="Q180" s="1"/>
      <c r="R180" s="1"/>
      <c r="S180" s="44"/>
    </row>
    <row r="181" hidden="1">
      <c r="F181" s="67"/>
      <c r="G181" s="1"/>
      <c r="H181" s="1"/>
      <c r="I181" s="1"/>
      <c r="J181" s="1"/>
      <c r="K181" s="69"/>
      <c r="L181" s="1"/>
      <c r="M181" s="1"/>
      <c r="N181" s="1"/>
      <c r="O181" s="1"/>
      <c r="P181" s="1"/>
      <c r="Q181" s="1"/>
      <c r="R181" s="1"/>
      <c r="S181" s="44"/>
    </row>
    <row r="182" hidden="1">
      <c r="F182" s="67"/>
      <c r="G182" s="1"/>
      <c r="H182" s="1"/>
      <c r="I182" s="1"/>
      <c r="J182" s="1"/>
      <c r="K182" s="69"/>
      <c r="L182" s="1"/>
      <c r="M182" s="1"/>
      <c r="N182" s="1"/>
      <c r="O182" s="1"/>
      <c r="P182" s="1"/>
      <c r="Q182" s="1"/>
      <c r="R182" s="1"/>
      <c r="S182" s="44"/>
    </row>
    <row r="183" hidden="1">
      <c r="F183" s="67"/>
      <c r="G183" s="1"/>
      <c r="H183" s="1"/>
      <c r="I183" s="1"/>
      <c r="J183" s="1"/>
      <c r="K183" s="69"/>
      <c r="L183" s="1"/>
      <c r="M183" s="1"/>
      <c r="N183" s="1"/>
      <c r="O183" s="1"/>
      <c r="P183" s="1"/>
      <c r="Q183" s="1"/>
      <c r="R183" s="1"/>
      <c r="S183" s="44"/>
    </row>
    <row r="184" hidden="1">
      <c r="F184" s="67"/>
      <c r="G184" s="1"/>
      <c r="H184" s="1"/>
      <c r="I184" s="1"/>
      <c r="J184" s="1"/>
      <c r="K184" s="69"/>
      <c r="L184" s="1"/>
      <c r="M184" s="1"/>
      <c r="N184" s="1"/>
      <c r="O184" s="1"/>
      <c r="P184" s="1"/>
      <c r="Q184" s="1"/>
      <c r="R184" s="1"/>
      <c r="S184" s="44"/>
    </row>
    <row r="185" hidden="1">
      <c r="F185" s="67"/>
      <c r="G185" s="1"/>
      <c r="H185" s="1"/>
      <c r="I185" s="1"/>
      <c r="J185" s="1"/>
      <c r="K185" s="69"/>
      <c r="L185" s="1"/>
      <c r="M185" s="1"/>
      <c r="N185" s="1"/>
      <c r="O185" s="1"/>
      <c r="P185" s="1"/>
      <c r="Q185" s="1"/>
      <c r="R185" s="1"/>
      <c r="S185" s="44"/>
    </row>
    <row r="186" hidden="1">
      <c r="F186" s="67"/>
      <c r="G186" s="1"/>
      <c r="H186" s="1"/>
      <c r="I186" s="1"/>
      <c r="J186" s="1"/>
      <c r="K186" s="69"/>
      <c r="L186" s="1"/>
      <c r="M186" s="1"/>
      <c r="N186" s="1"/>
      <c r="O186" s="1"/>
      <c r="P186" s="1"/>
      <c r="Q186" s="1"/>
      <c r="R186" s="1"/>
      <c r="S186" s="44"/>
    </row>
    <row r="187" hidden="1">
      <c r="F187" s="67"/>
      <c r="G187" s="1"/>
      <c r="H187" s="1"/>
      <c r="I187" s="1"/>
      <c r="J187" s="1"/>
      <c r="K187" s="69"/>
      <c r="L187" s="1"/>
      <c r="M187" s="1"/>
      <c r="N187" s="1"/>
      <c r="O187" s="1"/>
      <c r="P187" s="1"/>
      <c r="Q187" s="1"/>
      <c r="R187" s="1"/>
      <c r="S187" s="44"/>
    </row>
    <row r="188" hidden="1">
      <c r="F188" s="67"/>
      <c r="G188" s="1"/>
      <c r="H188" s="1"/>
      <c r="I188" s="1"/>
      <c r="J188" s="1"/>
      <c r="K188" s="69"/>
      <c r="L188" s="1"/>
      <c r="M188" s="1"/>
      <c r="N188" s="1"/>
      <c r="O188" s="1"/>
      <c r="P188" s="1"/>
      <c r="Q188" s="1"/>
      <c r="R188" s="1"/>
      <c r="S188" s="44"/>
    </row>
    <row r="189" hidden="1">
      <c r="F189" s="67"/>
      <c r="G189" s="1"/>
      <c r="H189" s="1"/>
      <c r="I189" s="1"/>
      <c r="J189" s="1"/>
      <c r="K189" s="69"/>
      <c r="L189" s="1"/>
      <c r="M189" s="1"/>
      <c r="N189" s="1"/>
      <c r="O189" s="1"/>
      <c r="P189" s="1"/>
      <c r="Q189" s="1"/>
      <c r="R189" s="1"/>
      <c r="S189" s="44"/>
    </row>
    <row r="190" hidden="1">
      <c r="F190" s="67"/>
      <c r="G190" s="1"/>
      <c r="H190" s="1"/>
      <c r="I190" s="1"/>
      <c r="J190" s="1"/>
      <c r="K190" s="69"/>
      <c r="L190" s="1"/>
      <c r="M190" s="1"/>
      <c r="N190" s="1"/>
      <c r="O190" s="1"/>
      <c r="P190" s="1"/>
      <c r="Q190" s="1"/>
      <c r="R190" s="1"/>
      <c r="S190" s="44"/>
    </row>
    <row r="191" hidden="1">
      <c r="F191" s="67"/>
      <c r="G191" s="1"/>
      <c r="H191" s="1"/>
      <c r="I191" s="1"/>
      <c r="J191" s="1"/>
      <c r="K191" s="69"/>
      <c r="L191" s="1"/>
      <c r="M191" s="1"/>
      <c r="N191" s="1"/>
      <c r="O191" s="1"/>
      <c r="P191" s="1"/>
      <c r="Q191" s="1"/>
      <c r="R191" s="1"/>
      <c r="S191" s="44"/>
    </row>
    <row r="192" hidden="1">
      <c r="F192" s="67"/>
      <c r="G192" s="1"/>
      <c r="H192" s="1"/>
      <c r="I192" s="1"/>
      <c r="J192" s="1"/>
      <c r="K192" s="69"/>
      <c r="L192" s="1"/>
      <c r="M192" s="1"/>
      <c r="N192" s="1"/>
      <c r="O192" s="1"/>
      <c r="P192" s="1"/>
      <c r="Q192" s="1"/>
      <c r="R192" s="1"/>
      <c r="S192" s="44"/>
    </row>
    <row r="193" hidden="1">
      <c r="F193" s="67"/>
      <c r="G193" s="1"/>
      <c r="H193" s="1"/>
      <c r="I193" s="1"/>
      <c r="J193" s="1"/>
      <c r="K193" s="69"/>
      <c r="L193" s="1"/>
      <c r="M193" s="1"/>
      <c r="N193" s="1"/>
      <c r="O193" s="1"/>
      <c r="P193" s="1"/>
      <c r="Q193" s="1"/>
      <c r="R193" s="1"/>
      <c r="S193" s="44"/>
    </row>
    <row r="194" hidden="1">
      <c r="F194" s="67"/>
      <c r="G194" s="1"/>
      <c r="H194" s="1"/>
      <c r="I194" s="1"/>
      <c r="J194" s="1"/>
      <c r="K194" s="69"/>
      <c r="L194" s="1"/>
      <c r="M194" s="1"/>
      <c r="N194" s="1"/>
      <c r="O194" s="1"/>
      <c r="P194" s="1"/>
      <c r="Q194" s="1"/>
      <c r="R194" s="1"/>
      <c r="S194" s="44"/>
    </row>
    <row r="195" hidden="1">
      <c r="F195" s="67"/>
      <c r="G195" s="1"/>
      <c r="H195" s="1"/>
      <c r="I195" s="1"/>
      <c r="J195" s="1"/>
      <c r="K195" s="69"/>
      <c r="L195" s="1"/>
      <c r="M195" s="1"/>
      <c r="N195" s="1"/>
      <c r="O195" s="1"/>
      <c r="P195" s="1"/>
      <c r="Q195" s="1"/>
      <c r="R195" s="1"/>
      <c r="S195" s="44"/>
    </row>
    <row r="196" hidden="1">
      <c r="F196" s="67"/>
      <c r="G196" s="1"/>
      <c r="H196" s="1"/>
      <c r="I196" s="1"/>
      <c r="J196" s="1"/>
      <c r="K196" s="69"/>
      <c r="L196" s="1"/>
      <c r="M196" s="1"/>
      <c r="N196" s="1"/>
      <c r="O196" s="1"/>
      <c r="P196" s="1"/>
      <c r="Q196" s="1"/>
      <c r="R196" s="1"/>
      <c r="S196" s="44"/>
    </row>
    <row r="197" hidden="1">
      <c r="F197" s="67"/>
      <c r="G197" s="1"/>
      <c r="H197" s="1"/>
      <c r="I197" s="1"/>
      <c r="J197" s="1"/>
      <c r="K197" s="69"/>
      <c r="L197" s="1"/>
      <c r="M197" s="1"/>
      <c r="N197" s="1"/>
      <c r="O197" s="1"/>
      <c r="P197" s="1"/>
      <c r="Q197" s="1"/>
      <c r="R197" s="1"/>
      <c r="S197" s="44"/>
    </row>
    <row r="198" hidden="1">
      <c r="F198" s="67"/>
      <c r="G198" s="1"/>
      <c r="H198" s="1"/>
      <c r="I198" s="1"/>
      <c r="J198" s="1"/>
      <c r="K198" s="69"/>
      <c r="L198" s="1"/>
      <c r="M198" s="1"/>
      <c r="N198" s="1"/>
      <c r="O198" s="1"/>
      <c r="P198" s="1"/>
      <c r="Q198" s="1"/>
      <c r="R198" s="1"/>
      <c r="S198" s="44"/>
    </row>
    <row r="199" hidden="1">
      <c r="F199" s="67"/>
      <c r="G199" s="1"/>
      <c r="H199" s="1"/>
      <c r="I199" s="1"/>
      <c r="J199" s="1"/>
      <c r="K199" s="69"/>
      <c r="L199" s="1"/>
      <c r="M199" s="1"/>
      <c r="N199" s="1"/>
      <c r="O199" s="1"/>
      <c r="P199" s="1"/>
      <c r="Q199" s="1"/>
      <c r="R199" s="1"/>
      <c r="S199" s="44"/>
    </row>
    <row r="200" hidden="1">
      <c r="F200" s="67"/>
      <c r="G200" s="1"/>
      <c r="H200" s="1"/>
      <c r="I200" s="1"/>
      <c r="J200" s="1"/>
      <c r="K200" s="69"/>
      <c r="L200" s="1"/>
      <c r="M200" s="1"/>
      <c r="N200" s="1"/>
      <c r="O200" s="1"/>
      <c r="P200" s="1"/>
      <c r="Q200" s="1"/>
      <c r="R200" s="1"/>
      <c r="S200" s="44"/>
    </row>
    <row r="201" hidden="1">
      <c r="F201" s="67"/>
      <c r="G201" s="1"/>
      <c r="H201" s="1"/>
      <c r="I201" s="1"/>
      <c r="J201" s="1"/>
      <c r="K201" s="69"/>
      <c r="L201" s="1"/>
      <c r="M201" s="1"/>
      <c r="N201" s="1"/>
      <c r="O201" s="1"/>
      <c r="P201" s="1"/>
      <c r="Q201" s="1"/>
      <c r="R201" s="1"/>
      <c r="S201" s="44"/>
    </row>
    <row r="202" hidden="1">
      <c r="F202" s="67"/>
      <c r="G202" s="1"/>
      <c r="H202" s="1"/>
      <c r="I202" s="1"/>
      <c r="J202" s="1"/>
      <c r="K202" s="69"/>
      <c r="L202" s="1"/>
      <c r="M202" s="1"/>
      <c r="N202" s="1"/>
      <c r="O202" s="1"/>
      <c r="P202" s="1"/>
      <c r="Q202" s="1"/>
      <c r="R202" s="1"/>
      <c r="S202" s="44"/>
    </row>
    <row r="203" hidden="1">
      <c r="F203" s="67"/>
      <c r="G203" s="1"/>
      <c r="H203" s="1"/>
      <c r="I203" s="1"/>
      <c r="J203" s="1"/>
      <c r="K203" s="69"/>
      <c r="L203" s="1"/>
      <c r="M203" s="1"/>
      <c r="N203" s="1"/>
      <c r="O203" s="1"/>
      <c r="P203" s="1"/>
      <c r="Q203" s="1"/>
      <c r="R203" s="1"/>
      <c r="S203" s="44"/>
    </row>
    <row r="204" hidden="1">
      <c r="F204" s="67"/>
      <c r="G204" s="1"/>
      <c r="H204" s="1"/>
      <c r="I204" s="1"/>
      <c r="J204" s="1"/>
      <c r="K204" s="69"/>
      <c r="L204" s="1"/>
      <c r="M204" s="1"/>
      <c r="N204" s="1"/>
      <c r="O204" s="1"/>
      <c r="P204" s="1"/>
      <c r="Q204" s="1"/>
      <c r="R204" s="1"/>
      <c r="S204" s="44"/>
    </row>
    <row r="205" hidden="1">
      <c r="F205" s="67"/>
      <c r="G205" s="1"/>
      <c r="H205" s="1"/>
      <c r="I205" s="1"/>
      <c r="J205" s="1"/>
      <c r="K205" s="69"/>
      <c r="L205" s="1"/>
      <c r="M205" s="1"/>
      <c r="N205" s="1"/>
      <c r="O205" s="1"/>
      <c r="P205" s="1"/>
      <c r="Q205" s="1"/>
      <c r="R205" s="1"/>
      <c r="S205" s="44"/>
    </row>
    <row r="206" hidden="1">
      <c r="F206" s="67"/>
      <c r="G206" s="1"/>
      <c r="H206" s="1"/>
      <c r="I206" s="1"/>
      <c r="J206" s="1"/>
      <c r="K206" s="69"/>
      <c r="L206" s="1"/>
      <c r="M206" s="1"/>
      <c r="N206" s="1"/>
      <c r="O206" s="1"/>
      <c r="P206" s="1"/>
      <c r="Q206" s="1"/>
      <c r="R206" s="1"/>
      <c r="S206" s="44"/>
    </row>
    <row r="207" hidden="1">
      <c r="F207" s="67"/>
      <c r="G207" s="1"/>
      <c r="H207" s="1"/>
      <c r="I207" s="1"/>
      <c r="J207" s="1"/>
      <c r="K207" s="69"/>
      <c r="L207" s="1"/>
      <c r="M207" s="1"/>
      <c r="N207" s="1"/>
      <c r="O207" s="1"/>
      <c r="P207" s="1"/>
      <c r="Q207" s="1"/>
      <c r="R207" s="1"/>
      <c r="S207" s="44"/>
    </row>
    <row r="208" hidden="1">
      <c r="F208" s="67"/>
      <c r="G208" s="1"/>
      <c r="H208" s="1"/>
      <c r="I208" s="1"/>
      <c r="J208" s="1"/>
      <c r="K208" s="69"/>
      <c r="L208" s="1"/>
      <c r="M208" s="1"/>
      <c r="N208" s="1"/>
      <c r="O208" s="1"/>
      <c r="P208" s="1"/>
      <c r="Q208" s="1"/>
      <c r="R208" s="1"/>
      <c r="S208" s="44"/>
    </row>
    <row r="209" hidden="1">
      <c r="F209" s="67"/>
      <c r="G209" s="1"/>
      <c r="H209" s="1"/>
      <c r="I209" s="1"/>
      <c r="J209" s="1"/>
      <c r="K209" s="69"/>
      <c r="L209" s="1"/>
      <c r="M209" s="1"/>
      <c r="N209" s="1"/>
      <c r="O209" s="1"/>
      <c r="P209" s="1"/>
      <c r="Q209" s="1"/>
      <c r="R209" s="1"/>
      <c r="S209" s="44"/>
    </row>
    <row r="210" hidden="1">
      <c r="F210" s="67"/>
      <c r="G210" s="1"/>
      <c r="H210" s="1"/>
      <c r="I210" s="1"/>
      <c r="J210" s="1"/>
      <c r="K210" s="69"/>
      <c r="L210" s="1"/>
      <c r="M210" s="1"/>
      <c r="N210" s="1"/>
      <c r="O210" s="1"/>
      <c r="P210" s="1"/>
      <c r="Q210" s="1"/>
      <c r="R210" s="1"/>
      <c r="S210" s="44"/>
    </row>
    <row r="211" hidden="1">
      <c r="F211" s="67"/>
      <c r="G211" s="1"/>
      <c r="H211" s="1"/>
      <c r="I211" s="1"/>
      <c r="J211" s="1"/>
      <c r="K211" s="69"/>
      <c r="L211" s="1"/>
      <c r="M211" s="1"/>
      <c r="N211" s="1"/>
      <c r="O211" s="1"/>
      <c r="P211" s="1"/>
      <c r="Q211" s="1"/>
      <c r="R211" s="1"/>
      <c r="S211" s="44"/>
    </row>
    <row r="212" hidden="1">
      <c r="F212" s="67"/>
      <c r="G212" s="1"/>
      <c r="H212" s="1"/>
      <c r="I212" s="1"/>
      <c r="J212" s="1"/>
      <c r="K212" s="69"/>
      <c r="L212" s="1"/>
      <c r="M212" s="1"/>
      <c r="N212" s="1"/>
      <c r="O212" s="1"/>
      <c r="P212" s="1"/>
      <c r="Q212" s="1"/>
      <c r="R212" s="1"/>
      <c r="S212" s="44"/>
    </row>
    <row r="213" hidden="1">
      <c r="F213" s="67"/>
      <c r="G213" s="1"/>
      <c r="H213" s="1"/>
      <c r="I213" s="1"/>
      <c r="J213" s="1"/>
      <c r="K213" s="69"/>
      <c r="L213" s="1"/>
      <c r="M213" s="1"/>
      <c r="N213" s="1"/>
      <c r="O213" s="1"/>
      <c r="P213" s="1"/>
      <c r="Q213" s="1"/>
      <c r="R213" s="1"/>
      <c r="S213" s="44"/>
    </row>
    <row r="214" hidden="1">
      <c r="F214" s="67"/>
      <c r="G214" s="1"/>
      <c r="H214" s="1"/>
      <c r="I214" s="1"/>
      <c r="J214" s="1"/>
      <c r="K214" s="69"/>
      <c r="L214" s="1"/>
      <c r="M214" s="1"/>
      <c r="N214" s="1"/>
      <c r="O214" s="1"/>
      <c r="P214" s="1"/>
      <c r="Q214" s="1"/>
      <c r="R214" s="1"/>
      <c r="S214" s="44"/>
    </row>
    <row r="215" hidden="1">
      <c r="F215" s="67"/>
      <c r="G215" s="1"/>
      <c r="H215" s="1"/>
      <c r="I215" s="1"/>
      <c r="J215" s="1"/>
      <c r="K215" s="69"/>
      <c r="L215" s="1"/>
      <c r="M215" s="1"/>
      <c r="N215" s="1"/>
      <c r="O215" s="1"/>
      <c r="P215" s="1"/>
      <c r="Q215" s="1"/>
      <c r="R215" s="1"/>
      <c r="S215" s="44"/>
    </row>
    <row r="216" hidden="1">
      <c r="F216" s="67"/>
      <c r="G216" s="1"/>
      <c r="H216" s="1"/>
      <c r="I216" s="1"/>
      <c r="J216" s="1"/>
      <c r="K216" s="69"/>
      <c r="L216" s="1"/>
      <c r="M216" s="1"/>
      <c r="N216" s="1"/>
      <c r="O216" s="1"/>
      <c r="P216" s="1"/>
      <c r="Q216" s="1"/>
      <c r="R216" s="1"/>
      <c r="S216" s="44"/>
    </row>
    <row r="217" hidden="1">
      <c r="F217" s="67"/>
      <c r="G217" s="1"/>
      <c r="H217" s="1"/>
      <c r="I217" s="1"/>
      <c r="J217" s="1"/>
      <c r="K217" s="69"/>
      <c r="L217" s="1"/>
      <c r="M217" s="1"/>
      <c r="N217" s="1"/>
      <c r="O217" s="1"/>
      <c r="P217" s="1"/>
      <c r="Q217" s="1"/>
      <c r="R217" s="1"/>
      <c r="S217" s="44"/>
    </row>
    <row r="218" hidden="1">
      <c r="F218" s="67"/>
      <c r="G218" s="1"/>
      <c r="H218" s="1"/>
      <c r="I218" s="1"/>
      <c r="J218" s="1"/>
      <c r="K218" s="69"/>
      <c r="L218" s="1"/>
      <c r="M218" s="1"/>
      <c r="N218" s="1"/>
      <c r="O218" s="1"/>
      <c r="P218" s="1"/>
      <c r="Q218" s="1"/>
      <c r="R218" s="1"/>
      <c r="S218" s="44"/>
    </row>
    <row r="219" hidden="1">
      <c r="F219" s="67"/>
      <c r="G219" s="1"/>
      <c r="H219" s="1"/>
      <c r="I219" s="1"/>
      <c r="J219" s="1"/>
      <c r="K219" s="69"/>
      <c r="L219" s="1"/>
      <c r="M219" s="1"/>
      <c r="N219" s="1"/>
      <c r="O219" s="1"/>
      <c r="P219" s="1"/>
      <c r="Q219" s="1"/>
      <c r="R219" s="1"/>
      <c r="S219" s="44"/>
    </row>
    <row r="220" hidden="1">
      <c r="F220" s="67"/>
      <c r="G220" s="1"/>
      <c r="H220" s="1"/>
      <c r="I220" s="1"/>
      <c r="J220" s="1"/>
      <c r="K220" s="69"/>
      <c r="L220" s="1"/>
      <c r="M220" s="1"/>
      <c r="N220" s="1"/>
      <c r="O220" s="1"/>
      <c r="P220" s="1"/>
      <c r="Q220" s="1"/>
      <c r="R220" s="1"/>
      <c r="S220" s="44"/>
    </row>
    <row r="221" hidden="1">
      <c r="F221" s="67"/>
      <c r="G221" s="1"/>
      <c r="H221" s="1"/>
      <c r="I221" s="1"/>
      <c r="J221" s="1"/>
      <c r="K221" s="69"/>
      <c r="L221" s="1"/>
      <c r="M221" s="1"/>
      <c r="N221" s="1"/>
      <c r="O221" s="1"/>
      <c r="P221" s="1"/>
      <c r="Q221" s="1"/>
      <c r="R221" s="1"/>
      <c r="S221" s="44"/>
    </row>
    <row r="222" hidden="1">
      <c r="F222" s="67"/>
      <c r="G222" s="1"/>
      <c r="H222" s="1"/>
      <c r="I222" s="1"/>
      <c r="J222" s="1"/>
      <c r="K222" s="69"/>
      <c r="L222" s="1"/>
      <c r="M222" s="1"/>
      <c r="N222" s="1"/>
      <c r="O222" s="1"/>
      <c r="P222" s="1"/>
      <c r="Q222" s="1"/>
      <c r="R222" s="1"/>
      <c r="S222" s="44"/>
    </row>
    <row r="223" hidden="1">
      <c r="F223" s="67"/>
      <c r="G223" s="1"/>
      <c r="H223" s="1"/>
      <c r="I223" s="1"/>
      <c r="J223" s="1"/>
      <c r="K223" s="69"/>
      <c r="L223" s="1"/>
      <c r="M223" s="1"/>
      <c r="N223" s="1"/>
      <c r="O223" s="1"/>
      <c r="P223" s="1"/>
      <c r="Q223" s="1"/>
      <c r="R223" s="1"/>
      <c r="S223" s="44"/>
    </row>
    <row r="224" hidden="1">
      <c r="F224" s="67"/>
      <c r="G224" s="1"/>
      <c r="H224" s="1"/>
      <c r="I224" s="1"/>
      <c r="J224" s="1"/>
      <c r="K224" s="69"/>
      <c r="L224" s="1"/>
      <c r="M224" s="1"/>
      <c r="N224" s="1"/>
      <c r="O224" s="1"/>
      <c r="P224" s="1"/>
      <c r="Q224" s="1"/>
      <c r="R224" s="1"/>
      <c r="S224" s="44"/>
    </row>
    <row r="225" hidden="1">
      <c r="F225" s="67"/>
      <c r="G225" s="1"/>
      <c r="H225" s="1"/>
      <c r="I225" s="1"/>
      <c r="J225" s="1"/>
      <c r="K225" s="69"/>
      <c r="L225" s="1"/>
      <c r="M225" s="1"/>
      <c r="N225" s="1"/>
      <c r="O225" s="1"/>
      <c r="P225" s="1"/>
      <c r="Q225" s="1"/>
      <c r="R225" s="1"/>
      <c r="S225" s="44"/>
    </row>
    <row r="226" hidden="1">
      <c r="F226" s="67"/>
      <c r="G226" s="1"/>
      <c r="H226" s="1"/>
      <c r="I226" s="1"/>
      <c r="J226" s="1"/>
      <c r="K226" s="69"/>
      <c r="L226" s="1"/>
      <c r="M226" s="1"/>
      <c r="N226" s="1"/>
      <c r="O226" s="1"/>
      <c r="P226" s="1"/>
      <c r="Q226" s="1"/>
      <c r="R226" s="1"/>
      <c r="S226" s="44"/>
    </row>
    <row r="227" hidden="1">
      <c r="F227" s="67"/>
      <c r="G227" s="1"/>
      <c r="H227" s="1"/>
      <c r="I227" s="1"/>
      <c r="J227" s="1"/>
      <c r="K227" s="69"/>
      <c r="L227" s="1"/>
      <c r="M227" s="1"/>
      <c r="N227" s="1"/>
      <c r="O227" s="1"/>
      <c r="P227" s="1"/>
      <c r="Q227" s="1"/>
      <c r="R227" s="1"/>
      <c r="S227" s="44"/>
    </row>
    <row r="228" hidden="1">
      <c r="F228" s="67"/>
      <c r="G228" s="1"/>
      <c r="H228" s="1"/>
      <c r="I228" s="1"/>
      <c r="J228" s="1"/>
      <c r="K228" s="69"/>
      <c r="L228" s="1"/>
      <c r="M228" s="1"/>
      <c r="N228" s="1"/>
      <c r="O228" s="1"/>
      <c r="P228" s="1"/>
      <c r="Q228" s="1"/>
      <c r="R228" s="1"/>
      <c r="S228" s="44"/>
    </row>
    <row r="229" hidden="1">
      <c r="F229" s="67"/>
      <c r="G229" s="1"/>
      <c r="H229" s="1"/>
      <c r="I229" s="1"/>
      <c r="J229" s="1"/>
      <c r="K229" s="69"/>
      <c r="L229" s="1"/>
      <c r="M229" s="1"/>
      <c r="N229" s="1"/>
      <c r="O229" s="1"/>
      <c r="P229" s="1"/>
      <c r="Q229" s="1"/>
      <c r="R229" s="1"/>
      <c r="S229" s="44"/>
    </row>
    <row r="230" hidden="1">
      <c r="F230" s="67"/>
      <c r="G230" s="1"/>
      <c r="H230" s="1"/>
      <c r="I230" s="1"/>
      <c r="J230" s="1"/>
      <c r="K230" s="69"/>
      <c r="L230" s="1"/>
      <c r="M230" s="1"/>
      <c r="N230" s="1"/>
      <c r="O230" s="1"/>
      <c r="P230" s="1"/>
      <c r="Q230" s="1"/>
      <c r="R230" s="1"/>
      <c r="S230" s="44"/>
    </row>
    <row r="231" hidden="1">
      <c r="F231" s="67"/>
      <c r="G231" s="1"/>
      <c r="H231" s="1"/>
      <c r="I231" s="1"/>
      <c r="J231" s="1"/>
      <c r="K231" s="69"/>
      <c r="L231" s="1"/>
      <c r="M231" s="1"/>
      <c r="N231" s="1"/>
      <c r="O231" s="1"/>
      <c r="P231" s="1"/>
      <c r="Q231" s="1"/>
      <c r="R231" s="1"/>
      <c r="S231" s="44"/>
    </row>
    <row r="232" hidden="1">
      <c r="F232" s="67"/>
      <c r="G232" s="1"/>
      <c r="H232" s="1"/>
      <c r="I232" s="1"/>
      <c r="J232" s="1"/>
      <c r="K232" s="69"/>
      <c r="L232" s="1"/>
      <c r="M232" s="1"/>
      <c r="N232" s="1"/>
      <c r="O232" s="1"/>
      <c r="P232" s="1"/>
      <c r="Q232" s="1"/>
      <c r="R232" s="1"/>
      <c r="S232" s="44"/>
    </row>
    <row r="233" hidden="1">
      <c r="F233" s="67"/>
      <c r="G233" s="1"/>
      <c r="H233" s="1"/>
      <c r="I233" s="1"/>
      <c r="J233" s="1"/>
      <c r="K233" s="69"/>
      <c r="L233" s="1"/>
      <c r="M233" s="1"/>
      <c r="N233" s="1"/>
      <c r="O233" s="1"/>
      <c r="P233" s="1"/>
      <c r="Q233" s="1"/>
      <c r="R233" s="1"/>
      <c r="S233" s="44"/>
    </row>
    <row r="234" hidden="1">
      <c r="F234" s="67"/>
      <c r="G234" s="1"/>
      <c r="H234" s="1"/>
      <c r="I234" s="1"/>
      <c r="J234" s="1"/>
      <c r="K234" s="69"/>
      <c r="L234" s="1"/>
      <c r="M234" s="1"/>
      <c r="N234" s="1"/>
      <c r="O234" s="1"/>
      <c r="P234" s="1"/>
      <c r="Q234" s="1"/>
      <c r="R234" s="1"/>
      <c r="S234" s="44"/>
    </row>
    <row r="235" hidden="1">
      <c r="F235" s="67"/>
      <c r="G235" s="1"/>
      <c r="H235" s="1"/>
      <c r="I235" s="1"/>
      <c r="J235" s="1"/>
      <c r="K235" s="69"/>
      <c r="L235" s="1"/>
      <c r="M235" s="1"/>
      <c r="N235" s="1"/>
      <c r="O235" s="1"/>
      <c r="P235" s="1"/>
      <c r="Q235" s="1"/>
      <c r="R235" s="1"/>
      <c r="S235" s="44"/>
    </row>
    <row r="236" hidden="1">
      <c r="F236" s="67"/>
      <c r="G236" s="1"/>
      <c r="H236" s="1"/>
      <c r="I236" s="1"/>
      <c r="J236" s="1"/>
      <c r="K236" s="69"/>
      <c r="L236" s="1"/>
      <c r="M236" s="1"/>
      <c r="N236" s="1"/>
      <c r="O236" s="1"/>
      <c r="P236" s="1"/>
      <c r="Q236" s="1"/>
      <c r="R236" s="1"/>
      <c r="S236" s="44"/>
    </row>
    <row r="237" hidden="1">
      <c r="F237" s="67"/>
      <c r="G237" s="1"/>
      <c r="H237" s="1"/>
      <c r="I237" s="1"/>
      <c r="J237" s="1"/>
      <c r="K237" s="69"/>
      <c r="L237" s="1"/>
      <c r="M237" s="1"/>
      <c r="N237" s="1"/>
      <c r="O237" s="1"/>
      <c r="P237" s="1"/>
      <c r="Q237" s="1"/>
      <c r="R237" s="1"/>
      <c r="S237" s="44"/>
    </row>
    <row r="238" hidden="1">
      <c r="F238" s="67"/>
      <c r="G238" s="1"/>
      <c r="H238" s="1"/>
      <c r="I238" s="1"/>
      <c r="J238" s="1"/>
      <c r="K238" s="69"/>
      <c r="L238" s="1"/>
      <c r="M238" s="1"/>
      <c r="N238" s="1"/>
      <c r="O238" s="1"/>
      <c r="P238" s="1"/>
      <c r="Q238" s="1"/>
      <c r="R238" s="1"/>
      <c r="S238" s="44"/>
    </row>
    <row r="239" hidden="1">
      <c r="F239" s="67"/>
      <c r="G239" s="1"/>
      <c r="H239" s="1"/>
      <c r="I239" s="1"/>
      <c r="J239" s="1"/>
      <c r="K239" s="69"/>
      <c r="L239" s="1"/>
      <c r="M239" s="1"/>
      <c r="N239" s="1"/>
      <c r="O239" s="1"/>
      <c r="P239" s="1"/>
      <c r="Q239" s="1"/>
      <c r="R239" s="1"/>
      <c r="S239" s="44"/>
    </row>
    <row r="240" hidden="1">
      <c r="F240" s="67"/>
      <c r="G240" s="1"/>
      <c r="H240" s="1"/>
      <c r="I240" s="1"/>
      <c r="J240" s="1"/>
      <c r="K240" s="69"/>
      <c r="L240" s="1"/>
      <c r="M240" s="1"/>
      <c r="N240" s="1"/>
      <c r="O240" s="1"/>
      <c r="P240" s="1"/>
      <c r="Q240" s="1"/>
      <c r="R240" s="1"/>
      <c r="S240" s="44"/>
    </row>
    <row r="241" hidden="1">
      <c r="F241" s="67"/>
      <c r="G241" s="1"/>
      <c r="H241" s="1"/>
      <c r="I241" s="1"/>
      <c r="J241" s="1"/>
      <c r="K241" s="69"/>
      <c r="L241" s="1"/>
      <c r="M241" s="1"/>
      <c r="N241" s="1"/>
      <c r="O241" s="1"/>
      <c r="P241" s="1"/>
      <c r="Q241" s="1"/>
      <c r="R241" s="1"/>
      <c r="S241" s="44"/>
    </row>
    <row r="242" hidden="1">
      <c r="F242" s="67"/>
      <c r="G242" s="1"/>
      <c r="H242" s="1"/>
      <c r="I242" s="1"/>
      <c r="J242" s="1"/>
      <c r="K242" s="69"/>
      <c r="L242" s="1"/>
      <c r="M242" s="1"/>
      <c r="N242" s="1"/>
      <c r="O242" s="1"/>
      <c r="P242" s="1"/>
      <c r="Q242" s="1"/>
      <c r="R242" s="1"/>
      <c r="S242" s="44"/>
    </row>
    <row r="243" hidden="1">
      <c r="F243" s="67"/>
      <c r="G243" s="1"/>
      <c r="H243" s="1"/>
      <c r="I243" s="1"/>
      <c r="J243" s="1"/>
      <c r="K243" s="69"/>
      <c r="L243" s="1"/>
      <c r="M243" s="1"/>
      <c r="N243" s="1"/>
      <c r="O243" s="1"/>
      <c r="P243" s="1"/>
      <c r="Q243" s="1"/>
      <c r="R243" s="1"/>
      <c r="S243" s="44"/>
    </row>
    <row r="244" hidden="1">
      <c r="F244" s="67"/>
      <c r="G244" s="1"/>
      <c r="H244" s="1"/>
      <c r="I244" s="1"/>
      <c r="J244" s="1"/>
      <c r="K244" s="69"/>
      <c r="L244" s="1"/>
      <c r="M244" s="1"/>
      <c r="N244" s="1"/>
      <c r="O244" s="1"/>
      <c r="P244" s="1"/>
      <c r="Q244" s="1"/>
      <c r="R244" s="1"/>
      <c r="S244" s="44"/>
    </row>
    <row r="245" hidden="1">
      <c r="F245" s="67"/>
      <c r="G245" s="1"/>
      <c r="H245" s="1"/>
      <c r="I245" s="1"/>
      <c r="J245" s="1"/>
      <c r="K245" s="69"/>
      <c r="L245" s="1"/>
      <c r="M245" s="1"/>
      <c r="N245" s="1"/>
      <c r="O245" s="1"/>
      <c r="P245" s="1"/>
      <c r="Q245" s="1"/>
      <c r="R245" s="1"/>
      <c r="S245" s="44"/>
    </row>
    <row r="246" hidden="1">
      <c r="F246" s="67"/>
      <c r="G246" s="1"/>
      <c r="H246" s="1"/>
      <c r="I246" s="1"/>
      <c r="J246" s="1"/>
      <c r="K246" s="69"/>
      <c r="L246" s="1"/>
      <c r="M246" s="1"/>
      <c r="N246" s="1"/>
      <c r="O246" s="1"/>
      <c r="P246" s="1"/>
      <c r="Q246" s="1"/>
      <c r="R246" s="1"/>
      <c r="S246" s="44"/>
    </row>
    <row r="247" hidden="1">
      <c r="F247" s="67"/>
      <c r="G247" s="1"/>
      <c r="H247" s="1"/>
      <c r="I247" s="1"/>
      <c r="J247" s="1"/>
      <c r="K247" s="69"/>
      <c r="L247" s="1"/>
      <c r="M247" s="1"/>
      <c r="N247" s="1"/>
      <c r="O247" s="1"/>
      <c r="P247" s="1"/>
      <c r="Q247" s="1"/>
      <c r="R247" s="1"/>
      <c r="S247" s="44"/>
    </row>
    <row r="248" hidden="1">
      <c r="F248" s="67"/>
      <c r="G248" s="1"/>
      <c r="H248" s="1"/>
      <c r="I248" s="1"/>
      <c r="J248" s="1"/>
      <c r="K248" s="69"/>
      <c r="L248" s="1"/>
      <c r="M248" s="1"/>
      <c r="N248" s="1"/>
      <c r="O248" s="1"/>
      <c r="P248" s="1"/>
      <c r="Q248" s="1"/>
      <c r="R248" s="1"/>
      <c r="S248" s="44"/>
    </row>
    <row r="249" hidden="1">
      <c r="F249" s="67"/>
      <c r="G249" s="1"/>
      <c r="H249" s="1"/>
      <c r="I249" s="1"/>
      <c r="J249" s="1"/>
      <c r="K249" s="69"/>
      <c r="L249" s="1"/>
      <c r="M249" s="1"/>
      <c r="N249" s="1"/>
      <c r="O249" s="1"/>
      <c r="P249" s="1"/>
      <c r="Q249" s="1"/>
      <c r="R249" s="1"/>
      <c r="S249" s="44"/>
    </row>
    <row r="250" hidden="1">
      <c r="F250" s="67"/>
      <c r="G250" s="1"/>
      <c r="H250" s="1"/>
      <c r="I250" s="1"/>
      <c r="J250" s="1"/>
      <c r="K250" s="69"/>
      <c r="L250" s="1"/>
      <c r="M250" s="1"/>
      <c r="N250" s="1"/>
      <c r="O250" s="1"/>
      <c r="P250" s="1"/>
      <c r="Q250" s="1"/>
      <c r="R250" s="1"/>
      <c r="S250" s="44"/>
    </row>
    <row r="251" hidden="1">
      <c r="F251" s="67"/>
      <c r="G251" s="1"/>
      <c r="H251" s="1"/>
      <c r="I251" s="1"/>
      <c r="J251" s="1"/>
      <c r="K251" s="69"/>
      <c r="L251" s="1"/>
      <c r="M251" s="1"/>
      <c r="N251" s="1"/>
      <c r="O251" s="1"/>
      <c r="P251" s="1"/>
      <c r="Q251" s="1"/>
      <c r="R251" s="1"/>
      <c r="S251" s="44"/>
    </row>
    <row r="252" hidden="1">
      <c r="F252" s="67"/>
      <c r="G252" s="1"/>
      <c r="H252" s="1"/>
      <c r="I252" s="1"/>
      <c r="J252" s="1"/>
      <c r="K252" s="69"/>
      <c r="L252" s="1"/>
      <c r="M252" s="1"/>
      <c r="N252" s="1"/>
      <c r="O252" s="1"/>
      <c r="P252" s="1"/>
      <c r="Q252" s="1"/>
      <c r="R252" s="1"/>
      <c r="S252" s="44"/>
    </row>
    <row r="253" hidden="1">
      <c r="F253" s="67"/>
      <c r="G253" s="1"/>
      <c r="H253" s="1"/>
      <c r="I253" s="1"/>
      <c r="J253" s="1"/>
      <c r="K253" s="69"/>
      <c r="L253" s="1"/>
      <c r="M253" s="1"/>
      <c r="N253" s="1"/>
      <c r="O253" s="1"/>
      <c r="P253" s="1"/>
      <c r="Q253" s="1"/>
      <c r="R253" s="1"/>
      <c r="S253" s="44"/>
    </row>
    <row r="254" hidden="1">
      <c r="F254" s="67"/>
      <c r="G254" s="1"/>
      <c r="H254" s="1"/>
      <c r="I254" s="1"/>
      <c r="J254" s="1"/>
      <c r="K254" s="69"/>
      <c r="L254" s="1"/>
      <c r="M254" s="1"/>
      <c r="N254" s="1"/>
      <c r="O254" s="1"/>
      <c r="P254" s="1"/>
      <c r="Q254" s="1"/>
      <c r="R254" s="1"/>
      <c r="S254" s="44"/>
    </row>
    <row r="255" hidden="1">
      <c r="F255" s="67"/>
      <c r="G255" s="1"/>
      <c r="H255" s="1"/>
      <c r="I255" s="1"/>
      <c r="J255" s="1"/>
      <c r="K255" s="69"/>
      <c r="L255" s="1"/>
      <c r="M255" s="1"/>
      <c r="N255" s="1"/>
      <c r="O255" s="1"/>
      <c r="P255" s="1"/>
      <c r="Q255" s="1"/>
      <c r="R255" s="1"/>
      <c r="S255" s="44"/>
    </row>
    <row r="256" hidden="1">
      <c r="F256" s="67"/>
      <c r="G256" s="1"/>
      <c r="H256" s="1"/>
      <c r="I256" s="1"/>
      <c r="J256" s="1"/>
      <c r="K256" s="69"/>
      <c r="L256" s="1"/>
      <c r="M256" s="1"/>
      <c r="N256" s="1"/>
      <c r="O256" s="1"/>
      <c r="P256" s="1"/>
      <c r="Q256" s="1"/>
      <c r="R256" s="1"/>
      <c r="S256" s="44"/>
    </row>
    <row r="257" hidden="1">
      <c r="F257" s="67"/>
      <c r="G257" s="1"/>
      <c r="H257" s="1"/>
      <c r="I257" s="1"/>
      <c r="J257" s="1"/>
      <c r="K257" s="69"/>
      <c r="L257" s="1"/>
      <c r="M257" s="1"/>
      <c r="N257" s="1"/>
      <c r="O257" s="1"/>
      <c r="P257" s="1"/>
      <c r="Q257" s="1"/>
      <c r="R257" s="1"/>
      <c r="S257" s="44"/>
    </row>
    <row r="258" hidden="1">
      <c r="F258" s="67"/>
      <c r="G258" s="1"/>
      <c r="H258" s="1"/>
      <c r="I258" s="1"/>
      <c r="J258" s="1"/>
      <c r="K258" s="69"/>
      <c r="L258" s="1"/>
      <c r="M258" s="1"/>
      <c r="N258" s="1"/>
      <c r="O258" s="1"/>
      <c r="P258" s="1"/>
      <c r="Q258" s="1"/>
      <c r="R258" s="1"/>
      <c r="S258" s="44"/>
    </row>
    <row r="259" hidden="1">
      <c r="F259" s="67"/>
      <c r="G259" s="1"/>
      <c r="H259" s="1"/>
      <c r="I259" s="1"/>
      <c r="J259" s="1"/>
      <c r="K259" s="69"/>
      <c r="L259" s="1"/>
      <c r="M259" s="1"/>
      <c r="N259" s="1"/>
      <c r="O259" s="1"/>
      <c r="P259" s="1"/>
      <c r="Q259" s="1"/>
      <c r="R259" s="1"/>
      <c r="S259" s="44"/>
    </row>
    <row r="260" hidden="1">
      <c r="F260" s="67"/>
      <c r="G260" s="1"/>
      <c r="H260" s="1"/>
      <c r="I260" s="1"/>
      <c r="J260" s="1"/>
      <c r="K260" s="69"/>
      <c r="L260" s="1"/>
      <c r="M260" s="1"/>
      <c r="N260" s="1"/>
      <c r="O260" s="1"/>
      <c r="P260" s="1"/>
      <c r="Q260" s="1"/>
      <c r="R260" s="1"/>
      <c r="S260" s="44"/>
    </row>
    <row r="261" hidden="1">
      <c r="F261" s="67"/>
      <c r="G261" s="1"/>
      <c r="H261" s="1"/>
      <c r="I261" s="1"/>
      <c r="J261" s="1"/>
      <c r="K261" s="69"/>
      <c r="L261" s="1"/>
      <c r="M261" s="1"/>
      <c r="N261" s="1"/>
      <c r="O261" s="1"/>
      <c r="P261" s="1"/>
      <c r="Q261" s="1"/>
      <c r="R261" s="1"/>
      <c r="S261" s="44"/>
    </row>
    <row r="262" hidden="1">
      <c r="F262" s="67"/>
      <c r="G262" s="1"/>
      <c r="H262" s="1"/>
      <c r="I262" s="1"/>
      <c r="J262" s="1"/>
      <c r="K262" s="69"/>
      <c r="L262" s="1"/>
      <c r="M262" s="1"/>
      <c r="N262" s="1"/>
      <c r="O262" s="1"/>
      <c r="P262" s="1"/>
      <c r="Q262" s="1"/>
      <c r="R262" s="1"/>
      <c r="S262" s="44"/>
    </row>
    <row r="263" hidden="1">
      <c r="F263" s="67"/>
      <c r="G263" s="1"/>
      <c r="H263" s="1"/>
      <c r="I263" s="1"/>
      <c r="J263" s="1"/>
      <c r="K263" s="69"/>
      <c r="L263" s="1"/>
      <c r="M263" s="1"/>
      <c r="N263" s="1"/>
      <c r="O263" s="1"/>
      <c r="P263" s="1"/>
      <c r="Q263" s="1"/>
      <c r="R263" s="1"/>
      <c r="S263" s="44"/>
    </row>
    <row r="264" ht="15" hidden="1">
      <c r="F264" s="73"/>
      <c r="G264" s="74"/>
      <c r="H264" s="74"/>
      <c r="I264" s="74"/>
      <c r="J264" s="74"/>
      <c r="K264" s="75"/>
      <c r="L264" s="1"/>
      <c r="M264" s="1"/>
      <c r="N264" s="1"/>
      <c r="O264" s="1"/>
      <c r="P264" s="1"/>
      <c r="Q264" s="1"/>
      <c r="R264" s="1"/>
      <c r="S264" s="44"/>
    </row>
    <row r="265" hidden="1"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44"/>
    </row>
    <row r="266" hidden="1"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44"/>
    </row>
    <row r="267" hidden="1"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44"/>
    </row>
    <row r="268" hidden="1"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44"/>
    </row>
    <row r="269" hidden="1"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44"/>
    </row>
    <row r="270" hidden="1"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44"/>
    </row>
    <row r="271" hidden="1"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44"/>
    </row>
    <row r="272" hidden="1"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44"/>
    </row>
    <row r="273" hidden="1"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44"/>
    </row>
    <row r="274" hidden="1"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44"/>
    </row>
    <row r="275" hidden="1"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44"/>
    </row>
    <row r="276" hidden="1"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44"/>
    </row>
    <row r="277" hidden="1"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44"/>
    </row>
    <row r="278" hidden="1"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44"/>
    </row>
    <row r="279" hidden="1"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44"/>
    </row>
    <row r="280" hidden="1"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44"/>
    </row>
    <row r="281" hidden="1"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44"/>
    </row>
    <row r="282" hidden="1"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44"/>
    </row>
    <row r="283" hidden="1"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44"/>
    </row>
    <row r="284" hidden="1"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44"/>
    </row>
    <row r="285" hidden="1"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44"/>
    </row>
    <row r="286" hidden="1"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44"/>
    </row>
    <row r="287" hidden="1"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44"/>
    </row>
    <row r="288" hidden="1"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44"/>
    </row>
    <row r="289" hidden="1"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44"/>
    </row>
    <row r="290" hidden="1"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44"/>
    </row>
    <row r="291" hidden="1"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44"/>
    </row>
    <row r="292" hidden="1"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44"/>
    </row>
    <row r="293" hidden="1"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44"/>
    </row>
    <row r="294" hidden="1"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44"/>
    </row>
    <row r="295" hidden="1"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44"/>
    </row>
    <row r="296" hidden="1"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44"/>
    </row>
    <row r="297" hidden="1"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44"/>
    </row>
    <row r="298" hidden="1"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44"/>
    </row>
    <row r="299" hidden="1"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44"/>
    </row>
    <row r="300" hidden="1"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44"/>
    </row>
    <row r="301" hidden="1"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44"/>
    </row>
    <row r="302" hidden="1"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44"/>
    </row>
    <row r="303" hidden="1"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44"/>
    </row>
    <row r="304" hidden="1"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44"/>
    </row>
    <row r="305" hidden="1"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44"/>
    </row>
    <row r="306" hidden="1"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44"/>
    </row>
    <row r="307" hidden="1"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44"/>
    </row>
    <row r="308" hidden="1"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44"/>
    </row>
    <row r="309" hidden="1"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44"/>
    </row>
    <row r="310" hidden="1"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44"/>
    </row>
    <row r="311" hidden="1"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44"/>
    </row>
    <row r="312" hidden="1"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44"/>
    </row>
    <row r="313" hidden="1"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44"/>
    </row>
    <row r="314" hidden="1"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44"/>
    </row>
    <row r="315" hidden="1"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hidden="1"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hidden="1"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hidden="1"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</row>
    <row r="319" hidden="1"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</row>
    <row r="320" hidden="1"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</row>
    <row r="321" hidden="1"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</row>
    <row r="322" hidden="1"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</row>
    <row r="323" hidden="1"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</row>
    <row r="324" hidden="1"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</row>
    <row r="325" hidden="1"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</row>
    <row r="326" hidden="1"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</row>
    <row r="327" hidden="1"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</row>
    <row r="328" hidden="1"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</row>
    <row r="329" hidden="1"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</row>
    <row r="330" hidden="1"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</row>
    <row r="331" hidden="1"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</row>
    <row r="332" hidden="1"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</row>
    <row r="333" hidden="1"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</row>
    <row r="334" hidden="1"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</row>
    <row r="335" hidden="1"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</row>
    <row r="336" hidden="1"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</row>
    <row r="337" hidden="1"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</row>
    <row r="338" hidden="1"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</row>
    <row r="339" hidden="1"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</row>
    <row r="340" hidden="1"/>
    <row r="341" hidden="1"/>
    <row r="342" hidden="1"/>
    <row r="343" hidden="1"/>
  </sheetData>
  <mergeCells count="8">
    <mergeCell ref="F7:K7"/>
    <mergeCell ref="L7:R7"/>
    <mergeCell ref="C1:E4"/>
    <mergeCell ref="B1:B4"/>
    <mergeCell ref="F1:G1"/>
    <mergeCell ref="F2:G2"/>
    <mergeCell ref="F3:G3"/>
    <mergeCell ref="F4:G4"/>
  </mergeCells>
  <hyperlinks>
    <hyperlink r:id="rId1" ref="D9"/>
    <hyperlink r:id="rId2" ref="D10"/>
    <hyperlink r:id="rId3" ref="D13"/>
    <hyperlink r:id="rId4" ref="D14"/>
    <hyperlink r:id="rId5" ref="D15"/>
    <hyperlink r:id="rId6" ref="D16"/>
    <hyperlink r:id="rId7" ref="D18"/>
    <hyperlink r:id="rId8" ref="D21"/>
    <hyperlink r:id="rId9" ref="D32"/>
    <hyperlink r:id="rId10" ref="D34"/>
  </hyperlinks>
  <printOptions headings="0" gridLines="0"/>
  <pageMargins left="0.69999999999999996" right="0.69999999999999996" top="0.75" bottom="0.75" header="0.29999999999999999" footer="0.29999999999999999"/>
  <pageSetup paperSize="8" scale="43" fitToWidth="1" fitToHeight="0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2" zoomScale="90" workbookViewId="0">
      <selection activeCell="G26" activeCellId="0" sqref="G26"/>
    </sheetView>
  </sheetViews>
  <sheetFormatPr defaultRowHeight="14.4"/>
  <cols>
    <col bestFit="1" customWidth="1" min="2" max="2" width="51"/>
    <col bestFit="1" customWidth="1" min="3" max="3" style="1" width="27.44140625"/>
    <col customWidth="1" min="4" max="4" style="1" width="61.33203125"/>
    <col customWidth="1" min="5" max="5" style="1" width="15.109375"/>
    <col customWidth="1" min="6" max="6" width="13.88671875"/>
    <col customWidth="1" min="7" max="7" width="22.6640625"/>
    <col customWidth="1" min="8" max="8" width="12.109375"/>
    <col customWidth="1" min="9" max="9" width="12.5546875"/>
    <col customWidth="1" min="10" max="10" width="11.5546875"/>
    <col customWidth="1" min="11" max="11" width="13.6640625"/>
    <col bestFit="1" customWidth="1" min="12" max="12" width="20.33203125"/>
    <col customWidth="1" min="13" max="13" width="13.33203125"/>
    <col bestFit="1" customWidth="1" min="14" max="14" width="20.33203125"/>
    <col customWidth="1" min="15" max="15" width="27.5546875"/>
    <col customWidth="1" min="16" max="16" width="42.44140625"/>
    <col customWidth="1" min="17" max="17" width="20.5546875"/>
    <col customWidth="1" min="18" max="18" width="14.44140625"/>
    <col customWidth="1" min="19" max="19" width="15.6640625"/>
    <col customWidth="1" min="20" max="20" width="18.44140625"/>
    <col customWidth="1" min="21" max="21" width="15"/>
    <col customWidth="1" min="22" max="22" width="16.109375"/>
    <col customWidth="1" min="23" max="23" width="11.109375"/>
    <col min="24" max="24" style="1" width="9.109375"/>
  </cols>
  <sheetData>
    <row r="1" ht="15" customHeight="1">
      <c r="B1" s="76" t="s">
        <v>2</v>
      </c>
      <c r="C1" s="77" t="s">
        <v>137</v>
      </c>
      <c r="D1" s="77"/>
      <c r="E1" s="77"/>
      <c r="F1" s="9" t="s">
        <v>138</v>
      </c>
      <c r="G1" s="10"/>
      <c r="I1" s="15">
        <v>4</v>
      </c>
      <c r="J1" s="16" t="s">
        <v>3</v>
      </c>
      <c r="Q1" s="79" t="s">
        <v>139</v>
      </c>
      <c r="R1" s="80"/>
      <c r="S1" s="80"/>
      <c r="T1" s="80"/>
      <c r="U1" s="80"/>
      <c r="V1" s="80"/>
      <c r="W1" s="80"/>
      <c r="X1" s="81"/>
    </row>
    <row r="2" ht="15.75" customHeight="1">
      <c r="B2" s="76"/>
      <c r="C2" s="77"/>
      <c r="D2" s="77"/>
      <c r="E2" s="77"/>
      <c r="F2" s="17" t="s">
        <v>136</v>
      </c>
      <c r="G2" s="18"/>
      <c r="I2" s="21">
        <v>3</v>
      </c>
      <c r="J2" s="22" t="s">
        <v>5</v>
      </c>
      <c r="Q2" s="80"/>
      <c r="R2" s="80" t="s">
        <v>140</v>
      </c>
      <c r="S2" s="80"/>
      <c r="T2" s="80"/>
      <c r="U2" s="80"/>
      <c r="V2" s="80"/>
      <c r="W2" s="80"/>
      <c r="X2" s="81"/>
    </row>
    <row r="3">
      <c r="B3" s="76"/>
      <c r="C3" s="77"/>
      <c r="D3" s="77"/>
      <c r="E3" s="77"/>
      <c r="F3" s="17" t="s">
        <v>6</v>
      </c>
      <c r="G3" s="18"/>
      <c r="I3" s="21">
        <v>2</v>
      </c>
      <c r="J3" s="22" t="s">
        <v>7</v>
      </c>
      <c r="Q3" s="80"/>
      <c r="R3" s="80" t="s">
        <v>141</v>
      </c>
      <c r="S3" s="80"/>
      <c r="T3" s="80"/>
      <c r="U3" s="80"/>
      <c r="V3" s="80"/>
      <c r="W3" s="80"/>
      <c r="X3" s="81"/>
    </row>
    <row r="4" ht="15" customHeight="1">
      <c r="B4" s="76"/>
      <c r="C4" s="77"/>
      <c r="D4" s="77"/>
      <c r="E4" s="77"/>
      <c r="F4" s="25" t="s">
        <v>8</v>
      </c>
      <c r="G4" s="26"/>
      <c r="I4" s="27">
        <v>1</v>
      </c>
      <c r="J4" s="28" t="s">
        <v>9</v>
      </c>
      <c r="Q4" s="80"/>
      <c r="R4" s="80" t="s">
        <v>142</v>
      </c>
      <c r="S4" s="80"/>
      <c r="T4" s="80"/>
      <c r="U4" s="80"/>
      <c r="V4" s="80"/>
      <c r="W4" s="80"/>
      <c r="X4" s="81"/>
    </row>
    <row r="5" ht="15" customHeight="1">
      <c r="D5" s="78"/>
      <c r="E5" s="78"/>
      <c r="Q5" s="80"/>
      <c r="R5" s="80" t="s">
        <v>143</v>
      </c>
      <c r="S5" s="80"/>
      <c r="T5" s="80"/>
      <c r="U5" s="80"/>
      <c r="V5" s="80"/>
      <c r="W5" s="80"/>
      <c r="X5" s="81"/>
    </row>
    <row r="6" ht="15" customHeight="1">
      <c r="D6" s="78"/>
      <c r="E6" s="78"/>
      <c r="Q6" s="80"/>
      <c r="R6" s="80" t="s">
        <v>144</v>
      </c>
      <c r="S6" s="80"/>
      <c r="T6" s="80"/>
      <c r="U6" s="80"/>
      <c r="V6" s="80"/>
      <c r="W6" s="80"/>
      <c r="X6" s="81"/>
    </row>
    <row r="7" ht="15" customHeight="1">
      <c r="D7" s="78"/>
      <c r="E7" s="78"/>
      <c r="Q7" s="80"/>
      <c r="R7" s="79" t="s">
        <v>145</v>
      </c>
      <c r="S7" s="82" t="s">
        <v>146</v>
      </c>
      <c r="T7" s="82" t="s">
        <v>147</v>
      </c>
      <c r="U7" s="80"/>
      <c r="V7" s="80"/>
      <c r="W7" s="80"/>
      <c r="X7" s="81"/>
    </row>
    <row r="8" ht="15" customHeight="1">
      <c r="D8" s="78"/>
      <c r="E8" s="78"/>
      <c r="Q8" s="80"/>
      <c r="R8" s="80"/>
      <c r="S8" s="83" t="s">
        <v>148</v>
      </c>
      <c r="T8" s="83" t="s">
        <v>149</v>
      </c>
      <c r="U8" s="80"/>
      <c r="V8" s="80"/>
      <c r="W8" s="80"/>
      <c r="X8" s="81"/>
    </row>
    <row r="9" ht="15" customHeight="1">
      <c r="D9" s="78"/>
      <c r="E9" s="78"/>
      <c r="Q9" s="80"/>
      <c r="R9" s="80"/>
      <c r="S9" s="84" t="s">
        <v>150</v>
      </c>
      <c r="T9" s="84" t="s">
        <v>151</v>
      </c>
      <c r="U9" s="80"/>
      <c r="V9" s="80"/>
      <c r="W9" s="80"/>
      <c r="X9" s="81"/>
    </row>
    <row r="10" s="12" customFormat="1" ht="15">
      <c r="S10" s="80"/>
      <c r="T10" s="80"/>
      <c r="U10" s="84"/>
      <c r="V10" s="84"/>
      <c r="W10" s="80"/>
      <c r="X10" s="81"/>
      <c r="Y10" s="80"/>
      <c r="Z10" s="80"/>
    </row>
    <row r="11" s="12" customFormat="1">
      <c r="F11" s="31" t="s">
        <v>152</v>
      </c>
      <c r="G11" s="32"/>
      <c r="H11" s="32"/>
      <c r="I11" s="32"/>
      <c r="J11" s="32"/>
      <c r="K11" s="33"/>
      <c r="L11" s="34" t="s">
        <v>12</v>
      </c>
      <c r="M11" s="34"/>
      <c r="N11" s="34"/>
      <c r="O11" s="34"/>
      <c r="P11" s="34"/>
      <c r="Q11" s="34"/>
      <c r="R11" s="35"/>
      <c r="S11" s="85" t="s">
        <v>153</v>
      </c>
      <c r="T11" s="86"/>
      <c r="U11" s="86"/>
      <c r="V11" s="86"/>
      <c r="W11" s="86"/>
      <c r="X11" s="86"/>
    </row>
    <row r="12" s="36" customFormat="1" ht="75.75" customHeight="1">
      <c r="B12" s="37" t="s">
        <v>13</v>
      </c>
      <c r="C12" s="38" t="s">
        <v>14</v>
      </c>
      <c r="D12" s="38" t="s">
        <v>15</v>
      </c>
      <c r="E12" s="38" t="s">
        <v>16</v>
      </c>
      <c r="F12" s="39" t="s">
        <v>17</v>
      </c>
      <c r="G12" s="38" t="s">
        <v>154</v>
      </c>
      <c r="H12" s="38" t="s">
        <v>19</v>
      </c>
      <c r="I12" s="38" t="s">
        <v>20</v>
      </c>
      <c r="J12" s="38" t="s">
        <v>21</v>
      </c>
      <c r="K12" s="40" t="s">
        <v>22</v>
      </c>
      <c r="L12" s="41" t="s">
        <v>29</v>
      </c>
      <c r="M12" s="41" t="s">
        <v>30</v>
      </c>
      <c r="N12" s="41" t="s">
        <v>31</v>
      </c>
      <c r="O12" s="41" t="s">
        <v>32</v>
      </c>
      <c r="P12" s="41" t="s">
        <v>33</v>
      </c>
      <c r="Q12" s="42" t="s">
        <v>34</v>
      </c>
      <c r="R12" s="43" t="s">
        <v>35</v>
      </c>
      <c r="S12" s="87" t="s">
        <v>155</v>
      </c>
      <c r="T12" s="87" t="s">
        <v>156</v>
      </c>
      <c r="U12" s="87" t="s">
        <v>157</v>
      </c>
      <c r="V12" s="87" t="s">
        <v>158</v>
      </c>
      <c r="W12" s="87" t="s">
        <v>159</v>
      </c>
      <c r="X12" s="88" t="s">
        <v>160</v>
      </c>
    </row>
    <row r="13" ht="19.949999999999999" customHeight="1">
      <c r="B13" s="44" t="s">
        <v>36</v>
      </c>
      <c r="C13" s="45" t="s">
        <v>161</v>
      </c>
      <c r="D13" s="46" t="s">
        <v>38</v>
      </c>
      <c r="E13" s="46"/>
      <c r="F13" s="48">
        <v>0</v>
      </c>
      <c r="G13" s="45"/>
      <c r="H13" s="45"/>
      <c r="I13" s="45"/>
      <c r="J13" s="45"/>
      <c r="K13" s="49"/>
      <c r="L13" s="45"/>
      <c r="M13" s="45"/>
      <c r="N13" s="45"/>
      <c r="O13" s="45"/>
      <c r="P13" s="45"/>
      <c r="Q13" s="89"/>
      <c r="R13" s="45"/>
      <c r="S13" s="45"/>
      <c r="T13" s="45"/>
      <c r="U13" s="45"/>
      <c r="V13" s="45"/>
      <c r="W13" s="45"/>
    </row>
    <row r="14" ht="19.949999999999999" customHeight="1">
      <c r="B14" s="44" t="s">
        <v>36</v>
      </c>
      <c r="C14" s="45" t="s">
        <v>162</v>
      </c>
      <c r="D14" s="46" t="s">
        <v>38</v>
      </c>
      <c r="E14" s="90"/>
      <c r="F14" s="48"/>
      <c r="G14" s="45"/>
      <c r="H14" s="45"/>
      <c r="I14" s="45"/>
      <c r="J14" s="45"/>
      <c r="K14" s="49"/>
      <c r="L14" s="45"/>
      <c r="M14" s="45"/>
      <c r="N14" s="45"/>
      <c r="O14" s="45"/>
      <c r="P14" s="45"/>
      <c r="Q14" s="89"/>
      <c r="R14" s="45"/>
      <c r="S14" s="45"/>
      <c r="T14" s="45"/>
      <c r="U14" s="45"/>
      <c r="V14" s="45"/>
      <c r="W14" s="45"/>
    </row>
    <row r="15" s="45" customFormat="1" ht="20.25" customHeight="1">
      <c r="B15" s="52" t="s">
        <v>41</v>
      </c>
      <c r="C15" s="45" t="s">
        <v>161</v>
      </c>
      <c r="D15" s="46" t="s">
        <v>42</v>
      </c>
      <c r="E15" s="53" t="s">
        <v>43</v>
      </c>
      <c r="F15" s="48">
        <v>0</v>
      </c>
      <c r="K15" s="49"/>
      <c r="O15" s="47"/>
      <c r="P15" s="54"/>
      <c r="Q15" s="47"/>
    </row>
    <row r="16" s="45" customFormat="1" ht="20.25" customHeight="1">
      <c r="B16" s="52" t="s">
        <v>41</v>
      </c>
      <c r="C16" s="45" t="s">
        <v>162</v>
      </c>
      <c r="D16" s="46" t="s">
        <v>42</v>
      </c>
      <c r="E16" s="53" t="s">
        <v>43</v>
      </c>
      <c r="F16" s="48"/>
      <c r="K16" s="49"/>
      <c r="O16" s="47"/>
      <c r="P16" s="54"/>
      <c r="Q16" s="47"/>
    </row>
    <row r="17" s="45" customFormat="1">
      <c r="B17" s="52" t="s">
        <v>45</v>
      </c>
      <c r="C17" s="45" t="s">
        <v>161</v>
      </c>
      <c r="D17" s="55" t="s">
        <v>47</v>
      </c>
      <c r="E17" s="56">
        <v>3285363451</v>
      </c>
      <c r="F17" s="48">
        <v>0</v>
      </c>
      <c r="K17" s="49"/>
    </row>
    <row r="18" s="45" customFormat="1">
      <c r="B18" s="52" t="s">
        <v>45</v>
      </c>
      <c r="C18" s="45" t="s">
        <v>162</v>
      </c>
      <c r="D18" s="55" t="s">
        <v>47</v>
      </c>
      <c r="E18" s="56">
        <v>3285363451</v>
      </c>
      <c r="F18" s="48"/>
      <c r="K18" s="49"/>
    </row>
    <row r="19" s="45" customFormat="1" ht="22.949999999999999" customHeight="1">
      <c r="B19" s="52" t="s">
        <v>163</v>
      </c>
      <c r="C19" s="45" t="s">
        <v>161</v>
      </c>
      <c r="D19" s="90" t="s">
        <v>164</v>
      </c>
      <c r="E19" s="91" t="s">
        <v>165</v>
      </c>
      <c r="F19" s="48">
        <v>0</v>
      </c>
      <c r="G19" s="45">
        <v>3</v>
      </c>
      <c r="H19" s="45" t="s">
        <v>39</v>
      </c>
      <c r="I19" s="45">
        <v>3</v>
      </c>
      <c r="J19" s="45" t="s">
        <v>40</v>
      </c>
      <c r="K19" s="49">
        <v>45246</v>
      </c>
      <c r="N19" s="58" t="s">
        <v>166</v>
      </c>
      <c r="P19" s="63" t="s">
        <v>167</v>
      </c>
      <c r="S19" s="45">
        <v>3</v>
      </c>
      <c r="T19" s="45">
        <v>3</v>
      </c>
      <c r="U19" s="45">
        <v>3</v>
      </c>
      <c r="V19" s="45">
        <v>3</v>
      </c>
      <c r="W19" s="45">
        <v>1</v>
      </c>
      <c r="X19" s="45">
        <f>SUBTOTAL(9,Tabella224[[#This Row],[Evidenze storiche di contraffazione o adulterazione]:[Tipologia della materia prima]])</f>
        <v>13</v>
      </c>
    </row>
    <row r="20" s="45" customFormat="1" ht="25.949999999999999" customHeight="1">
      <c r="B20" s="52" t="s">
        <v>163</v>
      </c>
      <c r="C20" s="45" t="s">
        <v>162</v>
      </c>
      <c r="D20" s="46" t="s">
        <v>164</v>
      </c>
      <c r="E20" s="92" t="s">
        <v>165</v>
      </c>
      <c r="F20" s="48">
        <v>0</v>
      </c>
      <c r="G20" s="45">
        <v>3</v>
      </c>
      <c r="H20" s="45" t="s">
        <v>39</v>
      </c>
      <c r="I20" s="45">
        <v>3</v>
      </c>
      <c r="J20" s="45" t="s">
        <v>40</v>
      </c>
      <c r="K20" s="49">
        <v>45246</v>
      </c>
      <c r="N20" s="58" t="s">
        <v>166</v>
      </c>
      <c r="P20" s="63" t="s">
        <v>167</v>
      </c>
      <c r="Q20" s="45" t="s">
        <v>168</v>
      </c>
      <c r="S20" s="45">
        <v>2</v>
      </c>
      <c r="T20" s="45">
        <v>2</v>
      </c>
      <c r="U20" s="45">
        <v>3</v>
      </c>
      <c r="V20" s="45">
        <v>3</v>
      </c>
      <c r="W20" s="45">
        <v>1</v>
      </c>
      <c r="X20" s="45">
        <f>SUBTOTAL(9,Tabella224[[#This Row],[Evidenze storiche di contraffazione o adulterazione]:[Tipologia della materia prima]])</f>
        <v>11</v>
      </c>
    </row>
    <row r="21" ht="25.949999999999999" customHeight="1">
      <c r="B21" s="52" t="s">
        <v>48</v>
      </c>
      <c r="C21" s="45" t="s">
        <v>161</v>
      </c>
      <c r="D21" s="46" t="s">
        <v>49</v>
      </c>
      <c r="E21" s="57" t="s">
        <v>50</v>
      </c>
      <c r="F21" s="48">
        <v>0</v>
      </c>
      <c r="G21" s="45">
        <v>3</v>
      </c>
      <c r="H21" s="45" t="s">
        <v>39</v>
      </c>
      <c r="I21" s="45">
        <v>3</v>
      </c>
      <c r="J21" s="45" t="s">
        <v>40</v>
      </c>
      <c r="K21" s="49">
        <v>45219</v>
      </c>
      <c r="L21" s="47" t="s">
        <v>169</v>
      </c>
      <c r="M21" s="45"/>
      <c r="N21" s="58" t="s">
        <v>170</v>
      </c>
      <c r="O21" s="47"/>
      <c r="P21" s="55" t="s">
        <v>171</v>
      </c>
      <c r="Q21" s="47"/>
      <c r="R21" s="45"/>
      <c r="S21" s="45">
        <v>3</v>
      </c>
      <c r="T21" s="45">
        <v>3</v>
      </c>
      <c r="U21" s="45">
        <v>3</v>
      </c>
      <c r="V21" s="45">
        <v>3</v>
      </c>
      <c r="W21" s="45">
        <v>1</v>
      </c>
      <c r="X21" s="45">
        <f>SUBTOTAL(9,Tabella224[[#This Row],[Evidenze storiche di contraffazione o adulterazione]:[Tipologia della materia prima]])</f>
        <v>13</v>
      </c>
    </row>
    <row r="22" ht="25.949999999999999" customHeight="1">
      <c r="B22" s="52" t="s">
        <v>48</v>
      </c>
      <c r="C22" s="45" t="s">
        <v>162</v>
      </c>
      <c r="D22" s="46" t="s">
        <v>49</v>
      </c>
      <c r="E22" s="57" t="s">
        <v>50</v>
      </c>
      <c r="F22" s="48">
        <v>0</v>
      </c>
      <c r="G22" s="45">
        <v>3</v>
      </c>
      <c r="H22" s="45" t="s">
        <v>39</v>
      </c>
      <c r="I22" s="45">
        <v>3</v>
      </c>
      <c r="J22" s="45" t="s">
        <v>40</v>
      </c>
      <c r="K22" s="49">
        <v>45219</v>
      </c>
      <c r="L22" s="47" t="s">
        <v>169</v>
      </c>
      <c r="M22" s="45"/>
      <c r="N22" s="58" t="s">
        <v>170</v>
      </c>
      <c r="O22" s="47"/>
      <c r="P22" s="55" t="s">
        <v>171</v>
      </c>
      <c r="Q22" s="47" t="s">
        <v>172</v>
      </c>
      <c r="R22" s="45"/>
      <c r="S22" s="45">
        <v>2</v>
      </c>
      <c r="T22" s="45">
        <v>2</v>
      </c>
      <c r="U22" s="45">
        <v>3</v>
      </c>
      <c r="V22" s="45">
        <v>3</v>
      </c>
      <c r="W22" s="45">
        <v>1</v>
      </c>
      <c r="X22" s="45">
        <f>SUBTOTAL(9,Tabella224[[#This Row],[Evidenze storiche di contraffazione o adulterazione]:[Tipologia della materia prima]])</f>
        <v>11</v>
      </c>
    </row>
    <row r="23" ht="19.949999999999999" customHeight="1">
      <c r="B23" s="44" t="s">
        <v>53</v>
      </c>
      <c r="C23" s="45" t="s">
        <v>161</v>
      </c>
      <c r="D23" s="46" t="s">
        <v>54</v>
      </c>
      <c r="E23" s="53">
        <v>3467458611</v>
      </c>
      <c r="F23" s="48">
        <v>0</v>
      </c>
      <c r="G23" s="45">
        <v>3</v>
      </c>
      <c r="H23" s="45" t="s">
        <v>39</v>
      </c>
      <c r="I23" s="45">
        <v>3</v>
      </c>
      <c r="J23" s="45" t="s">
        <v>40</v>
      </c>
      <c r="K23" s="49">
        <v>45225</v>
      </c>
      <c r="L23" s="45"/>
      <c r="M23" s="45"/>
      <c r="N23" s="45"/>
      <c r="O23" s="45"/>
      <c r="P23" s="45"/>
      <c r="Q23" s="47"/>
      <c r="R23" s="45"/>
      <c r="S23" s="45">
        <v>3</v>
      </c>
      <c r="T23" s="45">
        <v>3</v>
      </c>
      <c r="U23" s="45">
        <v>2</v>
      </c>
      <c r="V23" s="45">
        <v>2</v>
      </c>
      <c r="W23" s="45">
        <v>3</v>
      </c>
      <c r="X23" s="45">
        <f>SUBTOTAL(9,Tabella224[[#This Row],[Evidenze storiche di contraffazione o adulterazione]:[Tipologia della materia prima]])</f>
        <v>13</v>
      </c>
    </row>
    <row r="24" ht="19.949999999999999" customHeight="1">
      <c r="B24" s="44" t="s">
        <v>53</v>
      </c>
      <c r="C24" s="45" t="s">
        <v>162</v>
      </c>
      <c r="D24" s="46" t="s">
        <v>54</v>
      </c>
      <c r="E24" s="53">
        <v>3467458611</v>
      </c>
      <c r="F24" s="48">
        <v>0</v>
      </c>
      <c r="G24" s="45">
        <v>3</v>
      </c>
      <c r="H24" s="45" t="s">
        <v>39</v>
      </c>
      <c r="I24" s="45">
        <v>3</v>
      </c>
      <c r="J24" s="45" t="s">
        <v>40</v>
      </c>
      <c r="K24" s="49">
        <v>45225</v>
      </c>
      <c r="L24" s="45"/>
      <c r="M24" s="45"/>
      <c r="N24" s="45"/>
      <c r="O24" s="45"/>
      <c r="P24" s="45"/>
      <c r="Q24" s="47" t="s">
        <v>173</v>
      </c>
      <c r="R24" s="45"/>
      <c r="S24" s="45">
        <v>2</v>
      </c>
      <c r="T24" s="45">
        <v>2</v>
      </c>
      <c r="U24" s="45">
        <v>3</v>
      </c>
      <c r="V24" s="45">
        <v>3</v>
      </c>
      <c r="W24" s="45">
        <v>1</v>
      </c>
      <c r="X24" s="45">
        <f>SUBTOTAL(9,Tabella224[[#This Row],[Evidenze storiche di contraffazione o adulterazione]:[Tipologia della materia prima]])</f>
        <v>11</v>
      </c>
    </row>
    <row r="25" s="45" customFormat="1" ht="26.399999999999999" customHeight="1">
      <c r="B25" s="52" t="s">
        <v>55</v>
      </c>
      <c r="C25" s="45" t="s">
        <v>161</v>
      </c>
      <c r="D25" s="46" t="s">
        <v>56</v>
      </c>
      <c r="E25" s="53" t="s">
        <v>57</v>
      </c>
      <c r="F25" s="48"/>
      <c r="H25" s="55"/>
      <c r="I25" s="55"/>
      <c r="K25" s="49"/>
      <c r="L25" s="47"/>
      <c r="N25" s="55"/>
      <c r="O25" s="47"/>
      <c r="P25" s="55"/>
      <c r="Q25" s="47"/>
    </row>
    <row r="26" s="45" customFormat="1" ht="26.399999999999999" customHeight="1">
      <c r="B26" s="52" t="s">
        <v>55</v>
      </c>
      <c r="C26" s="45" t="s">
        <v>162</v>
      </c>
      <c r="D26" s="46" t="s">
        <v>56</v>
      </c>
      <c r="E26" s="53" t="s">
        <v>57</v>
      </c>
      <c r="F26" s="48"/>
      <c r="H26" s="55"/>
      <c r="I26" s="55"/>
      <c r="K26" s="49"/>
      <c r="L26" s="47"/>
      <c r="N26" s="55"/>
      <c r="O26" s="47"/>
      <c r="P26" s="55"/>
      <c r="Q26" s="47"/>
    </row>
    <row r="27" s="45" customFormat="1" ht="19.949999999999999" customHeight="1">
      <c r="B27" s="52" t="s">
        <v>61</v>
      </c>
      <c r="C27" s="45" t="s">
        <v>161</v>
      </c>
      <c r="D27" s="46" t="s">
        <v>174</v>
      </c>
      <c r="E27" s="46"/>
      <c r="F27" s="48"/>
      <c r="K27" s="49"/>
      <c r="O27" s="47"/>
      <c r="Q27" s="47"/>
    </row>
    <row r="28" s="45" customFormat="1" ht="19.949999999999999" customHeight="1">
      <c r="B28" s="52" t="s">
        <v>61</v>
      </c>
      <c r="C28" s="45" t="s">
        <v>162</v>
      </c>
      <c r="D28" s="90"/>
      <c r="E28" s="90"/>
      <c r="F28" s="48"/>
      <c r="K28" s="49"/>
      <c r="O28" s="47"/>
      <c r="Q28" s="47"/>
    </row>
    <row r="29" s="45" customFormat="1" ht="26.399999999999999" customHeight="1">
      <c r="B29" s="52" t="s">
        <v>64</v>
      </c>
      <c r="C29" s="45" t="s">
        <v>162</v>
      </c>
      <c r="D29" s="46" t="s">
        <v>65</v>
      </c>
      <c r="E29" s="93" t="s">
        <v>175</v>
      </c>
      <c r="F29" s="48">
        <v>0</v>
      </c>
      <c r="G29" s="45">
        <v>4</v>
      </c>
      <c r="H29" s="45" t="s">
        <v>39</v>
      </c>
      <c r="I29" s="45">
        <v>4</v>
      </c>
      <c r="J29" s="47" t="s">
        <v>40</v>
      </c>
      <c r="K29" s="49">
        <v>45239</v>
      </c>
      <c r="N29" s="55" t="s">
        <v>176</v>
      </c>
      <c r="O29" s="55" t="s">
        <v>177</v>
      </c>
      <c r="Q29" s="47"/>
      <c r="S29" s="45">
        <v>3</v>
      </c>
      <c r="T29" s="45">
        <v>2</v>
      </c>
      <c r="U29" s="45">
        <v>4</v>
      </c>
      <c r="V29" s="45">
        <v>3</v>
      </c>
      <c r="W29" s="45">
        <v>1</v>
      </c>
      <c r="X29" s="45">
        <f>SUBTOTAL(9,Tabella224[[#This Row],[Evidenze storiche di contraffazione o adulterazione]:[Tipologia della materia prima]])</f>
        <v>13</v>
      </c>
    </row>
    <row r="30" s="45" customFormat="1" ht="26.399999999999999" customHeight="1">
      <c r="B30" s="52" t="s">
        <v>64</v>
      </c>
      <c r="C30" s="45" t="s">
        <v>161</v>
      </c>
      <c r="D30" s="90" t="s">
        <v>65</v>
      </c>
      <c r="E30" s="93" t="s">
        <v>175</v>
      </c>
      <c r="F30" s="48">
        <v>0</v>
      </c>
      <c r="G30" s="45">
        <v>4</v>
      </c>
      <c r="H30" s="45" t="s">
        <v>39</v>
      </c>
      <c r="I30" s="45">
        <v>4</v>
      </c>
      <c r="J30" s="47" t="s">
        <v>40</v>
      </c>
      <c r="K30" s="49">
        <v>45239</v>
      </c>
      <c r="N30" s="55" t="s">
        <v>176</v>
      </c>
      <c r="O30" s="55" t="s">
        <v>177</v>
      </c>
      <c r="Q30" s="47" t="s">
        <v>178</v>
      </c>
      <c r="S30" s="45">
        <v>2</v>
      </c>
      <c r="T30" s="45">
        <v>2</v>
      </c>
      <c r="U30" s="45">
        <v>3</v>
      </c>
      <c r="V30" s="45">
        <v>3</v>
      </c>
      <c r="W30" s="45">
        <v>1</v>
      </c>
      <c r="X30" s="45">
        <f>SUBTOTAL(9,Tabella224[[#This Row],[Evidenze storiche di contraffazione o adulterazione]:[Tipologia della materia prima]])</f>
        <v>11</v>
      </c>
    </row>
    <row r="31" s="45" customFormat="1" ht="19.949999999999999" customHeight="1">
      <c r="B31" s="52" t="s">
        <v>72</v>
      </c>
      <c r="C31" s="45" t="s">
        <v>161</v>
      </c>
      <c r="D31" s="45" t="s">
        <v>73</v>
      </c>
      <c r="F31" s="48">
        <v>0</v>
      </c>
      <c r="G31" s="45">
        <v>3</v>
      </c>
      <c r="H31" s="45" t="s">
        <v>39</v>
      </c>
      <c r="I31" s="45">
        <v>3</v>
      </c>
      <c r="J31" s="45" t="s">
        <v>40</v>
      </c>
      <c r="K31" s="49">
        <v>45240</v>
      </c>
      <c r="Q31" s="47"/>
      <c r="S31" s="45">
        <v>3</v>
      </c>
      <c r="T31" s="45">
        <v>3</v>
      </c>
      <c r="U31" s="45">
        <v>3</v>
      </c>
      <c r="V31" s="45">
        <v>3</v>
      </c>
      <c r="W31" s="45">
        <v>1</v>
      </c>
      <c r="X31" s="45">
        <f>SUBTOTAL(9,Tabella224[[#This Row],[Evidenze storiche di contraffazione o adulterazione]:[Tipologia della materia prima]])</f>
        <v>13</v>
      </c>
    </row>
    <row r="32" s="45" customFormat="1" ht="19.949999999999999" customHeight="1">
      <c r="B32" s="52" t="s">
        <v>72</v>
      </c>
      <c r="C32" s="45" t="s">
        <v>162</v>
      </c>
      <c r="D32" s="45" t="s">
        <v>73</v>
      </c>
      <c r="E32" s="1"/>
      <c r="F32" s="48">
        <v>0</v>
      </c>
      <c r="G32" s="45">
        <v>3</v>
      </c>
      <c r="H32" s="45" t="s">
        <v>39</v>
      </c>
      <c r="I32" s="45">
        <v>3</v>
      </c>
      <c r="J32" s="45" t="s">
        <v>40</v>
      </c>
      <c r="K32" s="49">
        <v>45240</v>
      </c>
      <c r="Q32" s="47" t="s">
        <v>179</v>
      </c>
      <c r="S32" s="45">
        <v>2</v>
      </c>
      <c r="T32" s="45">
        <v>2</v>
      </c>
      <c r="U32" s="45">
        <v>3</v>
      </c>
      <c r="V32" s="45">
        <v>3</v>
      </c>
      <c r="W32" s="45">
        <v>1</v>
      </c>
      <c r="X32" s="45">
        <f>SUBTOTAL(9,Tabella224[[#This Row],[Evidenze storiche di contraffazione o adulterazione]:[Tipologia della materia prima]])</f>
        <v>11</v>
      </c>
    </row>
    <row r="33" ht="19.949999999999999" customHeight="1">
      <c r="B33" s="44" t="s">
        <v>79</v>
      </c>
      <c r="C33" s="45" t="s">
        <v>180</v>
      </c>
      <c r="D33" s="46" t="s">
        <v>81</v>
      </c>
      <c r="E33" s="66" t="s">
        <v>82</v>
      </c>
      <c r="F33" s="64">
        <v>0</v>
      </c>
      <c r="G33" s="45">
        <v>3</v>
      </c>
      <c r="H33" s="45" t="s">
        <v>39</v>
      </c>
      <c r="I33" s="45">
        <v>3</v>
      </c>
      <c r="J33" s="45" t="s">
        <v>40</v>
      </c>
      <c r="K33" s="49">
        <v>45219</v>
      </c>
      <c r="L33" s="47" t="s">
        <v>181</v>
      </c>
      <c r="M33" s="45"/>
      <c r="N33" s="45"/>
      <c r="O33" s="45"/>
      <c r="P33" s="45" t="s">
        <v>182</v>
      </c>
      <c r="Q33" s="45"/>
      <c r="R33" s="45"/>
      <c r="S33" s="45">
        <v>3</v>
      </c>
      <c r="T33" s="45">
        <v>2</v>
      </c>
      <c r="U33" s="45">
        <v>3</v>
      </c>
      <c r="V33" s="45">
        <v>2</v>
      </c>
      <c r="W33" s="45">
        <v>3</v>
      </c>
      <c r="X33" s="45">
        <f>SUBTOTAL(9,Tabella224[[#This Row],[Evidenze storiche di contraffazione o adulterazione]:[Tipologia della materia prima]])</f>
        <v>13</v>
      </c>
    </row>
    <row r="34" ht="19.949999999999999" customHeight="1">
      <c r="B34" s="44" t="s">
        <v>84</v>
      </c>
      <c r="C34" s="45" t="s">
        <v>183</v>
      </c>
      <c r="D34" s="45" t="s">
        <v>85</v>
      </c>
      <c r="E34" s="66" t="s">
        <v>86</v>
      </c>
      <c r="F34" s="67">
        <v>0</v>
      </c>
      <c r="G34" s="45"/>
      <c r="H34" s="45"/>
      <c r="I34" s="45"/>
      <c r="J34" s="45"/>
      <c r="K34" s="49"/>
      <c r="L34" s="47"/>
      <c r="M34" s="45"/>
      <c r="N34" s="45"/>
      <c r="O34" s="45"/>
      <c r="P34" s="45"/>
      <c r="Q34" s="45"/>
      <c r="R34" s="45"/>
      <c r="S34" s="45">
        <v>3</v>
      </c>
      <c r="T34" s="45">
        <v>2</v>
      </c>
      <c r="U34" s="45">
        <v>3</v>
      </c>
      <c r="V34" s="45">
        <v>2</v>
      </c>
      <c r="W34" s="45">
        <v>3</v>
      </c>
      <c r="X34" s="45">
        <f>SUBTOTAL(9,Tabella224[[#This Row],[Evidenze storiche di contraffazione o adulterazione]:[Tipologia della materia prima]])</f>
        <v>13</v>
      </c>
    </row>
    <row r="35" ht="29.399999999999999" customHeight="1">
      <c r="B35" s="52" t="s">
        <v>87</v>
      </c>
      <c r="C35" s="45" t="s">
        <v>184</v>
      </c>
      <c r="D35" s="45" t="s">
        <v>88</v>
      </c>
      <c r="E35" s="66" t="s">
        <v>89</v>
      </c>
      <c r="F35" s="48">
        <v>0</v>
      </c>
      <c r="G35" s="45">
        <v>4</v>
      </c>
      <c r="H35" s="45" t="s">
        <v>39</v>
      </c>
      <c r="I35" s="45">
        <v>4</v>
      </c>
      <c r="J35" s="45" t="s">
        <v>40</v>
      </c>
      <c r="K35" s="49">
        <v>45224</v>
      </c>
      <c r="L35" s="47" t="s">
        <v>185</v>
      </c>
      <c r="M35" s="45" t="s">
        <v>186</v>
      </c>
      <c r="N35" s="45" t="s">
        <v>187</v>
      </c>
      <c r="O35" s="45"/>
      <c r="P35" s="55" t="s">
        <v>188</v>
      </c>
      <c r="Q35" s="45"/>
      <c r="R35" s="45"/>
      <c r="S35" s="45">
        <v>3</v>
      </c>
      <c r="T35" s="45">
        <v>2</v>
      </c>
      <c r="U35" s="45">
        <v>3</v>
      </c>
      <c r="V35" s="45">
        <v>2</v>
      </c>
      <c r="W35" s="45">
        <v>3</v>
      </c>
      <c r="X35" s="45">
        <f>SUBTOTAL(9,Tabella224[[#This Row],[Evidenze storiche di contraffazione o adulterazione]:[Tipologia della materia prima]])</f>
        <v>13</v>
      </c>
    </row>
    <row r="36" ht="19.949999999999999" customHeight="1">
      <c r="B36" s="52" t="s">
        <v>92</v>
      </c>
      <c r="C36" s="45" t="s">
        <v>189</v>
      </c>
      <c r="D36" s="45" t="s">
        <v>93</v>
      </c>
      <c r="E36" s="66" t="s">
        <v>94</v>
      </c>
      <c r="F36" s="48">
        <v>0</v>
      </c>
      <c r="G36" s="45">
        <v>3</v>
      </c>
      <c r="H36" s="45" t="s">
        <v>39</v>
      </c>
      <c r="I36" s="45">
        <v>3</v>
      </c>
      <c r="J36" s="45" t="s">
        <v>40</v>
      </c>
      <c r="K36" s="49">
        <v>45219</v>
      </c>
      <c r="L36" s="47" t="s">
        <v>190</v>
      </c>
      <c r="M36" s="47" t="s">
        <v>191</v>
      </c>
      <c r="N36" s="45"/>
      <c r="O36" s="45"/>
      <c r="P36" s="55" t="s">
        <v>192</v>
      </c>
      <c r="Q36" s="45"/>
      <c r="R36" s="45"/>
      <c r="S36" s="45">
        <v>3</v>
      </c>
      <c r="T36" s="45">
        <v>2</v>
      </c>
      <c r="U36" s="45">
        <v>3</v>
      </c>
      <c r="V36" s="45">
        <v>2</v>
      </c>
      <c r="W36" s="45">
        <v>3</v>
      </c>
      <c r="X36" s="45">
        <f>SUBTOTAL(9,Tabella224[[#This Row],[Evidenze storiche di contraffazione o adulterazione]:[Tipologia della materia prima]])</f>
        <v>13</v>
      </c>
    </row>
    <row r="37" ht="19.949999999999999" customHeight="1">
      <c r="B37" s="44" t="s">
        <v>96</v>
      </c>
      <c r="C37" s="45" t="s">
        <v>193</v>
      </c>
      <c r="D37" s="45" t="s">
        <v>97</v>
      </c>
      <c r="E37" s="66" t="s">
        <v>98</v>
      </c>
      <c r="F37" s="48">
        <v>0</v>
      </c>
      <c r="G37" s="94" t="s">
        <v>194</v>
      </c>
      <c r="H37" s="45" t="s">
        <v>39</v>
      </c>
      <c r="I37" s="45">
        <v>3</v>
      </c>
      <c r="J37" s="45" t="s">
        <v>40</v>
      </c>
      <c r="K37" s="49">
        <v>45219</v>
      </c>
      <c r="L37" s="47" t="s">
        <v>195</v>
      </c>
      <c r="M37" s="47" t="s">
        <v>195</v>
      </c>
      <c r="N37" s="45"/>
      <c r="O37" s="45"/>
      <c r="P37" s="45" t="s">
        <v>196</v>
      </c>
      <c r="Q37" s="45"/>
      <c r="R37" s="45"/>
      <c r="S37" s="45">
        <v>3</v>
      </c>
      <c r="T37" s="45">
        <v>2</v>
      </c>
      <c r="U37" s="45">
        <v>3</v>
      </c>
      <c r="V37" s="45">
        <v>2</v>
      </c>
      <c r="W37" s="45">
        <v>3</v>
      </c>
      <c r="X37" s="45">
        <f>SUBTOTAL(9,Tabella224[[#This Row],[Evidenze storiche di contraffazione o adulterazione]:[Tipologia della materia prima]])</f>
        <v>13</v>
      </c>
    </row>
    <row r="38" s="45" customFormat="1" ht="40.200000000000003" customHeight="1">
      <c r="B38" s="52" t="s">
        <v>100</v>
      </c>
      <c r="C38" s="45" t="s">
        <v>197</v>
      </c>
      <c r="D38" s="45" t="s">
        <v>101</v>
      </c>
      <c r="E38" s="66" t="s">
        <v>102</v>
      </c>
      <c r="F38" s="48">
        <v>0</v>
      </c>
      <c r="G38" s="45">
        <v>4</v>
      </c>
      <c r="H38" s="45" t="s">
        <v>39</v>
      </c>
      <c r="I38" s="55">
        <v>4</v>
      </c>
      <c r="J38" s="45" t="s">
        <v>40</v>
      </c>
      <c r="K38" s="49">
        <v>45232</v>
      </c>
      <c r="L38" s="47" t="s">
        <v>198</v>
      </c>
      <c r="M38" s="45" t="s">
        <v>199</v>
      </c>
      <c r="N38" s="45" t="s">
        <v>200</v>
      </c>
      <c r="P38" s="55" t="s">
        <v>201</v>
      </c>
      <c r="S38" s="45">
        <v>3</v>
      </c>
      <c r="T38" s="45">
        <v>2</v>
      </c>
      <c r="U38" s="45">
        <v>3</v>
      </c>
      <c r="V38" s="45">
        <v>2</v>
      </c>
      <c r="W38" s="45">
        <v>3</v>
      </c>
      <c r="X38" s="45">
        <f>SUBTOTAL(9,Tabella224[[#This Row],[Evidenze storiche di contraffazione o adulterazione]:[Tipologia della materia prima]])</f>
        <v>13</v>
      </c>
    </row>
    <row r="39" ht="19.949999999999999" customHeight="1">
      <c r="B39" s="44" t="s">
        <v>107</v>
      </c>
      <c r="C39" s="45" t="s">
        <v>202</v>
      </c>
      <c r="D39" s="45" t="s">
        <v>108</v>
      </c>
      <c r="E39" s="66">
        <v>35525395</v>
      </c>
      <c r="F39" s="64">
        <v>0</v>
      </c>
      <c r="G39" s="45"/>
      <c r="H39" s="45"/>
      <c r="I39" s="45"/>
      <c r="J39" s="45"/>
      <c r="K39" s="49"/>
      <c r="L39" s="47"/>
      <c r="M39" s="45"/>
      <c r="N39" s="45"/>
      <c r="O39" s="45"/>
      <c r="P39" s="45"/>
      <c r="Q39" s="45"/>
      <c r="R39" s="45"/>
      <c r="S39" s="45">
        <v>3</v>
      </c>
      <c r="T39" s="45">
        <v>2</v>
      </c>
      <c r="U39" s="45">
        <v>3</v>
      </c>
      <c r="V39" s="45">
        <v>2</v>
      </c>
      <c r="W39" s="45">
        <v>3</v>
      </c>
      <c r="X39" s="45">
        <f>SUBTOTAL(9,Tabella224[[#This Row],[Evidenze storiche di contraffazione o adulterazione]:[Tipologia della materia prima]])</f>
        <v>13</v>
      </c>
    </row>
    <row r="40" ht="19.949999999999999" hidden="1" customHeight="1">
      <c r="B40" s="44" t="s">
        <v>109</v>
      </c>
      <c r="C40" s="45" t="s">
        <v>110</v>
      </c>
      <c r="D40" s="45" t="s">
        <v>111</v>
      </c>
      <c r="E40" s="66" t="s">
        <v>112</v>
      </c>
      <c r="F40" s="67"/>
      <c r="G40" s="1"/>
      <c r="H40" s="1"/>
      <c r="I40" s="1"/>
      <c r="J40" s="1"/>
      <c r="K40" s="69"/>
      <c r="L40" s="1"/>
      <c r="M40" s="1"/>
      <c r="N40" s="1"/>
      <c r="O40" s="1"/>
      <c r="P40" s="1"/>
      <c r="Q40" s="1"/>
      <c r="R40" s="1"/>
      <c r="S40" s="45"/>
      <c r="T40" s="45"/>
      <c r="U40" s="45"/>
      <c r="V40" s="45"/>
      <c r="W40" s="45"/>
      <c r="X40" s="1">
        <f>SUBTOTAL(9,Tabella224[[#This Row],[Evidenze storiche di contraffazione o adulterazione]:[Tipologia della materia prima]])</f>
        <v>0</v>
      </c>
    </row>
    <row r="41" ht="19.199999999999999" customHeight="1">
      <c r="B41" s="44" t="s">
        <v>203</v>
      </c>
      <c r="C41" s="1" t="s">
        <v>204</v>
      </c>
      <c r="D41" s="46" t="s">
        <v>106</v>
      </c>
      <c r="E41" s="95" t="s">
        <v>205</v>
      </c>
      <c r="F41" s="67">
        <v>0</v>
      </c>
      <c r="G41" s="45">
        <v>3</v>
      </c>
      <c r="H41" s="45" t="s">
        <v>39</v>
      </c>
      <c r="I41" s="45">
        <v>3</v>
      </c>
      <c r="J41" s="45" t="s">
        <v>40</v>
      </c>
      <c r="K41" s="49">
        <v>45219</v>
      </c>
      <c r="L41" s="47"/>
      <c r="M41" s="45"/>
      <c r="N41" s="45"/>
      <c r="O41" s="45"/>
      <c r="P41" s="45"/>
      <c r="Q41" s="45"/>
      <c r="R41" s="45"/>
      <c r="S41" s="45">
        <v>3</v>
      </c>
      <c r="T41" s="45">
        <v>3</v>
      </c>
      <c r="U41" s="45">
        <v>3</v>
      </c>
      <c r="V41" s="45">
        <v>2</v>
      </c>
      <c r="W41" s="45">
        <v>4</v>
      </c>
      <c r="X41" s="45">
        <f>SUBTOTAL(9,Tabella224[[#This Row],[Evidenze storiche di contraffazione o adulterazione]:[Tipologia della materia prima]])</f>
        <v>15</v>
      </c>
    </row>
    <row r="42" s="44" customFormat="1" ht="19.949999999999999" customHeight="1">
      <c r="B42" s="44" t="s">
        <v>128</v>
      </c>
      <c r="C42" s="45" t="s">
        <v>206</v>
      </c>
      <c r="D42" s="71" t="s">
        <v>130</v>
      </c>
      <c r="E42" s="66" t="s">
        <v>131</v>
      </c>
      <c r="F42" s="48">
        <v>0</v>
      </c>
      <c r="G42" s="45">
        <v>4</v>
      </c>
      <c r="H42" s="45" t="s">
        <v>39</v>
      </c>
      <c r="I42" s="45">
        <v>4</v>
      </c>
      <c r="J42" s="45" t="s">
        <v>40</v>
      </c>
      <c r="K42" s="49">
        <v>45219</v>
      </c>
      <c r="L42" s="47" t="s">
        <v>207</v>
      </c>
      <c r="M42" s="45"/>
      <c r="N42" s="45"/>
      <c r="O42" s="45"/>
      <c r="P42" s="45" t="s">
        <v>208</v>
      </c>
      <c r="Q42" s="47" t="s">
        <v>209</v>
      </c>
      <c r="R42" s="45"/>
      <c r="S42" s="45">
        <v>3</v>
      </c>
      <c r="T42" s="45">
        <v>2</v>
      </c>
      <c r="U42" s="45">
        <v>4</v>
      </c>
      <c r="V42" s="45">
        <v>2</v>
      </c>
      <c r="W42" s="45">
        <v>1</v>
      </c>
      <c r="X42" s="45">
        <f>SUBTOTAL(9,Tabella224[[#This Row],[Evidenze storiche di contraffazione o adulterazione]:[Tipologia della materia prima]])</f>
        <v>12</v>
      </c>
    </row>
    <row r="43" ht="19.949999999999999" hidden="1" customHeight="1">
      <c r="B43" s="44" t="s">
        <v>132</v>
      </c>
      <c r="C43" s="45" t="s">
        <v>133</v>
      </c>
      <c r="D43" s="45" t="s">
        <v>134</v>
      </c>
      <c r="F43" s="67"/>
      <c r="G43" s="1"/>
      <c r="H43" s="1"/>
      <c r="I43" s="1"/>
      <c r="J43" s="1"/>
      <c r="K43" s="69"/>
      <c r="L43" s="1"/>
      <c r="M43" s="1"/>
      <c r="N43" s="1"/>
      <c r="O43" s="1"/>
      <c r="P43" s="1"/>
      <c r="Q43" s="1"/>
      <c r="R43" s="1"/>
      <c r="S43" s="45"/>
      <c r="T43" s="45"/>
      <c r="U43" s="45"/>
      <c r="V43" s="45"/>
      <c r="W43" s="45"/>
      <c r="X43" s="1">
        <f>SUBTOTAL(9,Tabella224[[#This Row],[Evidenze storiche di contraffazione o adulterazione]:[Tipologia della materia prima]])</f>
        <v>0</v>
      </c>
    </row>
    <row r="44" ht="13.949999999999999" hidden="1" customHeight="1">
      <c r="F44" s="67"/>
      <c r="G44" s="1"/>
      <c r="H44" s="1"/>
      <c r="I44" s="1"/>
      <c r="J44" s="1"/>
      <c r="K44" s="69"/>
      <c r="L44" s="1"/>
      <c r="M44" s="1"/>
      <c r="N44" s="1"/>
      <c r="O44" s="1"/>
      <c r="P44" s="1"/>
      <c r="Q44" s="1"/>
      <c r="R44" s="1"/>
      <c r="S44" s="45"/>
      <c r="T44" s="45"/>
      <c r="U44" s="45"/>
      <c r="V44" s="45"/>
      <c r="W44" s="45"/>
      <c r="X44" s="1">
        <f>SUBTOTAL(9,Tabella224[[#This Row],[Evidenze storiche di contraffazione o adulterazione]:[Tipologia della materia prima]])</f>
        <v>0</v>
      </c>
    </row>
    <row r="45" hidden="1">
      <c r="F45" s="67"/>
      <c r="G45" s="1"/>
      <c r="H45" s="1"/>
      <c r="I45" s="1"/>
      <c r="J45" s="1"/>
      <c r="K45" s="69"/>
      <c r="L45" s="1"/>
      <c r="M45" s="1"/>
      <c r="N45" s="1"/>
      <c r="O45" s="1"/>
      <c r="P45" s="1"/>
      <c r="Q45" s="1"/>
      <c r="R45" s="1"/>
      <c r="S45" s="45"/>
      <c r="T45" s="45"/>
      <c r="U45" s="45"/>
      <c r="V45" s="45"/>
      <c r="W45" s="45"/>
      <c r="X45" s="1">
        <f>SUBTOTAL(9,Tabella224[[#This Row],[Evidenze storiche di contraffazione o adulterazione]:[Tipologia della materia prima]])</f>
        <v>0</v>
      </c>
    </row>
    <row r="46" hidden="1">
      <c r="F46" s="67"/>
      <c r="G46" s="1"/>
      <c r="H46" s="1"/>
      <c r="I46" s="1"/>
      <c r="J46" s="1"/>
      <c r="K46" s="69"/>
      <c r="L46" s="1"/>
      <c r="M46" s="1"/>
      <c r="N46" s="1"/>
      <c r="O46" s="1"/>
      <c r="P46" s="1"/>
      <c r="Q46" s="1"/>
      <c r="R46" s="1"/>
      <c r="S46" s="45"/>
      <c r="T46" s="45"/>
      <c r="U46" s="45"/>
      <c r="V46" s="45"/>
      <c r="W46" s="45"/>
      <c r="X46" s="1">
        <f>SUBTOTAL(9,Tabella224[[#This Row],[Evidenze storiche di contraffazione o adulterazione]:[Tipologia della materia prima]])</f>
        <v>0</v>
      </c>
    </row>
    <row r="47" hidden="1">
      <c r="F47" s="67"/>
      <c r="G47" s="1"/>
      <c r="H47" s="1"/>
      <c r="I47" s="1"/>
      <c r="J47" s="1"/>
      <c r="K47" s="69"/>
      <c r="L47" s="1"/>
      <c r="M47" s="1"/>
      <c r="N47" s="1"/>
      <c r="O47" s="1"/>
      <c r="P47" s="1"/>
      <c r="Q47" s="1"/>
      <c r="R47" s="1"/>
      <c r="S47" s="45"/>
      <c r="T47" s="45"/>
      <c r="U47" s="45"/>
      <c r="V47" s="45"/>
      <c r="W47" s="45"/>
      <c r="X47" s="1">
        <f>SUBTOTAL(9,Tabella224[[#This Row],[Evidenze storiche di contraffazione o adulterazione]:[Tipologia della materia prima]])</f>
        <v>0</v>
      </c>
    </row>
    <row r="48" hidden="1">
      <c r="F48" s="67"/>
      <c r="G48" s="1"/>
      <c r="H48" s="1"/>
      <c r="I48" s="1"/>
      <c r="J48" s="1"/>
      <c r="K48" s="69"/>
      <c r="L48" s="1"/>
      <c r="M48" s="1"/>
      <c r="N48" s="1"/>
      <c r="O48" s="1"/>
      <c r="P48" s="1"/>
      <c r="Q48" s="1"/>
      <c r="R48" s="1"/>
      <c r="S48" s="45"/>
      <c r="T48" s="45"/>
      <c r="U48" s="45"/>
      <c r="V48" s="45"/>
      <c r="W48" s="45"/>
      <c r="X48" s="1">
        <f>SUBTOTAL(9,Tabella224[[#This Row],[Evidenze storiche di contraffazione o adulterazione]:[Tipologia della materia prima]])</f>
        <v>0</v>
      </c>
    </row>
    <row r="49" hidden="1">
      <c r="F49" s="67"/>
      <c r="G49" s="1"/>
      <c r="H49" s="1"/>
      <c r="I49" s="1"/>
      <c r="J49" s="1"/>
      <c r="K49" s="69"/>
      <c r="L49" s="1"/>
      <c r="M49" s="1"/>
      <c r="N49" s="1"/>
      <c r="O49" s="1"/>
      <c r="P49" s="1"/>
      <c r="Q49" s="1"/>
      <c r="R49" s="1"/>
      <c r="S49" s="45"/>
      <c r="T49" s="45"/>
      <c r="U49" s="45"/>
      <c r="V49" s="45"/>
      <c r="W49" s="45"/>
      <c r="X49" s="1">
        <f>SUBTOTAL(9,Tabella224[[#This Row],[Evidenze storiche di contraffazione o adulterazione]:[Tipologia della materia prima]])</f>
        <v>0</v>
      </c>
    </row>
    <row r="50" hidden="1">
      <c r="F50" s="67"/>
      <c r="G50" s="1"/>
      <c r="H50" s="1"/>
      <c r="I50" s="1"/>
      <c r="J50" s="1"/>
      <c r="K50" s="69"/>
      <c r="L50" s="1"/>
      <c r="M50" s="1"/>
      <c r="N50" s="1"/>
      <c r="O50" s="1"/>
      <c r="P50" s="1"/>
      <c r="Q50" s="1"/>
      <c r="R50" s="1"/>
      <c r="S50" s="45"/>
      <c r="T50" s="45"/>
      <c r="U50" s="45"/>
      <c r="V50" s="45"/>
      <c r="W50" s="45"/>
      <c r="X50" s="1">
        <f>SUBTOTAL(9,Tabella224[[#This Row],[Evidenze storiche di contraffazione o adulterazione]:[Tipologia della materia prima]])</f>
        <v>0</v>
      </c>
    </row>
    <row r="51" hidden="1">
      <c r="F51" s="67"/>
      <c r="G51" s="1"/>
      <c r="H51" s="1"/>
      <c r="I51" s="1"/>
      <c r="J51" s="1"/>
      <c r="K51" s="69"/>
      <c r="L51" s="1"/>
      <c r="M51" s="1"/>
      <c r="N51" s="1"/>
      <c r="O51" s="1"/>
      <c r="P51" s="1"/>
      <c r="Q51" s="1"/>
      <c r="R51" s="1"/>
      <c r="S51" s="45"/>
      <c r="T51" s="45"/>
      <c r="U51" s="45"/>
      <c r="V51" s="45"/>
      <c r="W51" s="45"/>
      <c r="X51" s="1">
        <f>SUBTOTAL(9,Tabella224[[#This Row],[Evidenze storiche di contraffazione o adulterazione]:[Tipologia della materia prima]])</f>
        <v>0</v>
      </c>
    </row>
    <row r="52" hidden="1">
      <c r="F52" s="67"/>
      <c r="G52" s="1"/>
      <c r="H52" s="1"/>
      <c r="I52" s="1"/>
      <c r="J52" s="1"/>
      <c r="K52" s="69"/>
      <c r="L52" s="1"/>
      <c r="M52" s="1"/>
      <c r="N52" s="1"/>
      <c r="O52" s="1"/>
      <c r="P52" s="1"/>
      <c r="Q52" s="1"/>
      <c r="R52" s="1"/>
      <c r="S52" s="45"/>
      <c r="T52" s="45"/>
      <c r="U52" s="45"/>
      <c r="V52" s="45"/>
      <c r="W52" s="45"/>
      <c r="X52" s="1">
        <f>SUBTOTAL(9,Tabella224[[#This Row],[Evidenze storiche di contraffazione o adulterazione]:[Tipologia della materia prima]])</f>
        <v>0</v>
      </c>
    </row>
    <row r="53" hidden="1">
      <c r="F53" s="67"/>
      <c r="G53" s="1"/>
      <c r="H53" s="1"/>
      <c r="I53" s="1"/>
      <c r="J53" s="1"/>
      <c r="K53" s="69"/>
      <c r="L53" s="1"/>
      <c r="M53" s="1"/>
      <c r="N53" s="1"/>
      <c r="O53" s="1"/>
      <c r="P53" s="1"/>
      <c r="Q53" s="1"/>
      <c r="R53" s="1"/>
      <c r="S53" s="45"/>
      <c r="T53" s="45"/>
      <c r="U53" s="45"/>
      <c r="V53" s="45"/>
      <c r="W53" s="45"/>
      <c r="X53" s="1">
        <f>SUBTOTAL(9,Tabella224[[#This Row],[Evidenze storiche di contraffazione o adulterazione]:[Tipologia della materia prima]])</f>
        <v>0</v>
      </c>
    </row>
    <row r="54" hidden="1">
      <c r="F54" s="67"/>
      <c r="G54" s="1"/>
      <c r="H54" s="1"/>
      <c r="I54" s="1"/>
      <c r="J54" s="1"/>
      <c r="K54" s="69"/>
      <c r="L54" s="1"/>
      <c r="M54" s="1"/>
      <c r="N54" s="1"/>
      <c r="O54" s="1"/>
      <c r="P54" s="1"/>
      <c r="Q54" s="1"/>
      <c r="R54" s="1"/>
      <c r="S54" s="45"/>
      <c r="T54" s="45"/>
      <c r="U54" s="45"/>
      <c r="V54" s="45"/>
      <c r="W54" s="45"/>
      <c r="X54" s="1">
        <f>SUBTOTAL(9,Tabella224[[#This Row],[Evidenze storiche di contraffazione o adulterazione]:[Tipologia della materia prima]])</f>
        <v>0</v>
      </c>
    </row>
    <row r="55" hidden="1">
      <c r="F55" s="67"/>
      <c r="G55" s="1"/>
      <c r="H55" s="1"/>
      <c r="I55" s="1"/>
      <c r="J55" s="1"/>
      <c r="K55" s="69"/>
      <c r="L55" s="1"/>
      <c r="M55" s="1"/>
      <c r="N55" s="1"/>
      <c r="O55" s="1"/>
      <c r="P55" s="1"/>
      <c r="Q55" s="1"/>
      <c r="R55" s="1"/>
      <c r="S55" s="45"/>
      <c r="T55" s="45"/>
      <c r="U55" s="45"/>
      <c r="V55" s="45"/>
      <c r="W55" s="45"/>
      <c r="X55" s="1">
        <f>SUBTOTAL(9,Tabella224[[#This Row],[Evidenze storiche di contraffazione o adulterazione]:[Tipologia della materia prima]])</f>
        <v>0</v>
      </c>
    </row>
    <row r="56" hidden="1">
      <c r="F56" s="67"/>
      <c r="G56" s="1"/>
      <c r="H56" s="1"/>
      <c r="I56" s="1"/>
      <c r="J56" s="1"/>
      <c r="K56" s="69"/>
      <c r="L56" s="1"/>
      <c r="M56" s="1"/>
      <c r="N56" s="1"/>
      <c r="O56" s="1"/>
      <c r="P56" s="1"/>
      <c r="Q56" s="1"/>
      <c r="R56" s="1"/>
      <c r="S56" s="45"/>
      <c r="T56" s="45"/>
      <c r="U56" s="45"/>
      <c r="V56" s="45"/>
      <c r="W56" s="45"/>
      <c r="X56" s="1">
        <f>SUBTOTAL(9,Tabella224[[#This Row],[Evidenze storiche di contraffazione o adulterazione]:[Tipologia della materia prima]])</f>
        <v>0</v>
      </c>
    </row>
    <row r="57" hidden="1">
      <c r="F57" s="67"/>
      <c r="G57" s="1"/>
      <c r="H57" s="1"/>
      <c r="I57" s="1"/>
      <c r="J57" s="1"/>
      <c r="K57" s="69"/>
      <c r="L57" s="1"/>
      <c r="M57" s="1"/>
      <c r="N57" s="1"/>
      <c r="O57" s="1"/>
      <c r="P57" s="1"/>
      <c r="Q57" s="1"/>
      <c r="R57" s="1"/>
      <c r="S57" s="45"/>
      <c r="T57" s="45"/>
      <c r="U57" s="45"/>
      <c r="V57" s="45"/>
      <c r="W57" s="45"/>
      <c r="X57" s="1">
        <f>SUBTOTAL(9,Tabella224[[#This Row],[Evidenze storiche di contraffazione o adulterazione]:[Tipologia della materia prima]])</f>
        <v>0</v>
      </c>
    </row>
    <row r="58" hidden="1">
      <c r="F58" s="67"/>
      <c r="G58" s="1"/>
      <c r="H58" s="1"/>
      <c r="I58" s="1"/>
      <c r="J58" s="1"/>
      <c r="K58" s="69"/>
      <c r="L58" s="1"/>
      <c r="M58" s="1"/>
      <c r="N58" s="1"/>
      <c r="O58" s="1"/>
      <c r="P58" s="1"/>
      <c r="Q58" s="1"/>
      <c r="R58" s="1"/>
      <c r="S58" s="45"/>
      <c r="T58" s="45"/>
      <c r="U58" s="45"/>
      <c r="V58" s="45"/>
      <c r="W58" s="45"/>
      <c r="X58" s="1">
        <f>SUBTOTAL(9,Tabella224[[#This Row],[Evidenze storiche di contraffazione o adulterazione]:[Tipologia della materia prima]])</f>
        <v>0</v>
      </c>
    </row>
    <row r="59" hidden="1">
      <c r="F59" s="67"/>
      <c r="G59" s="1"/>
      <c r="H59" s="1"/>
      <c r="I59" s="1"/>
      <c r="J59" s="1"/>
      <c r="K59" s="69"/>
      <c r="L59" s="1"/>
      <c r="M59" s="1"/>
      <c r="N59" s="1"/>
      <c r="O59" s="1"/>
      <c r="P59" s="1"/>
      <c r="Q59" s="1"/>
      <c r="R59" s="1"/>
      <c r="S59" s="44"/>
      <c r="X59" s="1">
        <f>SUBTOTAL(9,Tabella224[[#This Row],[Evidenze storiche di contraffazione o adulterazione]:[Tipologia della materia prima]])</f>
        <v>0</v>
      </c>
    </row>
    <row r="60" hidden="1">
      <c r="F60" s="67"/>
      <c r="G60" s="1"/>
      <c r="H60" s="1"/>
      <c r="I60" s="1"/>
      <c r="J60" s="1"/>
      <c r="K60" s="69"/>
      <c r="L60" s="1"/>
      <c r="M60" s="1"/>
      <c r="N60" s="1"/>
      <c r="O60" s="1"/>
      <c r="P60" s="1"/>
      <c r="Q60" s="1"/>
      <c r="R60" s="1"/>
      <c r="S60" s="44"/>
      <c r="X60" s="1">
        <f>SUBTOTAL(9,Tabella224[[#This Row],[Evidenze storiche di contraffazione o adulterazione]:[Tipologia della materia prima]])</f>
        <v>0</v>
      </c>
    </row>
    <row r="61" hidden="1">
      <c r="F61" s="67"/>
      <c r="G61" s="1"/>
      <c r="H61" s="1"/>
      <c r="I61" s="1"/>
      <c r="J61" s="1"/>
      <c r="K61" s="69"/>
      <c r="L61" s="1"/>
      <c r="M61" s="1"/>
      <c r="N61" s="1"/>
      <c r="O61" s="1"/>
      <c r="P61" s="1"/>
      <c r="Q61" s="1"/>
      <c r="R61" s="1"/>
      <c r="S61" s="44"/>
      <c r="X61" s="1">
        <f>SUBTOTAL(9,Tabella224[[#This Row],[Evidenze storiche di contraffazione o adulterazione]:[Tipologia della materia prima]])</f>
        <v>0</v>
      </c>
    </row>
    <row r="62" hidden="1">
      <c r="F62" s="67"/>
      <c r="G62" s="1"/>
      <c r="H62" s="1"/>
      <c r="I62" s="1"/>
      <c r="J62" s="1"/>
      <c r="K62" s="69"/>
      <c r="L62" s="1"/>
      <c r="M62" s="1"/>
      <c r="N62" s="1"/>
      <c r="O62" s="1"/>
      <c r="P62" s="1"/>
      <c r="Q62" s="1"/>
      <c r="R62" s="1"/>
      <c r="S62" s="44"/>
      <c r="X62" s="1">
        <f>SUBTOTAL(9,Tabella224[[#This Row],[Evidenze storiche di contraffazione o adulterazione]:[Tipologia della materia prima]])</f>
        <v>0</v>
      </c>
    </row>
    <row r="63" hidden="1">
      <c r="F63" s="67"/>
      <c r="G63" s="1"/>
      <c r="H63" s="1"/>
      <c r="I63" s="1"/>
      <c r="J63" s="1"/>
      <c r="K63" s="69"/>
      <c r="L63" s="1"/>
      <c r="M63" s="1"/>
      <c r="N63" s="1"/>
      <c r="O63" s="1"/>
      <c r="P63" s="1"/>
      <c r="Q63" s="1"/>
      <c r="R63" s="1"/>
      <c r="S63" s="44"/>
      <c r="X63" s="1">
        <f>SUBTOTAL(9,Tabella224[[#This Row],[Evidenze storiche di contraffazione o adulterazione]:[Tipologia della materia prima]])</f>
        <v>0</v>
      </c>
    </row>
    <row r="64" hidden="1">
      <c r="F64" s="67"/>
      <c r="G64" s="1"/>
      <c r="H64" s="1"/>
      <c r="I64" s="1"/>
      <c r="J64" s="1"/>
      <c r="K64" s="69"/>
      <c r="L64" s="1"/>
      <c r="M64" s="1"/>
      <c r="N64" s="1"/>
      <c r="O64" s="1"/>
      <c r="P64" s="1"/>
      <c r="Q64" s="1"/>
      <c r="R64" s="1"/>
      <c r="S64" s="44"/>
      <c r="X64" s="1">
        <f>SUBTOTAL(9,Tabella224[[#This Row],[Evidenze storiche di contraffazione o adulterazione]:[Tipologia della materia prima]])</f>
        <v>0</v>
      </c>
    </row>
    <row r="65" hidden="1">
      <c r="F65" s="67"/>
      <c r="G65" s="1"/>
      <c r="H65" s="1"/>
      <c r="I65" s="1"/>
      <c r="J65" s="1"/>
      <c r="K65" s="69"/>
      <c r="L65" s="1"/>
      <c r="M65" s="1"/>
      <c r="N65" s="1"/>
      <c r="O65" s="1"/>
      <c r="P65" s="1"/>
      <c r="Q65" s="1"/>
      <c r="R65" s="1"/>
      <c r="S65" s="44"/>
      <c r="X65" s="1">
        <f>SUBTOTAL(9,Tabella224[[#This Row],[Evidenze storiche di contraffazione o adulterazione]:[Tipologia della materia prima]])</f>
        <v>0</v>
      </c>
    </row>
    <row r="66" hidden="1">
      <c r="F66" s="67"/>
      <c r="G66" s="1"/>
      <c r="H66" s="1"/>
      <c r="I66" s="1"/>
      <c r="J66" s="1"/>
      <c r="K66" s="69"/>
      <c r="L66" s="1"/>
      <c r="M66" s="1"/>
      <c r="N66" s="1"/>
      <c r="O66" s="1"/>
      <c r="P66" s="1"/>
      <c r="Q66" s="1"/>
      <c r="R66" s="1"/>
      <c r="S66" s="44"/>
      <c r="X66" s="1">
        <f>SUBTOTAL(9,Tabella224[[#This Row],[Evidenze storiche di contraffazione o adulterazione]:[Tipologia della materia prima]])</f>
        <v>0</v>
      </c>
    </row>
    <row r="67" hidden="1">
      <c r="F67" s="67"/>
      <c r="G67" s="1"/>
      <c r="H67" s="1"/>
      <c r="I67" s="1"/>
      <c r="J67" s="1"/>
      <c r="K67" s="69"/>
      <c r="L67" s="1"/>
      <c r="M67" s="1"/>
      <c r="N67" s="1"/>
      <c r="O67" s="1"/>
      <c r="P67" s="1"/>
      <c r="Q67" s="1"/>
      <c r="R67" s="1"/>
      <c r="S67" s="44"/>
      <c r="X67" s="1">
        <f>SUBTOTAL(9,Tabella224[[#This Row],[Evidenze storiche di contraffazione o adulterazione]:[Tipologia della materia prima]])</f>
        <v>0</v>
      </c>
    </row>
    <row r="68" hidden="1">
      <c r="F68" s="67"/>
      <c r="G68" s="1"/>
      <c r="H68" s="1"/>
      <c r="I68" s="1"/>
      <c r="J68" s="1"/>
      <c r="K68" s="69"/>
      <c r="L68" s="1"/>
      <c r="M68" s="1"/>
      <c r="N68" s="1"/>
      <c r="O68" s="1"/>
      <c r="P68" s="1"/>
      <c r="Q68" s="1"/>
      <c r="R68" s="1"/>
      <c r="S68" s="44"/>
      <c r="X68" s="1">
        <f>SUBTOTAL(9,Tabella224[[#This Row],[Evidenze storiche di contraffazione o adulterazione]:[Tipologia della materia prima]])</f>
        <v>0</v>
      </c>
    </row>
    <row r="69" hidden="1">
      <c r="F69" s="67"/>
      <c r="G69" s="1"/>
      <c r="H69" s="1"/>
      <c r="I69" s="1"/>
      <c r="J69" s="1"/>
      <c r="K69" s="69"/>
      <c r="L69" s="1"/>
      <c r="M69" s="1"/>
      <c r="N69" s="1"/>
      <c r="O69" s="1"/>
      <c r="P69" s="1"/>
      <c r="Q69" s="1"/>
      <c r="R69" s="1"/>
      <c r="S69" s="44"/>
      <c r="X69" s="1">
        <f>SUBTOTAL(9,Tabella224[[#This Row],[Evidenze storiche di contraffazione o adulterazione]:[Tipologia della materia prima]])</f>
        <v>0</v>
      </c>
    </row>
    <row r="70" hidden="1">
      <c r="F70" s="67"/>
      <c r="G70" s="1"/>
      <c r="H70" s="1"/>
      <c r="I70" s="1"/>
      <c r="J70" s="1"/>
      <c r="K70" s="69"/>
      <c r="L70" s="1"/>
      <c r="M70" s="1"/>
      <c r="N70" s="1"/>
      <c r="O70" s="1"/>
      <c r="P70" s="1"/>
      <c r="Q70" s="1"/>
      <c r="R70" s="1"/>
      <c r="S70" s="44"/>
      <c r="X70" s="1">
        <f>SUBTOTAL(9,Tabella224[[#This Row],[Evidenze storiche di contraffazione o adulterazione]:[Tipologia della materia prima]])</f>
        <v>0</v>
      </c>
    </row>
    <row r="71" hidden="1">
      <c r="F71" s="67"/>
      <c r="G71" s="1"/>
      <c r="H71" s="1"/>
      <c r="I71" s="1"/>
      <c r="J71" s="1"/>
      <c r="K71" s="69"/>
      <c r="L71" s="1"/>
      <c r="M71" s="1"/>
      <c r="N71" s="1"/>
      <c r="O71" s="1"/>
      <c r="P71" s="1"/>
      <c r="Q71" s="1"/>
      <c r="R71" s="1"/>
      <c r="S71" s="44"/>
      <c r="X71" s="1">
        <f>SUBTOTAL(9,Tabella224[[#This Row],[Evidenze storiche di contraffazione o adulterazione]:[Tipologia della materia prima]])</f>
        <v>0</v>
      </c>
    </row>
    <row r="72" hidden="1">
      <c r="F72" s="67"/>
      <c r="G72" s="1"/>
      <c r="H72" s="1"/>
      <c r="I72" s="1"/>
      <c r="J72" s="1"/>
      <c r="K72" s="69"/>
      <c r="L72" s="1"/>
      <c r="M72" s="1"/>
      <c r="N72" s="1"/>
      <c r="O72" s="1"/>
      <c r="P72" s="1"/>
      <c r="Q72" s="1"/>
      <c r="R72" s="1"/>
      <c r="S72" s="44"/>
      <c r="X72" s="1">
        <f>SUBTOTAL(9,Tabella224[[#This Row],[Evidenze storiche di contraffazione o adulterazione]:[Tipologia della materia prima]])</f>
        <v>0</v>
      </c>
    </row>
    <row r="73" hidden="1">
      <c r="F73" s="67"/>
      <c r="G73" s="1"/>
      <c r="H73" s="1"/>
      <c r="I73" s="1"/>
      <c r="J73" s="1"/>
      <c r="K73" s="69"/>
      <c r="L73" s="1"/>
      <c r="M73" s="1"/>
      <c r="N73" s="1"/>
      <c r="O73" s="1"/>
      <c r="P73" s="1"/>
      <c r="Q73" s="1"/>
      <c r="R73" s="1"/>
      <c r="S73" s="44"/>
      <c r="X73" s="1">
        <f>SUBTOTAL(9,Tabella224[[#This Row],[Evidenze storiche di contraffazione o adulterazione]:[Tipologia della materia prima]])</f>
        <v>0</v>
      </c>
    </row>
    <row r="74" hidden="1">
      <c r="F74" s="67"/>
      <c r="G74" s="1"/>
      <c r="H74" s="1"/>
      <c r="I74" s="1"/>
      <c r="J74" s="1"/>
      <c r="K74" s="69"/>
      <c r="L74" s="1"/>
      <c r="M74" s="1"/>
      <c r="N74" s="1"/>
      <c r="O74" s="1"/>
      <c r="P74" s="1"/>
      <c r="Q74" s="1"/>
      <c r="R74" s="1"/>
      <c r="S74" s="44"/>
      <c r="X74" s="1">
        <f>SUBTOTAL(9,Tabella224[[#This Row],[Evidenze storiche di contraffazione o adulterazione]:[Tipologia della materia prima]])</f>
        <v>0</v>
      </c>
    </row>
    <row r="75" hidden="1">
      <c r="F75" s="67"/>
      <c r="G75" s="1"/>
      <c r="H75" s="1"/>
      <c r="I75" s="1"/>
      <c r="J75" s="1"/>
      <c r="K75" s="69"/>
      <c r="L75" s="1"/>
      <c r="M75" s="1"/>
      <c r="N75" s="1"/>
      <c r="O75" s="1"/>
      <c r="P75" s="1"/>
      <c r="Q75" s="1"/>
      <c r="R75" s="1"/>
      <c r="S75" s="44"/>
      <c r="X75" s="1">
        <f>SUBTOTAL(9,Tabella224[[#This Row],[Evidenze storiche di contraffazione o adulterazione]:[Tipologia della materia prima]])</f>
        <v>0</v>
      </c>
    </row>
    <row r="76" hidden="1">
      <c r="F76" s="67"/>
      <c r="G76" s="1"/>
      <c r="H76" s="1"/>
      <c r="I76" s="1"/>
      <c r="J76" s="1"/>
      <c r="K76" s="69"/>
      <c r="L76" s="1"/>
      <c r="M76" s="1"/>
      <c r="N76" s="1"/>
      <c r="O76" s="1"/>
      <c r="P76" s="1"/>
      <c r="Q76" s="1"/>
      <c r="R76" s="1"/>
      <c r="S76" s="44"/>
      <c r="X76" s="1">
        <f>SUBTOTAL(9,Tabella224[[#This Row],[Evidenze storiche di contraffazione o adulterazione]:[Tipologia della materia prima]])</f>
        <v>0</v>
      </c>
    </row>
    <row r="77" hidden="1">
      <c r="F77" s="67"/>
      <c r="G77" s="1"/>
      <c r="H77" s="1"/>
      <c r="I77" s="1"/>
      <c r="J77" s="1"/>
      <c r="K77" s="69"/>
      <c r="L77" s="1"/>
      <c r="M77" s="1"/>
      <c r="N77" s="1"/>
      <c r="O77" s="1"/>
      <c r="P77" s="1"/>
      <c r="Q77" s="1"/>
      <c r="R77" s="1"/>
      <c r="S77" s="44"/>
      <c r="X77" s="1">
        <f>SUBTOTAL(9,Tabella224[[#This Row],[Evidenze storiche di contraffazione o adulterazione]:[Tipologia della materia prima]])</f>
        <v>0</v>
      </c>
    </row>
    <row r="78" hidden="1">
      <c r="F78" s="67"/>
      <c r="G78" s="1"/>
      <c r="H78" s="1"/>
      <c r="I78" s="1"/>
      <c r="J78" s="1"/>
      <c r="K78" s="69"/>
      <c r="L78" s="1"/>
      <c r="M78" s="1"/>
      <c r="N78" s="1"/>
      <c r="O78" s="1"/>
      <c r="P78" s="1"/>
      <c r="Q78" s="1"/>
      <c r="R78" s="1"/>
      <c r="S78" s="44"/>
      <c r="X78" s="1">
        <f>SUBTOTAL(9,Tabella224[[#This Row],[Evidenze storiche di contraffazione o adulterazione]:[Tipologia della materia prima]])</f>
        <v>0</v>
      </c>
    </row>
    <row r="79" hidden="1">
      <c r="F79" s="67"/>
      <c r="G79" s="1"/>
      <c r="H79" s="1"/>
      <c r="I79" s="1"/>
      <c r="J79" s="1"/>
      <c r="K79" s="69"/>
      <c r="L79" s="1"/>
      <c r="M79" s="1"/>
      <c r="N79" s="1"/>
      <c r="O79" s="1"/>
      <c r="P79" s="1"/>
      <c r="Q79" s="1"/>
      <c r="R79" s="1"/>
      <c r="S79" s="44"/>
      <c r="X79" s="1">
        <f>SUBTOTAL(9,Tabella224[[#This Row],[Evidenze storiche di contraffazione o adulterazione]:[Tipologia della materia prima]])</f>
        <v>0</v>
      </c>
    </row>
    <row r="80" hidden="1">
      <c r="F80" s="67"/>
      <c r="G80" s="1"/>
      <c r="H80" s="1"/>
      <c r="I80" s="1"/>
      <c r="J80" s="1"/>
      <c r="K80" s="69"/>
      <c r="L80" s="1"/>
      <c r="M80" s="1"/>
      <c r="N80" s="1"/>
      <c r="O80" s="1"/>
      <c r="P80" s="1"/>
      <c r="Q80" s="1"/>
      <c r="R80" s="1"/>
      <c r="S80" s="44"/>
      <c r="X80" s="1">
        <f>SUBTOTAL(9,Tabella224[[#This Row],[Evidenze storiche di contraffazione o adulterazione]:[Tipologia della materia prima]])</f>
        <v>0</v>
      </c>
    </row>
    <row r="81" hidden="1">
      <c r="F81" s="67"/>
      <c r="G81" s="1"/>
      <c r="H81" s="1"/>
      <c r="I81" s="1"/>
      <c r="J81" s="1"/>
      <c r="K81" s="69"/>
      <c r="L81" s="1"/>
      <c r="M81" s="1"/>
      <c r="N81" s="1"/>
      <c r="O81" s="1"/>
      <c r="P81" s="1"/>
      <c r="Q81" s="1"/>
      <c r="R81" s="1"/>
      <c r="S81" s="44"/>
      <c r="X81" s="1">
        <f>SUBTOTAL(9,Tabella224[[#This Row],[Evidenze storiche di contraffazione o adulterazione]:[Tipologia della materia prima]])</f>
        <v>0</v>
      </c>
    </row>
    <row r="82" hidden="1">
      <c r="F82" s="67"/>
      <c r="G82" s="1"/>
      <c r="H82" s="1"/>
      <c r="I82" s="1"/>
      <c r="J82" s="1"/>
      <c r="K82" s="69"/>
      <c r="L82" s="1"/>
      <c r="M82" s="1"/>
      <c r="N82" s="1"/>
      <c r="O82" s="1"/>
      <c r="P82" s="1"/>
      <c r="Q82" s="1"/>
      <c r="R82" s="1"/>
      <c r="S82" s="44"/>
      <c r="X82" s="1">
        <f>SUBTOTAL(9,Tabella224[[#This Row],[Evidenze storiche di contraffazione o adulterazione]:[Tipologia della materia prima]])</f>
        <v>0</v>
      </c>
    </row>
    <row r="83" hidden="1">
      <c r="F83" s="67"/>
      <c r="G83" s="1"/>
      <c r="H83" s="1"/>
      <c r="I83" s="1"/>
      <c r="J83" s="1"/>
      <c r="K83" s="69"/>
      <c r="L83" s="1"/>
      <c r="M83" s="1"/>
      <c r="N83" s="1"/>
      <c r="O83" s="1"/>
      <c r="P83" s="1"/>
      <c r="Q83" s="1"/>
      <c r="R83" s="1"/>
      <c r="S83" s="44"/>
      <c r="X83" s="1">
        <f>SUBTOTAL(9,Tabella224[[#This Row],[Evidenze storiche di contraffazione o adulterazione]:[Tipologia della materia prima]])</f>
        <v>0</v>
      </c>
    </row>
    <row r="84" hidden="1">
      <c r="F84" s="67"/>
      <c r="G84" s="1"/>
      <c r="H84" s="1"/>
      <c r="I84" s="1"/>
      <c r="J84" s="1"/>
      <c r="K84" s="69"/>
      <c r="L84" s="1"/>
      <c r="M84" s="1"/>
      <c r="N84" s="1"/>
      <c r="O84" s="1"/>
      <c r="P84" s="1"/>
      <c r="Q84" s="1"/>
      <c r="R84" s="1"/>
      <c r="S84" s="44"/>
      <c r="X84" s="1">
        <f>SUBTOTAL(9,Tabella224[[#This Row],[Evidenze storiche di contraffazione o adulterazione]:[Tipologia della materia prima]])</f>
        <v>0</v>
      </c>
    </row>
    <row r="85" hidden="1">
      <c r="F85" s="67"/>
      <c r="G85" s="1"/>
      <c r="H85" s="1"/>
      <c r="I85" s="1"/>
      <c r="J85" s="1"/>
      <c r="K85" s="69"/>
      <c r="L85" s="1"/>
      <c r="M85" s="1"/>
      <c r="N85" s="1"/>
      <c r="O85" s="1"/>
      <c r="P85" s="1"/>
      <c r="Q85" s="1"/>
      <c r="R85" s="1"/>
      <c r="S85" s="44"/>
      <c r="X85" s="1">
        <f>SUBTOTAL(9,Tabella224[[#This Row],[Evidenze storiche di contraffazione o adulterazione]:[Tipologia della materia prima]])</f>
        <v>0</v>
      </c>
    </row>
    <row r="86" hidden="1">
      <c r="F86" s="67"/>
      <c r="G86" s="1"/>
      <c r="H86" s="1"/>
      <c r="I86" s="1"/>
      <c r="J86" s="1"/>
      <c r="K86" s="69"/>
      <c r="L86" s="1"/>
      <c r="M86" s="1"/>
      <c r="N86" s="1"/>
      <c r="O86" s="1"/>
      <c r="P86" s="1"/>
      <c r="Q86" s="1"/>
      <c r="R86" s="1"/>
      <c r="S86" s="44"/>
      <c r="X86" s="1">
        <f>SUBTOTAL(9,Tabella224[[#This Row],[Evidenze storiche di contraffazione o adulterazione]:[Tipologia della materia prima]])</f>
        <v>0</v>
      </c>
    </row>
    <row r="87" hidden="1">
      <c r="F87" s="67"/>
      <c r="G87" s="1"/>
      <c r="H87" s="1"/>
      <c r="I87" s="1"/>
      <c r="J87" s="1"/>
      <c r="K87" s="69"/>
      <c r="L87" s="1"/>
      <c r="M87" s="1"/>
      <c r="N87" s="1"/>
      <c r="O87" s="1"/>
      <c r="P87" s="1"/>
      <c r="Q87" s="1"/>
      <c r="R87" s="1"/>
      <c r="S87" s="44"/>
      <c r="X87" s="1">
        <f>SUBTOTAL(9,Tabella224[[#This Row],[Evidenze storiche di contraffazione o adulterazione]:[Tipologia della materia prima]])</f>
        <v>0</v>
      </c>
    </row>
    <row r="88" hidden="1">
      <c r="F88" s="67"/>
      <c r="G88" s="1"/>
      <c r="H88" s="1"/>
      <c r="I88" s="1"/>
      <c r="J88" s="1"/>
      <c r="K88" s="69"/>
      <c r="L88" s="1"/>
      <c r="M88" s="1"/>
      <c r="N88" s="1"/>
      <c r="O88" s="1"/>
      <c r="P88" s="1"/>
      <c r="Q88" s="1"/>
      <c r="R88" s="1"/>
      <c r="S88" s="44"/>
      <c r="X88" s="1">
        <f>SUBTOTAL(9,Tabella224[[#This Row],[Evidenze storiche di contraffazione o adulterazione]:[Tipologia della materia prima]])</f>
        <v>0</v>
      </c>
    </row>
    <row r="89" hidden="1">
      <c r="F89" s="67"/>
      <c r="G89" s="1"/>
      <c r="H89" s="1"/>
      <c r="I89" s="1"/>
      <c r="J89" s="1"/>
      <c r="K89" s="69"/>
      <c r="L89" s="1"/>
      <c r="M89" s="1"/>
      <c r="N89" s="1"/>
      <c r="O89" s="1"/>
      <c r="P89" s="1"/>
      <c r="Q89" s="1"/>
      <c r="R89" s="1"/>
      <c r="S89" s="44"/>
      <c r="X89" s="1">
        <f>SUBTOTAL(9,Tabella224[[#This Row],[Evidenze storiche di contraffazione o adulterazione]:[Tipologia della materia prima]])</f>
        <v>0</v>
      </c>
    </row>
    <row r="90" hidden="1">
      <c r="F90" s="67"/>
      <c r="G90" s="1"/>
      <c r="H90" s="1"/>
      <c r="I90" s="1"/>
      <c r="J90" s="1"/>
      <c r="K90" s="69"/>
      <c r="L90" s="1"/>
      <c r="M90" s="1"/>
      <c r="N90" s="1"/>
      <c r="O90" s="1"/>
      <c r="P90" s="1"/>
      <c r="Q90" s="1"/>
      <c r="R90" s="1"/>
      <c r="S90" s="44"/>
      <c r="X90" s="1">
        <f>SUBTOTAL(9,Tabella224[[#This Row],[Evidenze storiche di contraffazione o adulterazione]:[Tipologia della materia prima]])</f>
        <v>0</v>
      </c>
    </row>
    <row r="91" hidden="1">
      <c r="F91" s="67"/>
      <c r="G91" s="1"/>
      <c r="H91" s="1"/>
      <c r="I91" s="1"/>
      <c r="J91" s="1"/>
      <c r="K91" s="69"/>
      <c r="L91" s="1"/>
      <c r="M91" s="1"/>
      <c r="N91" s="1"/>
      <c r="O91" s="1"/>
      <c r="P91" s="1"/>
      <c r="Q91" s="1"/>
      <c r="R91" s="1"/>
      <c r="S91" s="44"/>
      <c r="X91" s="1">
        <f>SUBTOTAL(9,Tabella224[[#This Row],[Evidenze storiche di contraffazione o adulterazione]:[Tipologia della materia prima]])</f>
        <v>0</v>
      </c>
    </row>
    <row r="92" hidden="1">
      <c r="F92" s="67"/>
      <c r="G92" s="1"/>
      <c r="H92" s="1"/>
      <c r="I92" s="1"/>
      <c r="J92" s="1"/>
      <c r="K92" s="69"/>
      <c r="L92" s="1"/>
      <c r="M92" s="1"/>
      <c r="N92" s="1"/>
      <c r="O92" s="1"/>
      <c r="P92" s="1"/>
      <c r="Q92" s="1"/>
      <c r="R92" s="1"/>
      <c r="S92" s="44"/>
      <c r="X92" s="1">
        <f>SUBTOTAL(9,Tabella224[[#This Row],[Evidenze storiche di contraffazione o adulterazione]:[Tipologia della materia prima]])</f>
        <v>0</v>
      </c>
    </row>
    <row r="93" hidden="1">
      <c r="F93" s="67"/>
      <c r="G93" s="1"/>
      <c r="H93" s="1"/>
      <c r="I93" s="1"/>
      <c r="J93" s="1"/>
      <c r="K93" s="69"/>
      <c r="L93" s="1"/>
      <c r="M93" s="1"/>
      <c r="N93" s="1"/>
      <c r="O93" s="1"/>
      <c r="P93" s="1"/>
      <c r="Q93" s="1"/>
      <c r="R93" s="1"/>
      <c r="S93" s="44"/>
      <c r="X93" s="1">
        <f>SUBTOTAL(9,Tabella224[[#This Row],[Evidenze storiche di contraffazione o adulterazione]:[Tipologia della materia prima]])</f>
        <v>0</v>
      </c>
    </row>
    <row r="94" hidden="1">
      <c r="F94" s="67"/>
      <c r="G94" s="1"/>
      <c r="H94" s="1"/>
      <c r="I94" s="1"/>
      <c r="J94" s="1"/>
      <c r="K94" s="69"/>
      <c r="L94" s="1"/>
      <c r="M94" s="1"/>
      <c r="N94" s="1"/>
      <c r="O94" s="1"/>
      <c r="P94" s="1"/>
      <c r="Q94" s="1"/>
      <c r="R94" s="1"/>
      <c r="S94" s="44"/>
      <c r="X94" s="1">
        <f>SUBTOTAL(9,Tabella224[[#This Row],[Evidenze storiche di contraffazione o adulterazione]:[Tipologia della materia prima]])</f>
        <v>0</v>
      </c>
    </row>
    <row r="95" hidden="1">
      <c r="F95" s="67"/>
      <c r="G95" s="1"/>
      <c r="H95" s="1"/>
      <c r="I95" s="1"/>
      <c r="J95" s="1"/>
      <c r="K95" s="69"/>
      <c r="L95" s="1"/>
      <c r="M95" s="1"/>
      <c r="N95" s="1"/>
      <c r="O95" s="1"/>
      <c r="P95" s="1"/>
      <c r="Q95" s="1"/>
      <c r="R95" s="1"/>
      <c r="S95" s="44"/>
      <c r="X95" s="1">
        <f>SUBTOTAL(9,Tabella224[[#This Row],[Evidenze storiche di contraffazione o adulterazione]:[Tipologia della materia prima]])</f>
        <v>0</v>
      </c>
    </row>
    <row r="96" hidden="1">
      <c r="F96" s="67"/>
      <c r="G96" s="1"/>
      <c r="H96" s="1"/>
      <c r="I96" s="1"/>
      <c r="J96" s="1"/>
      <c r="K96" s="69"/>
      <c r="L96" s="1"/>
      <c r="M96" s="1"/>
      <c r="N96" s="1"/>
      <c r="O96" s="1"/>
      <c r="P96" s="1"/>
      <c r="Q96" s="1"/>
      <c r="R96" s="1"/>
      <c r="S96" s="44"/>
      <c r="X96" s="1">
        <f>SUBTOTAL(9,Tabella224[[#This Row],[Evidenze storiche di contraffazione o adulterazione]:[Tipologia della materia prima]])</f>
        <v>0</v>
      </c>
    </row>
    <row r="97" hidden="1">
      <c r="F97" s="67"/>
      <c r="G97" s="1"/>
      <c r="H97" s="1"/>
      <c r="I97" s="1"/>
      <c r="J97" s="1"/>
      <c r="K97" s="69"/>
      <c r="L97" s="1"/>
      <c r="M97" s="1"/>
      <c r="N97" s="1"/>
      <c r="O97" s="1"/>
      <c r="P97" s="1"/>
      <c r="Q97" s="1"/>
      <c r="R97" s="1"/>
      <c r="S97" s="44"/>
      <c r="X97" s="1">
        <f>SUBTOTAL(9,Tabella224[[#This Row],[Evidenze storiche di contraffazione o adulterazione]:[Tipologia della materia prima]])</f>
        <v>0</v>
      </c>
    </row>
    <row r="98" hidden="1">
      <c r="F98" s="67"/>
      <c r="G98" s="1"/>
      <c r="H98" s="1"/>
      <c r="I98" s="1"/>
      <c r="J98" s="1"/>
      <c r="K98" s="69"/>
      <c r="L98" s="1"/>
      <c r="M98" s="1"/>
      <c r="N98" s="1"/>
      <c r="O98" s="1"/>
      <c r="P98" s="1"/>
      <c r="Q98" s="1"/>
      <c r="R98" s="1"/>
      <c r="S98" s="44"/>
      <c r="X98" s="1">
        <f>SUBTOTAL(9,Tabella224[[#This Row],[Evidenze storiche di contraffazione o adulterazione]:[Tipologia della materia prima]])</f>
        <v>0</v>
      </c>
    </row>
    <row r="99" hidden="1">
      <c r="F99" s="67"/>
      <c r="G99" s="1"/>
      <c r="H99" s="1"/>
      <c r="I99" s="1"/>
      <c r="J99" s="1"/>
      <c r="K99" s="69"/>
      <c r="L99" s="1"/>
      <c r="M99" s="1"/>
      <c r="N99" s="1"/>
      <c r="O99" s="1"/>
      <c r="P99" s="1"/>
      <c r="Q99" s="1"/>
      <c r="R99" s="1"/>
      <c r="S99" s="44"/>
      <c r="X99" s="1">
        <f>SUBTOTAL(9,Tabella224[[#This Row],[Evidenze storiche di contraffazione o adulterazione]:[Tipologia della materia prima]])</f>
        <v>0</v>
      </c>
    </row>
    <row r="100" hidden="1">
      <c r="F100" s="67"/>
      <c r="G100" s="1"/>
      <c r="H100" s="1"/>
      <c r="I100" s="1"/>
      <c r="J100" s="1"/>
      <c r="K100" s="69"/>
      <c r="L100" s="1"/>
      <c r="M100" s="1"/>
      <c r="N100" s="1"/>
      <c r="O100" s="1"/>
      <c r="P100" s="1"/>
      <c r="Q100" s="1"/>
      <c r="R100" s="1"/>
      <c r="S100" s="44"/>
      <c r="X100" s="1">
        <f>SUBTOTAL(9,Tabella224[[#This Row],[Evidenze storiche di contraffazione o adulterazione]:[Tipologia della materia prima]])</f>
        <v>0</v>
      </c>
    </row>
    <row r="101" hidden="1">
      <c r="F101" s="67"/>
      <c r="G101" s="1"/>
      <c r="H101" s="1"/>
      <c r="I101" s="1"/>
      <c r="J101" s="1"/>
      <c r="K101" s="69"/>
      <c r="L101" s="1"/>
      <c r="M101" s="1"/>
      <c r="N101" s="1"/>
      <c r="O101" s="1"/>
      <c r="P101" s="1"/>
      <c r="Q101" s="1"/>
      <c r="R101" s="1"/>
      <c r="S101" s="44"/>
      <c r="X101" s="1">
        <f>SUBTOTAL(9,Tabella224[[#This Row],[Evidenze storiche di contraffazione o adulterazione]:[Tipologia della materia prima]])</f>
        <v>0</v>
      </c>
    </row>
    <row r="102" hidden="1">
      <c r="F102" s="67"/>
      <c r="G102" s="1"/>
      <c r="H102" s="1"/>
      <c r="I102" s="1"/>
      <c r="J102" s="1"/>
      <c r="K102" s="69"/>
      <c r="L102" s="1"/>
      <c r="M102" s="1"/>
      <c r="N102" s="1"/>
      <c r="O102" s="1"/>
      <c r="P102" s="1"/>
      <c r="Q102" s="1"/>
      <c r="R102" s="1"/>
      <c r="S102" s="44"/>
      <c r="X102" s="1">
        <f>SUBTOTAL(9,Tabella224[[#This Row],[Evidenze storiche di contraffazione o adulterazione]:[Tipologia della materia prima]])</f>
        <v>0</v>
      </c>
    </row>
    <row r="103" hidden="1">
      <c r="F103" s="67"/>
      <c r="G103" s="1"/>
      <c r="H103" s="1"/>
      <c r="I103" s="1"/>
      <c r="J103" s="1"/>
      <c r="K103" s="69"/>
      <c r="L103" s="1"/>
      <c r="M103" s="1"/>
      <c r="N103" s="1"/>
      <c r="O103" s="1"/>
      <c r="P103" s="1"/>
      <c r="Q103" s="1"/>
      <c r="R103" s="1"/>
      <c r="S103" s="44"/>
      <c r="X103" s="1">
        <f>SUBTOTAL(9,Tabella224[[#This Row],[Evidenze storiche di contraffazione o adulterazione]:[Tipologia della materia prima]])</f>
        <v>0</v>
      </c>
    </row>
    <row r="104" hidden="1">
      <c r="F104" s="67"/>
      <c r="G104" s="1"/>
      <c r="H104" s="1"/>
      <c r="I104" s="1"/>
      <c r="J104" s="1"/>
      <c r="K104" s="69"/>
      <c r="L104" s="1"/>
      <c r="M104" s="1"/>
      <c r="N104" s="1"/>
      <c r="O104" s="1"/>
      <c r="P104" s="1"/>
      <c r="Q104" s="1"/>
      <c r="R104" s="1"/>
      <c r="S104" s="44"/>
      <c r="X104" s="1">
        <f>SUBTOTAL(9,Tabella224[[#This Row],[Evidenze storiche di contraffazione o adulterazione]:[Tipologia della materia prima]])</f>
        <v>0</v>
      </c>
    </row>
    <row r="105" hidden="1">
      <c r="F105" s="67"/>
      <c r="G105" s="1"/>
      <c r="H105" s="1"/>
      <c r="I105" s="1"/>
      <c r="J105" s="1"/>
      <c r="K105" s="69"/>
      <c r="L105" s="1"/>
      <c r="M105" s="1"/>
      <c r="N105" s="1"/>
      <c r="O105" s="1"/>
      <c r="P105" s="1"/>
      <c r="Q105" s="1"/>
      <c r="R105" s="1"/>
      <c r="S105" s="44"/>
      <c r="X105" s="1">
        <f>SUBTOTAL(9,Tabella224[[#This Row],[Evidenze storiche di contraffazione o adulterazione]:[Tipologia della materia prima]])</f>
        <v>0</v>
      </c>
    </row>
    <row r="106" hidden="1">
      <c r="F106" s="67"/>
      <c r="G106" s="1"/>
      <c r="H106" s="1"/>
      <c r="I106" s="1"/>
      <c r="J106" s="1"/>
      <c r="K106" s="69"/>
      <c r="L106" s="1"/>
      <c r="M106" s="1"/>
      <c r="N106" s="1"/>
      <c r="O106" s="1"/>
      <c r="P106" s="1"/>
      <c r="Q106" s="1"/>
      <c r="R106" s="1"/>
      <c r="S106" s="44"/>
      <c r="X106" s="1">
        <f>SUBTOTAL(9,Tabella224[[#This Row],[Evidenze storiche di contraffazione o adulterazione]:[Tipologia della materia prima]])</f>
        <v>0</v>
      </c>
    </row>
    <row r="107" hidden="1">
      <c r="F107" s="67"/>
      <c r="G107" s="1"/>
      <c r="H107" s="1"/>
      <c r="I107" s="1"/>
      <c r="J107" s="1"/>
      <c r="K107" s="69"/>
      <c r="L107" s="1"/>
      <c r="M107" s="1"/>
      <c r="N107" s="1"/>
      <c r="O107" s="1"/>
      <c r="P107" s="1"/>
      <c r="Q107" s="1"/>
      <c r="R107" s="1"/>
      <c r="S107" s="44"/>
      <c r="X107" s="1">
        <f>SUBTOTAL(9,Tabella224[[#This Row],[Evidenze storiche di contraffazione o adulterazione]:[Tipologia della materia prima]])</f>
        <v>0</v>
      </c>
    </row>
    <row r="108" hidden="1">
      <c r="F108" s="67"/>
      <c r="G108" s="1"/>
      <c r="H108" s="1"/>
      <c r="I108" s="1"/>
      <c r="J108" s="1"/>
      <c r="K108" s="69"/>
      <c r="L108" s="1"/>
      <c r="M108" s="1"/>
      <c r="N108" s="1"/>
      <c r="O108" s="1"/>
      <c r="P108" s="1"/>
      <c r="Q108" s="1"/>
      <c r="R108" s="1"/>
      <c r="S108" s="44"/>
      <c r="X108" s="1">
        <f>SUBTOTAL(9,Tabella224[[#This Row],[Evidenze storiche di contraffazione o adulterazione]:[Tipologia della materia prima]])</f>
        <v>0</v>
      </c>
    </row>
    <row r="109" hidden="1">
      <c r="F109" s="67"/>
      <c r="G109" s="1"/>
      <c r="H109" s="1"/>
      <c r="I109" s="1"/>
      <c r="J109" s="1"/>
      <c r="K109" s="69"/>
      <c r="L109" s="1"/>
      <c r="M109" s="1"/>
      <c r="N109" s="1"/>
      <c r="O109" s="1"/>
      <c r="P109" s="1"/>
      <c r="Q109" s="1"/>
      <c r="R109" s="1"/>
      <c r="S109" s="44"/>
      <c r="X109" s="1">
        <f>SUBTOTAL(9,Tabella224[[#This Row],[Evidenze storiche di contraffazione o adulterazione]:[Tipologia della materia prima]])</f>
        <v>0</v>
      </c>
    </row>
    <row r="110" hidden="1">
      <c r="F110" s="67"/>
      <c r="G110" s="1"/>
      <c r="H110" s="1"/>
      <c r="I110" s="1"/>
      <c r="J110" s="1"/>
      <c r="K110" s="69"/>
      <c r="L110" s="1"/>
      <c r="M110" s="1"/>
      <c r="N110" s="1"/>
      <c r="O110" s="1"/>
      <c r="P110" s="1"/>
      <c r="Q110" s="1"/>
      <c r="R110" s="1"/>
      <c r="S110" s="44"/>
      <c r="X110" s="1">
        <f>SUBTOTAL(9,Tabella224[[#This Row],[Evidenze storiche di contraffazione o adulterazione]:[Tipologia della materia prima]])</f>
        <v>0</v>
      </c>
    </row>
    <row r="111" hidden="1">
      <c r="F111" s="67"/>
      <c r="G111" s="1"/>
      <c r="H111" s="1"/>
      <c r="I111" s="1"/>
      <c r="J111" s="1"/>
      <c r="K111" s="69"/>
      <c r="L111" s="1"/>
      <c r="M111" s="1"/>
      <c r="N111" s="1"/>
      <c r="O111" s="1"/>
      <c r="P111" s="1"/>
      <c r="Q111" s="1"/>
      <c r="R111" s="1"/>
      <c r="S111" s="44"/>
      <c r="X111" s="1">
        <f>SUBTOTAL(9,Tabella224[[#This Row],[Evidenze storiche di contraffazione o adulterazione]:[Tipologia della materia prima]])</f>
        <v>0</v>
      </c>
    </row>
    <row r="112" hidden="1">
      <c r="F112" s="67"/>
      <c r="G112" s="1"/>
      <c r="H112" s="1"/>
      <c r="I112" s="1"/>
      <c r="J112" s="1"/>
      <c r="K112" s="69"/>
      <c r="L112" s="1"/>
      <c r="M112" s="1"/>
      <c r="N112" s="1"/>
      <c r="O112" s="1"/>
      <c r="P112" s="1"/>
      <c r="Q112" s="1"/>
      <c r="R112" s="1"/>
      <c r="S112" s="44"/>
      <c r="X112" s="1">
        <f>SUBTOTAL(9,Tabella224[[#This Row],[Evidenze storiche di contraffazione o adulterazione]:[Tipologia della materia prima]])</f>
        <v>0</v>
      </c>
    </row>
    <row r="113" hidden="1">
      <c r="F113" s="67"/>
      <c r="G113" s="1"/>
      <c r="H113" s="1"/>
      <c r="I113" s="1"/>
      <c r="J113" s="1"/>
      <c r="K113" s="69"/>
      <c r="L113" s="1"/>
      <c r="M113" s="1"/>
      <c r="N113" s="1"/>
      <c r="O113" s="1"/>
      <c r="P113" s="1"/>
      <c r="Q113" s="1"/>
      <c r="R113" s="1"/>
      <c r="S113" s="44"/>
      <c r="X113" s="1">
        <f>SUBTOTAL(9,Tabella224[[#This Row],[Evidenze storiche di contraffazione o adulterazione]:[Tipologia della materia prima]])</f>
        <v>0</v>
      </c>
    </row>
    <row r="114" hidden="1">
      <c r="F114" s="67"/>
      <c r="G114" s="1"/>
      <c r="H114" s="1"/>
      <c r="I114" s="1"/>
      <c r="J114" s="1"/>
      <c r="K114" s="69"/>
      <c r="L114" s="1"/>
      <c r="M114" s="1"/>
      <c r="N114" s="1"/>
      <c r="O114" s="1"/>
      <c r="P114" s="1"/>
      <c r="Q114" s="1"/>
      <c r="R114" s="1"/>
      <c r="S114" s="44"/>
      <c r="X114" s="1">
        <f>SUBTOTAL(9,Tabella224[[#This Row],[Evidenze storiche di contraffazione o adulterazione]:[Tipologia della materia prima]])</f>
        <v>0</v>
      </c>
    </row>
    <row r="115" hidden="1">
      <c r="F115" s="67"/>
      <c r="G115" s="1"/>
      <c r="H115" s="1"/>
      <c r="I115" s="1"/>
      <c r="J115" s="1"/>
      <c r="K115" s="69"/>
      <c r="L115" s="1"/>
      <c r="M115" s="1"/>
      <c r="N115" s="1"/>
      <c r="O115" s="1"/>
      <c r="P115" s="1"/>
      <c r="Q115" s="1"/>
      <c r="R115" s="1"/>
      <c r="S115" s="44"/>
      <c r="X115" s="1">
        <f>SUBTOTAL(9,Tabella224[[#This Row],[Evidenze storiche di contraffazione o adulterazione]:[Tipologia della materia prima]])</f>
        <v>0</v>
      </c>
    </row>
    <row r="116" hidden="1">
      <c r="F116" s="67"/>
      <c r="G116" s="1"/>
      <c r="H116" s="1"/>
      <c r="I116" s="1"/>
      <c r="J116" s="1"/>
      <c r="K116" s="69"/>
      <c r="L116" s="1"/>
      <c r="M116" s="1"/>
      <c r="N116" s="1"/>
      <c r="O116" s="1"/>
      <c r="P116" s="1"/>
      <c r="Q116" s="1"/>
      <c r="R116" s="1"/>
      <c r="S116" s="44"/>
      <c r="X116" s="1">
        <f>SUBTOTAL(9,Tabella224[[#This Row],[Evidenze storiche di contraffazione o adulterazione]:[Tipologia della materia prima]])</f>
        <v>0</v>
      </c>
    </row>
    <row r="117" hidden="1">
      <c r="F117" s="67"/>
      <c r="G117" s="1"/>
      <c r="H117" s="1"/>
      <c r="I117" s="1"/>
      <c r="J117" s="1"/>
      <c r="K117" s="69"/>
      <c r="L117" s="1"/>
      <c r="M117" s="1"/>
      <c r="N117" s="1"/>
      <c r="O117" s="1"/>
      <c r="P117" s="1"/>
      <c r="Q117" s="1"/>
      <c r="R117" s="1"/>
      <c r="S117" s="44"/>
      <c r="X117" s="1">
        <f>SUBTOTAL(9,Tabella224[[#This Row],[Evidenze storiche di contraffazione o adulterazione]:[Tipologia della materia prima]])</f>
        <v>0</v>
      </c>
    </row>
    <row r="118" hidden="1">
      <c r="F118" s="67"/>
      <c r="G118" s="1"/>
      <c r="H118" s="1"/>
      <c r="I118" s="1"/>
      <c r="J118" s="1"/>
      <c r="K118" s="69"/>
      <c r="L118" s="1"/>
      <c r="M118" s="1"/>
      <c r="N118" s="1"/>
      <c r="O118" s="1"/>
      <c r="P118" s="1"/>
      <c r="Q118" s="1"/>
      <c r="R118" s="1"/>
      <c r="S118" s="44"/>
      <c r="X118" s="1">
        <f>SUBTOTAL(9,Tabella224[[#This Row],[Evidenze storiche di contraffazione o adulterazione]:[Tipologia della materia prima]])</f>
        <v>0</v>
      </c>
    </row>
    <row r="119" hidden="1">
      <c r="F119" s="67"/>
      <c r="G119" s="1"/>
      <c r="H119" s="1"/>
      <c r="I119" s="1"/>
      <c r="J119" s="1"/>
      <c r="K119" s="69"/>
      <c r="L119" s="1"/>
      <c r="M119" s="1"/>
      <c r="N119" s="1"/>
      <c r="O119" s="1"/>
      <c r="P119" s="1"/>
      <c r="Q119" s="1"/>
      <c r="R119" s="1"/>
      <c r="S119" s="44"/>
      <c r="X119" s="1">
        <f>SUBTOTAL(9,Tabella224[[#This Row],[Evidenze storiche di contraffazione o adulterazione]:[Tipologia della materia prima]])</f>
        <v>0</v>
      </c>
    </row>
    <row r="120" hidden="1">
      <c r="F120" s="67"/>
      <c r="G120" s="1"/>
      <c r="H120" s="1"/>
      <c r="I120" s="1"/>
      <c r="J120" s="1"/>
      <c r="K120" s="69"/>
      <c r="L120" s="1"/>
      <c r="M120" s="1"/>
      <c r="N120" s="1"/>
      <c r="O120" s="1"/>
      <c r="P120" s="1"/>
      <c r="Q120" s="1"/>
      <c r="R120" s="1"/>
      <c r="S120" s="44"/>
      <c r="X120" s="1">
        <f>SUBTOTAL(9,Tabella224[[#This Row],[Evidenze storiche di contraffazione o adulterazione]:[Tipologia della materia prima]])</f>
        <v>0</v>
      </c>
    </row>
    <row r="121" hidden="1">
      <c r="F121" s="67"/>
      <c r="G121" s="1"/>
      <c r="H121" s="1"/>
      <c r="I121" s="1"/>
      <c r="J121" s="1"/>
      <c r="K121" s="69"/>
      <c r="L121" s="1"/>
      <c r="M121" s="1"/>
      <c r="N121" s="1"/>
      <c r="O121" s="1"/>
      <c r="P121" s="1"/>
      <c r="Q121" s="1"/>
      <c r="R121" s="1"/>
      <c r="S121" s="44"/>
      <c r="X121" s="1">
        <f>SUBTOTAL(9,Tabella224[[#This Row],[Evidenze storiche di contraffazione o adulterazione]:[Tipologia della materia prima]])</f>
        <v>0</v>
      </c>
    </row>
    <row r="122" hidden="1">
      <c r="F122" s="67"/>
      <c r="G122" s="1"/>
      <c r="H122" s="1"/>
      <c r="I122" s="1"/>
      <c r="J122" s="1"/>
      <c r="K122" s="69"/>
      <c r="L122" s="1"/>
      <c r="M122" s="1"/>
      <c r="N122" s="1"/>
      <c r="O122" s="1"/>
      <c r="P122" s="1"/>
      <c r="Q122" s="1"/>
      <c r="R122" s="1"/>
      <c r="S122" s="44"/>
      <c r="X122" s="1">
        <f>SUBTOTAL(9,Tabella224[[#This Row],[Evidenze storiche di contraffazione o adulterazione]:[Tipologia della materia prima]])</f>
        <v>0</v>
      </c>
    </row>
    <row r="123" hidden="1">
      <c r="F123" s="67"/>
      <c r="G123" s="1"/>
      <c r="H123" s="1"/>
      <c r="I123" s="1"/>
      <c r="J123" s="1"/>
      <c r="K123" s="69"/>
      <c r="L123" s="1"/>
      <c r="M123" s="1"/>
      <c r="N123" s="1"/>
      <c r="O123" s="1"/>
      <c r="P123" s="1"/>
      <c r="Q123" s="1"/>
      <c r="R123" s="1"/>
      <c r="S123" s="44"/>
      <c r="X123" s="1">
        <f>SUBTOTAL(9,Tabella224[[#This Row],[Evidenze storiche di contraffazione o adulterazione]:[Tipologia della materia prima]])</f>
        <v>0</v>
      </c>
    </row>
    <row r="124" hidden="1">
      <c r="F124" s="67"/>
      <c r="G124" s="1"/>
      <c r="H124" s="1"/>
      <c r="I124" s="1"/>
      <c r="J124" s="1"/>
      <c r="K124" s="69"/>
      <c r="L124" s="1"/>
      <c r="M124" s="1"/>
      <c r="N124" s="1"/>
      <c r="O124" s="1"/>
      <c r="P124" s="1"/>
      <c r="Q124" s="1"/>
      <c r="R124" s="1"/>
      <c r="S124" s="44"/>
      <c r="X124" s="1">
        <f>SUBTOTAL(9,Tabella224[[#This Row],[Evidenze storiche di contraffazione o adulterazione]:[Tipologia della materia prima]])</f>
        <v>0</v>
      </c>
    </row>
    <row r="125" hidden="1">
      <c r="F125" s="67"/>
      <c r="G125" s="1"/>
      <c r="H125" s="1"/>
      <c r="I125" s="1"/>
      <c r="J125" s="1"/>
      <c r="K125" s="69"/>
      <c r="L125" s="1"/>
      <c r="M125" s="1"/>
      <c r="N125" s="1"/>
      <c r="O125" s="1"/>
      <c r="P125" s="1"/>
      <c r="Q125" s="1"/>
      <c r="R125" s="1"/>
      <c r="S125" s="44"/>
      <c r="X125" s="1">
        <f>SUBTOTAL(9,Tabella224[[#This Row],[Evidenze storiche di contraffazione o adulterazione]:[Tipologia della materia prima]])</f>
        <v>0</v>
      </c>
    </row>
    <row r="126" hidden="1">
      <c r="F126" s="67"/>
      <c r="G126" s="1"/>
      <c r="H126" s="1"/>
      <c r="I126" s="1"/>
      <c r="J126" s="1"/>
      <c r="K126" s="69"/>
      <c r="L126" s="1"/>
      <c r="M126" s="1"/>
      <c r="N126" s="1"/>
      <c r="O126" s="1"/>
      <c r="P126" s="1"/>
      <c r="Q126" s="1"/>
      <c r="R126" s="1"/>
      <c r="S126" s="44"/>
      <c r="X126" s="1">
        <f>SUBTOTAL(9,Tabella224[[#This Row],[Evidenze storiche di contraffazione o adulterazione]:[Tipologia della materia prima]])</f>
        <v>0</v>
      </c>
    </row>
    <row r="127" hidden="1">
      <c r="F127" s="67"/>
      <c r="G127" s="1"/>
      <c r="H127" s="1"/>
      <c r="I127" s="1"/>
      <c r="J127" s="1"/>
      <c r="K127" s="69"/>
      <c r="L127" s="1"/>
      <c r="M127" s="1"/>
      <c r="N127" s="1"/>
      <c r="O127" s="1"/>
      <c r="P127" s="1"/>
      <c r="Q127" s="1"/>
      <c r="R127" s="1"/>
      <c r="S127" s="44"/>
      <c r="X127" s="1">
        <f>SUBTOTAL(9,Tabella224[[#This Row],[Evidenze storiche di contraffazione o adulterazione]:[Tipologia della materia prima]])</f>
        <v>0</v>
      </c>
    </row>
    <row r="128" hidden="1">
      <c r="F128" s="67"/>
      <c r="G128" s="1"/>
      <c r="H128" s="1"/>
      <c r="I128" s="1"/>
      <c r="J128" s="1"/>
      <c r="K128" s="69"/>
      <c r="L128" s="1"/>
      <c r="M128" s="1"/>
      <c r="N128" s="1"/>
      <c r="O128" s="1"/>
      <c r="P128" s="1"/>
      <c r="Q128" s="1"/>
      <c r="R128" s="1"/>
      <c r="S128" s="44"/>
      <c r="X128" s="1">
        <f>SUBTOTAL(9,Tabella224[[#This Row],[Evidenze storiche di contraffazione o adulterazione]:[Tipologia della materia prima]])</f>
        <v>0</v>
      </c>
    </row>
    <row r="129" hidden="1">
      <c r="F129" s="67"/>
      <c r="G129" s="1"/>
      <c r="H129" s="1"/>
      <c r="I129" s="1"/>
      <c r="J129" s="1"/>
      <c r="K129" s="69"/>
      <c r="L129" s="1"/>
      <c r="M129" s="1"/>
      <c r="N129" s="1"/>
      <c r="O129" s="1"/>
      <c r="P129" s="1"/>
      <c r="Q129" s="1"/>
      <c r="R129" s="1"/>
      <c r="S129" s="44"/>
      <c r="X129" s="1">
        <f>SUBTOTAL(9,Tabella224[[#This Row],[Evidenze storiche di contraffazione o adulterazione]:[Tipologia della materia prima]])</f>
        <v>0</v>
      </c>
    </row>
    <row r="130" hidden="1">
      <c r="F130" s="67"/>
      <c r="G130" s="1"/>
      <c r="H130" s="1"/>
      <c r="I130" s="1"/>
      <c r="J130" s="1"/>
      <c r="K130" s="69"/>
      <c r="L130" s="1"/>
      <c r="M130" s="1"/>
      <c r="N130" s="1"/>
      <c r="O130" s="1"/>
      <c r="P130" s="1"/>
      <c r="Q130" s="1"/>
      <c r="R130" s="1"/>
      <c r="S130" s="44"/>
      <c r="X130" s="1">
        <f>SUBTOTAL(9,Tabella224[[#This Row],[Evidenze storiche di contraffazione o adulterazione]:[Tipologia della materia prima]])</f>
        <v>0</v>
      </c>
    </row>
    <row r="131" hidden="1">
      <c r="F131" s="67"/>
      <c r="G131" s="1"/>
      <c r="H131" s="1"/>
      <c r="I131" s="1"/>
      <c r="J131" s="1"/>
      <c r="K131" s="69"/>
      <c r="L131" s="1"/>
      <c r="M131" s="1"/>
      <c r="N131" s="1"/>
      <c r="O131" s="1"/>
      <c r="P131" s="1"/>
      <c r="Q131" s="1"/>
      <c r="R131" s="1"/>
      <c r="S131" s="44"/>
      <c r="X131" s="1">
        <f>SUBTOTAL(9,Tabella224[[#This Row],[Evidenze storiche di contraffazione o adulterazione]:[Tipologia della materia prima]])</f>
        <v>0</v>
      </c>
    </row>
    <row r="132" hidden="1">
      <c r="F132" s="67"/>
      <c r="G132" s="1"/>
      <c r="H132" s="1"/>
      <c r="I132" s="1"/>
      <c r="J132" s="1"/>
      <c r="K132" s="69"/>
      <c r="L132" s="1"/>
      <c r="M132" s="1"/>
      <c r="N132" s="1"/>
      <c r="O132" s="1"/>
      <c r="P132" s="1"/>
      <c r="Q132" s="1"/>
      <c r="R132" s="1"/>
      <c r="S132" s="44"/>
      <c r="X132" s="1">
        <f>SUBTOTAL(9,Tabella224[[#This Row],[Evidenze storiche di contraffazione o adulterazione]:[Tipologia della materia prima]])</f>
        <v>0</v>
      </c>
    </row>
    <row r="133" hidden="1">
      <c r="F133" s="67"/>
      <c r="G133" s="1"/>
      <c r="H133" s="1"/>
      <c r="I133" s="1"/>
      <c r="J133" s="1"/>
      <c r="K133" s="69"/>
      <c r="L133" s="1"/>
      <c r="M133" s="1"/>
      <c r="N133" s="1"/>
      <c r="O133" s="1"/>
      <c r="P133" s="1"/>
      <c r="Q133" s="1"/>
      <c r="R133" s="1"/>
      <c r="S133" s="44"/>
      <c r="X133" s="1">
        <f>SUBTOTAL(9,Tabella224[[#This Row],[Evidenze storiche di contraffazione o adulterazione]:[Tipologia della materia prima]])</f>
        <v>0</v>
      </c>
    </row>
    <row r="134" hidden="1">
      <c r="F134" s="67"/>
      <c r="G134" s="1"/>
      <c r="H134" s="1"/>
      <c r="I134" s="1"/>
      <c r="J134" s="1"/>
      <c r="K134" s="69"/>
      <c r="L134" s="1"/>
      <c r="M134" s="1"/>
      <c r="N134" s="1"/>
      <c r="O134" s="1"/>
      <c r="P134" s="1"/>
      <c r="Q134" s="1"/>
      <c r="R134" s="1"/>
      <c r="S134" s="44"/>
      <c r="X134" s="1">
        <f>SUBTOTAL(9,Tabella224[[#This Row],[Evidenze storiche di contraffazione o adulterazione]:[Tipologia della materia prima]])</f>
        <v>0</v>
      </c>
    </row>
    <row r="135" hidden="1">
      <c r="F135" s="67"/>
      <c r="G135" s="1"/>
      <c r="H135" s="1"/>
      <c r="I135" s="1"/>
      <c r="J135" s="1"/>
      <c r="K135" s="69"/>
      <c r="L135" s="1"/>
      <c r="M135" s="1"/>
      <c r="N135" s="1"/>
      <c r="O135" s="1"/>
      <c r="P135" s="1"/>
      <c r="Q135" s="1"/>
      <c r="R135" s="1"/>
      <c r="S135" s="44"/>
      <c r="X135" s="1">
        <f>SUBTOTAL(9,Tabella224[[#This Row],[Evidenze storiche di contraffazione o adulterazione]:[Tipologia della materia prima]])</f>
        <v>0</v>
      </c>
    </row>
    <row r="136" hidden="1">
      <c r="F136" s="67"/>
      <c r="G136" s="1"/>
      <c r="H136" s="1"/>
      <c r="I136" s="1"/>
      <c r="J136" s="1"/>
      <c r="K136" s="69"/>
      <c r="L136" s="1"/>
      <c r="M136" s="1"/>
      <c r="N136" s="1"/>
      <c r="O136" s="1"/>
      <c r="P136" s="1"/>
      <c r="Q136" s="1"/>
      <c r="R136" s="1"/>
      <c r="S136" s="44"/>
      <c r="X136" s="1">
        <f>SUBTOTAL(9,Tabella224[[#This Row],[Evidenze storiche di contraffazione o adulterazione]:[Tipologia della materia prima]])</f>
        <v>0</v>
      </c>
    </row>
    <row r="137" hidden="1">
      <c r="F137" s="67"/>
      <c r="G137" s="1"/>
      <c r="H137" s="1"/>
      <c r="I137" s="1"/>
      <c r="J137" s="1"/>
      <c r="K137" s="69"/>
      <c r="L137" s="1"/>
      <c r="M137" s="1"/>
      <c r="N137" s="1"/>
      <c r="O137" s="1"/>
      <c r="P137" s="1"/>
      <c r="Q137" s="1"/>
      <c r="R137" s="1"/>
      <c r="S137" s="44"/>
      <c r="X137" s="1">
        <f>SUBTOTAL(9,Tabella224[[#This Row],[Evidenze storiche di contraffazione o adulterazione]:[Tipologia della materia prima]])</f>
        <v>0</v>
      </c>
    </row>
    <row r="138" hidden="1">
      <c r="F138" s="67"/>
      <c r="G138" s="1"/>
      <c r="H138" s="1"/>
      <c r="I138" s="1"/>
      <c r="J138" s="1"/>
      <c r="K138" s="69"/>
      <c r="L138" s="1"/>
      <c r="M138" s="1"/>
      <c r="N138" s="1"/>
      <c r="O138" s="1"/>
      <c r="P138" s="1"/>
      <c r="Q138" s="1"/>
      <c r="R138" s="1"/>
      <c r="S138" s="44"/>
      <c r="X138" s="1">
        <f>SUBTOTAL(9,Tabella224[[#This Row],[Evidenze storiche di contraffazione o adulterazione]:[Tipologia della materia prima]])</f>
        <v>0</v>
      </c>
    </row>
    <row r="139" hidden="1">
      <c r="F139" s="67"/>
      <c r="G139" s="1"/>
      <c r="H139" s="1"/>
      <c r="I139" s="1"/>
      <c r="J139" s="1"/>
      <c r="K139" s="69"/>
      <c r="L139" s="1"/>
      <c r="M139" s="1"/>
      <c r="N139" s="1"/>
      <c r="O139" s="1"/>
      <c r="P139" s="1"/>
      <c r="Q139" s="1"/>
      <c r="R139" s="1"/>
      <c r="S139" s="44"/>
      <c r="X139" s="1">
        <f>SUBTOTAL(9,Tabella224[[#This Row],[Evidenze storiche di contraffazione o adulterazione]:[Tipologia della materia prima]])</f>
        <v>0</v>
      </c>
    </row>
    <row r="140" hidden="1">
      <c r="F140" s="67"/>
      <c r="G140" s="1"/>
      <c r="H140" s="1"/>
      <c r="I140" s="1"/>
      <c r="J140" s="1"/>
      <c r="K140" s="69"/>
      <c r="L140" s="1"/>
      <c r="M140" s="1"/>
      <c r="N140" s="1"/>
      <c r="O140" s="1"/>
      <c r="P140" s="1"/>
      <c r="Q140" s="1"/>
      <c r="R140" s="1"/>
      <c r="S140" s="44"/>
      <c r="X140" s="1">
        <f>SUBTOTAL(9,Tabella224[[#This Row],[Evidenze storiche di contraffazione o adulterazione]:[Tipologia della materia prima]])</f>
        <v>0</v>
      </c>
    </row>
    <row r="141" hidden="1">
      <c r="F141" s="67"/>
      <c r="G141" s="1"/>
      <c r="H141" s="1"/>
      <c r="I141" s="1"/>
      <c r="J141" s="1"/>
      <c r="K141" s="69"/>
      <c r="L141" s="1"/>
      <c r="M141" s="1"/>
      <c r="N141" s="1"/>
      <c r="O141" s="1"/>
      <c r="P141" s="1"/>
      <c r="Q141" s="1"/>
      <c r="R141" s="1"/>
      <c r="S141" s="44"/>
      <c r="X141" s="1">
        <f>SUBTOTAL(9,Tabella224[[#This Row],[Evidenze storiche di contraffazione o adulterazione]:[Tipologia della materia prima]])</f>
        <v>0</v>
      </c>
    </row>
    <row r="142" hidden="1">
      <c r="F142" s="67"/>
      <c r="G142" s="1"/>
      <c r="H142" s="1"/>
      <c r="I142" s="1"/>
      <c r="J142" s="1"/>
      <c r="K142" s="69"/>
      <c r="L142" s="1"/>
      <c r="M142" s="1"/>
      <c r="N142" s="1"/>
      <c r="O142" s="1"/>
      <c r="P142" s="1"/>
      <c r="Q142" s="1"/>
      <c r="R142" s="1"/>
      <c r="S142" s="44"/>
      <c r="X142" s="1">
        <f>SUBTOTAL(9,Tabella224[[#This Row],[Evidenze storiche di contraffazione o adulterazione]:[Tipologia della materia prima]])</f>
        <v>0</v>
      </c>
    </row>
    <row r="143" hidden="1">
      <c r="F143" s="67"/>
      <c r="G143" s="1"/>
      <c r="H143" s="1"/>
      <c r="I143" s="1"/>
      <c r="J143" s="1"/>
      <c r="K143" s="69"/>
      <c r="L143" s="1"/>
      <c r="M143" s="1"/>
      <c r="N143" s="1"/>
      <c r="O143" s="1"/>
      <c r="P143" s="1"/>
      <c r="Q143" s="1"/>
      <c r="R143" s="1"/>
      <c r="S143" s="44"/>
      <c r="X143" s="1">
        <f>SUBTOTAL(9,Tabella224[[#This Row],[Evidenze storiche di contraffazione o adulterazione]:[Tipologia della materia prima]])</f>
        <v>0</v>
      </c>
    </row>
    <row r="144" hidden="1">
      <c r="F144" s="67"/>
      <c r="G144" s="1"/>
      <c r="H144" s="1"/>
      <c r="I144" s="1"/>
      <c r="J144" s="1"/>
      <c r="K144" s="69"/>
      <c r="L144" s="1"/>
      <c r="M144" s="1"/>
      <c r="N144" s="1"/>
      <c r="O144" s="1"/>
      <c r="P144" s="1"/>
      <c r="Q144" s="1"/>
      <c r="R144" s="1"/>
      <c r="S144" s="44"/>
      <c r="X144" s="1">
        <f>SUBTOTAL(9,Tabella224[[#This Row],[Evidenze storiche di contraffazione o adulterazione]:[Tipologia della materia prima]])</f>
        <v>0</v>
      </c>
    </row>
    <row r="145" hidden="1">
      <c r="F145" s="67"/>
      <c r="G145" s="1"/>
      <c r="H145" s="1"/>
      <c r="I145" s="1"/>
      <c r="J145" s="1"/>
      <c r="K145" s="69"/>
      <c r="L145" s="1"/>
      <c r="M145" s="1"/>
      <c r="N145" s="1"/>
      <c r="O145" s="1"/>
      <c r="P145" s="1"/>
      <c r="Q145" s="1"/>
      <c r="R145" s="1"/>
      <c r="S145" s="44"/>
      <c r="X145" s="1">
        <f>SUBTOTAL(9,Tabella224[[#This Row],[Evidenze storiche di contraffazione o adulterazione]:[Tipologia della materia prima]])</f>
        <v>0</v>
      </c>
    </row>
    <row r="146" hidden="1">
      <c r="F146" s="67"/>
      <c r="G146" s="1"/>
      <c r="H146" s="1"/>
      <c r="I146" s="1"/>
      <c r="J146" s="1"/>
      <c r="K146" s="69"/>
      <c r="L146" s="1"/>
      <c r="M146" s="1"/>
      <c r="N146" s="1"/>
      <c r="O146" s="1"/>
      <c r="P146" s="1"/>
      <c r="Q146" s="1"/>
      <c r="R146" s="1"/>
      <c r="S146" s="44"/>
      <c r="X146" s="1">
        <f>SUBTOTAL(9,Tabella224[[#This Row],[Evidenze storiche di contraffazione o adulterazione]:[Tipologia della materia prima]])</f>
        <v>0</v>
      </c>
    </row>
    <row r="147" hidden="1">
      <c r="F147" s="67"/>
      <c r="G147" s="1"/>
      <c r="H147" s="1"/>
      <c r="I147" s="1"/>
      <c r="J147" s="1"/>
      <c r="K147" s="69"/>
      <c r="L147" s="1"/>
      <c r="M147" s="1"/>
      <c r="N147" s="1"/>
      <c r="O147" s="1"/>
      <c r="P147" s="1"/>
      <c r="Q147" s="1"/>
      <c r="R147" s="1"/>
      <c r="S147" s="44"/>
      <c r="X147" s="1">
        <f>SUBTOTAL(9,Tabella224[[#This Row],[Evidenze storiche di contraffazione o adulterazione]:[Tipologia della materia prima]])</f>
        <v>0</v>
      </c>
    </row>
    <row r="148" hidden="1">
      <c r="F148" s="67"/>
      <c r="G148" s="1"/>
      <c r="H148" s="1"/>
      <c r="I148" s="1"/>
      <c r="J148" s="1"/>
      <c r="K148" s="69"/>
      <c r="L148" s="1"/>
      <c r="M148" s="1"/>
      <c r="N148" s="1"/>
      <c r="O148" s="1"/>
      <c r="P148" s="1"/>
      <c r="Q148" s="1"/>
      <c r="R148" s="1"/>
      <c r="S148" s="44"/>
      <c r="X148" s="1">
        <f>SUBTOTAL(9,Tabella224[[#This Row],[Evidenze storiche di contraffazione o adulterazione]:[Tipologia della materia prima]])</f>
        <v>0</v>
      </c>
    </row>
    <row r="149" hidden="1">
      <c r="F149" s="67"/>
      <c r="G149" s="1"/>
      <c r="H149" s="1"/>
      <c r="I149" s="1"/>
      <c r="J149" s="1"/>
      <c r="K149" s="69"/>
      <c r="L149" s="1"/>
      <c r="M149" s="1"/>
      <c r="N149" s="1"/>
      <c r="O149" s="1"/>
      <c r="P149" s="1"/>
      <c r="Q149" s="1"/>
      <c r="R149" s="1"/>
      <c r="S149" s="44"/>
      <c r="X149" s="1">
        <f>SUBTOTAL(9,Tabella224[[#This Row],[Evidenze storiche di contraffazione o adulterazione]:[Tipologia della materia prima]])</f>
        <v>0</v>
      </c>
    </row>
    <row r="150" hidden="1">
      <c r="F150" s="67"/>
      <c r="G150" s="1"/>
      <c r="H150" s="1"/>
      <c r="I150" s="1"/>
      <c r="J150" s="1"/>
      <c r="K150" s="69"/>
      <c r="L150" s="1"/>
      <c r="M150" s="1"/>
      <c r="N150" s="1"/>
      <c r="O150" s="1"/>
      <c r="P150" s="1"/>
      <c r="Q150" s="1"/>
      <c r="R150" s="1"/>
      <c r="S150" s="44"/>
      <c r="X150" s="1">
        <f>SUBTOTAL(9,Tabella224[[#This Row],[Evidenze storiche di contraffazione o adulterazione]:[Tipologia della materia prima]])</f>
        <v>0</v>
      </c>
    </row>
    <row r="151" hidden="1">
      <c r="F151" s="67"/>
      <c r="G151" s="1"/>
      <c r="H151" s="1"/>
      <c r="I151" s="1"/>
      <c r="J151" s="1"/>
      <c r="K151" s="69"/>
      <c r="L151" s="1"/>
      <c r="M151" s="1"/>
      <c r="N151" s="1"/>
      <c r="O151" s="1"/>
      <c r="P151" s="1"/>
      <c r="Q151" s="1"/>
      <c r="R151" s="1"/>
      <c r="S151" s="44"/>
      <c r="X151" s="1">
        <f>SUBTOTAL(9,Tabella224[[#This Row],[Evidenze storiche di contraffazione o adulterazione]:[Tipologia della materia prima]])</f>
        <v>0</v>
      </c>
    </row>
    <row r="152" hidden="1">
      <c r="F152" s="67"/>
      <c r="G152" s="1"/>
      <c r="H152" s="1"/>
      <c r="I152" s="1"/>
      <c r="J152" s="1"/>
      <c r="K152" s="69"/>
      <c r="L152" s="1"/>
      <c r="M152" s="1"/>
      <c r="N152" s="1"/>
      <c r="O152" s="1"/>
      <c r="P152" s="1"/>
      <c r="Q152" s="1"/>
      <c r="R152" s="1"/>
      <c r="S152" s="44"/>
      <c r="X152" s="1">
        <f>SUBTOTAL(9,Tabella224[[#This Row],[Evidenze storiche di contraffazione o adulterazione]:[Tipologia della materia prima]])</f>
        <v>0</v>
      </c>
    </row>
    <row r="153" hidden="1">
      <c r="F153" s="67"/>
      <c r="G153" s="1"/>
      <c r="H153" s="1"/>
      <c r="I153" s="1"/>
      <c r="J153" s="1"/>
      <c r="K153" s="69"/>
      <c r="L153" s="1"/>
      <c r="M153" s="1"/>
      <c r="N153" s="1"/>
      <c r="O153" s="1"/>
      <c r="P153" s="1"/>
      <c r="Q153" s="1"/>
      <c r="R153" s="1"/>
      <c r="S153" s="44"/>
      <c r="X153" s="1">
        <f>SUBTOTAL(9,Tabella224[[#This Row],[Evidenze storiche di contraffazione o adulterazione]:[Tipologia della materia prima]])</f>
        <v>0</v>
      </c>
    </row>
    <row r="154" hidden="1">
      <c r="F154" s="67"/>
      <c r="G154" s="1"/>
      <c r="H154" s="1"/>
      <c r="I154" s="1"/>
      <c r="J154" s="1"/>
      <c r="K154" s="69"/>
      <c r="L154" s="1"/>
      <c r="M154" s="1"/>
      <c r="N154" s="1"/>
      <c r="O154" s="1"/>
      <c r="P154" s="1"/>
      <c r="Q154" s="1"/>
      <c r="R154" s="1"/>
      <c r="S154" s="44"/>
      <c r="X154" s="1">
        <f>SUBTOTAL(9,Tabella224[[#This Row],[Evidenze storiche di contraffazione o adulterazione]:[Tipologia della materia prima]])</f>
        <v>0</v>
      </c>
    </row>
    <row r="155" hidden="1">
      <c r="F155" s="67"/>
      <c r="G155" s="1"/>
      <c r="H155" s="1"/>
      <c r="I155" s="1"/>
      <c r="J155" s="1"/>
      <c r="K155" s="69"/>
      <c r="L155" s="1"/>
      <c r="M155" s="1"/>
      <c r="N155" s="1"/>
      <c r="O155" s="1"/>
      <c r="P155" s="1"/>
      <c r="Q155" s="1"/>
      <c r="R155" s="1"/>
      <c r="S155" s="44"/>
      <c r="X155" s="1">
        <f>SUBTOTAL(9,Tabella224[[#This Row],[Evidenze storiche di contraffazione o adulterazione]:[Tipologia della materia prima]])</f>
        <v>0</v>
      </c>
    </row>
    <row r="156" hidden="1">
      <c r="F156" s="67"/>
      <c r="G156" s="1"/>
      <c r="H156" s="1"/>
      <c r="I156" s="1"/>
      <c r="J156" s="1"/>
      <c r="K156" s="69"/>
      <c r="L156" s="1"/>
      <c r="M156" s="1"/>
      <c r="N156" s="1"/>
      <c r="O156" s="1"/>
      <c r="P156" s="1"/>
      <c r="Q156" s="1"/>
      <c r="R156" s="1"/>
      <c r="S156" s="44"/>
      <c r="X156" s="1">
        <f>SUBTOTAL(9,Tabella224[[#This Row],[Evidenze storiche di contraffazione o adulterazione]:[Tipologia della materia prima]])</f>
        <v>0</v>
      </c>
    </row>
    <row r="157" hidden="1">
      <c r="F157" s="67"/>
      <c r="G157" s="1"/>
      <c r="H157" s="1"/>
      <c r="I157" s="1"/>
      <c r="J157" s="1"/>
      <c r="K157" s="69"/>
      <c r="L157" s="1"/>
      <c r="M157" s="1"/>
      <c r="N157" s="1"/>
      <c r="O157" s="1"/>
      <c r="P157" s="1"/>
      <c r="Q157" s="1"/>
      <c r="R157" s="1"/>
      <c r="S157" s="44"/>
      <c r="X157" s="1">
        <f>SUBTOTAL(9,Tabella224[[#This Row],[Evidenze storiche di contraffazione o adulterazione]:[Tipologia della materia prima]])</f>
        <v>0</v>
      </c>
    </row>
    <row r="158" hidden="1">
      <c r="F158" s="67"/>
      <c r="G158" s="1"/>
      <c r="H158" s="1"/>
      <c r="I158" s="1"/>
      <c r="J158" s="1"/>
      <c r="K158" s="69"/>
      <c r="L158" s="1"/>
      <c r="M158" s="1"/>
      <c r="N158" s="1"/>
      <c r="O158" s="1"/>
      <c r="P158" s="1"/>
      <c r="Q158" s="1"/>
      <c r="R158" s="1"/>
      <c r="S158" s="44"/>
      <c r="X158" s="1">
        <f>SUBTOTAL(9,Tabella224[[#This Row],[Evidenze storiche di contraffazione o adulterazione]:[Tipologia della materia prima]])</f>
        <v>0</v>
      </c>
    </row>
    <row r="159" hidden="1">
      <c r="F159" s="67"/>
      <c r="G159" s="1"/>
      <c r="H159" s="1"/>
      <c r="I159" s="1"/>
      <c r="J159" s="1"/>
      <c r="K159" s="69"/>
      <c r="L159" s="1"/>
      <c r="M159" s="1"/>
      <c r="N159" s="1"/>
      <c r="O159" s="1"/>
      <c r="P159" s="1"/>
      <c r="Q159" s="1"/>
      <c r="R159" s="1"/>
      <c r="S159" s="44"/>
      <c r="X159" s="1">
        <f>SUBTOTAL(9,Tabella224[[#This Row],[Evidenze storiche di contraffazione o adulterazione]:[Tipologia della materia prima]])</f>
        <v>0</v>
      </c>
    </row>
    <row r="160" hidden="1">
      <c r="F160" s="67"/>
      <c r="G160" s="1"/>
      <c r="H160" s="1"/>
      <c r="I160" s="1"/>
      <c r="J160" s="1"/>
      <c r="K160" s="69"/>
      <c r="L160" s="1"/>
      <c r="M160" s="1"/>
      <c r="N160" s="1"/>
      <c r="O160" s="1"/>
      <c r="P160" s="1"/>
      <c r="Q160" s="1"/>
      <c r="R160" s="1"/>
      <c r="S160" s="44"/>
      <c r="X160" s="1">
        <f>SUBTOTAL(9,Tabella224[[#This Row],[Evidenze storiche di contraffazione o adulterazione]:[Tipologia della materia prima]])</f>
        <v>0</v>
      </c>
    </row>
    <row r="161" hidden="1">
      <c r="F161" s="67"/>
      <c r="G161" s="1"/>
      <c r="H161" s="1"/>
      <c r="I161" s="1"/>
      <c r="J161" s="1"/>
      <c r="K161" s="69"/>
      <c r="L161" s="1"/>
      <c r="M161" s="1"/>
      <c r="N161" s="1"/>
      <c r="O161" s="1"/>
      <c r="P161" s="1"/>
      <c r="Q161" s="1"/>
      <c r="R161" s="1"/>
      <c r="S161" s="44"/>
      <c r="X161" s="1">
        <f>SUBTOTAL(9,Tabella224[[#This Row],[Evidenze storiche di contraffazione o adulterazione]:[Tipologia della materia prima]])</f>
        <v>0</v>
      </c>
    </row>
    <row r="162" hidden="1">
      <c r="F162" s="67"/>
      <c r="G162" s="1"/>
      <c r="H162" s="1"/>
      <c r="I162" s="1"/>
      <c r="J162" s="1"/>
      <c r="K162" s="69"/>
      <c r="L162" s="1"/>
      <c r="M162" s="1"/>
      <c r="N162" s="1"/>
      <c r="O162" s="1"/>
      <c r="P162" s="1"/>
      <c r="Q162" s="1"/>
      <c r="R162" s="1"/>
      <c r="S162" s="44"/>
      <c r="X162" s="1">
        <f>SUBTOTAL(9,Tabella224[[#This Row],[Evidenze storiche di contraffazione o adulterazione]:[Tipologia della materia prima]])</f>
        <v>0</v>
      </c>
    </row>
    <row r="163" hidden="1">
      <c r="F163" s="67"/>
      <c r="G163" s="1"/>
      <c r="H163" s="1"/>
      <c r="I163" s="1"/>
      <c r="J163" s="1"/>
      <c r="K163" s="69"/>
      <c r="L163" s="1"/>
      <c r="M163" s="1"/>
      <c r="N163" s="1"/>
      <c r="O163" s="1"/>
      <c r="P163" s="1"/>
      <c r="Q163" s="1"/>
      <c r="R163" s="1"/>
      <c r="S163" s="44"/>
      <c r="X163" s="1">
        <f>SUBTOTAL(9,Tabella224[[#This Row],[Evidenze storiche di contraffazione o adulterazione]:[Tipologia della materia prima]])</f>
        <v>0</v>
      </c>
    </row>
    <row r="164" hidden="1">
      <c r="F164" s="67"/>
      <c r="G164" s="1"/>
      <c r="H164" s="1"/>
      <c r="I164" s="1"/>
      <c r="J164" s="1"/>
      <c r="K164" s="69"/>
      <c r="L164" s="1"/>
      <c r="M164" s="1"/>
      <c r="N164" s="1"/>
      <c r="O164" s="1"/>
      <c r="P164" s="1"/>
      <c r="Q164" s="1"/>
      <c r="R164" s="1"/>
      <c r="S164" s="44"/>
      <c r="X164" s="1">
        <f>SUBTOTAL(9,Tabella224[[#This Row],[Evidenze storiche di contraffazione o adulterazione]:[Tipologia della materia prima]])</f>
        <v>0</v>
      </c>
    </row>
    <row r="165" hidden="1">
      <c r="F165" s="67"/>
      <c r="G165" s="1"/>
      <c r="H165" s="1"/>
      <c r="I165" s="1"/>
      <c r="J165" s="1"/>
      <c r="K165" s="69"/>
      <c r="L165" s="1"/>
      <c r="M165" s="1"/>
      <c r="N165" s="1"/>
      <c r="O165" s="1"/>
      <c r="P165" s="1"/>
      <c r="Q165" s="1"/>
      <c r="R165" s="1"/>
      <c r="S165" s="44"/>
      <c r="X165" s="1">
        <f>SUBTOTAL(9,Tabella224[[#This Row],[Evidenze storiche di contraffazione o adulterazione]:[Tipologia della materia prima]])</f>
        <v>0</v>
      </c>
    </row>
    <row r="166" hidden="1">
      <c r="F166" s="67"/>
      <c r="G166" s="1"/>
      <c r="H166" s="1"/>
      <c r="I166" s="1"/>
      <c r="J166" s="1"/>
      <c r="K166" s="69"/>
      <c r="L166" s="1"/>
      <c r="M166" s="1"/>
      <c r="N166" s="1"/>
      <c r="O166" s="1"/>
      <c r="P166" s="1"/>
      <c r="Q166" s="1"/>
      <c r="R166" s="1"/>
      <c r="S166" s="44"/>
      <c r="X166" s="1">
        <f>SUBTOTAL(9,Tabella224[[#This Row],[Evidenze storiche di contraffazione o adulterazione]:[Tipologia della materia prima]])</f>
        <v>0</v>
      </c>
    </row>
    <row r="167" hidden="1">
      <c r="F167" s="67"/>
      <c r="G167" s="1"/>
      <c r="H167" s="1"/>
      <c r="I167" s="1"/>
      <c r="J167" s="1"/>
      <c r="K167" s="69"/>
      <c r="L167" s="1"/>
      <c r="M167" s="1"/>
      <c r="N167" s="1"/>
      <c r="O167" s="1"/>
      <c r="P167" s="1"/>
      <c r="Q167" s="1"/>
      <c r="R167" s="1"/>
      <c r="S167" s="44"/>
      <c r="X167" s="1">
        <f>SUBTOTAL(9,Tabella224[[#This Row],[Evidenze storiche di contraffazione o adulterazione]:[Tipologia della materia prima]])</f>
        <v>0</v>
      </c>
    </row>
    <row r="168" hidden="1">
      <c r="F168" s="67"/>
      <c r="G168" s="1"/>
      <c r="H168" s="1"/>
      <c r="I168" s="1"/>
      <c r="J168" s="1"/>
      <c r="K168" s="69"/>
      <c r="L168" s="1"/>
      <c r="M168" s="1"/>
      <c r="N168" s="1"/>
      <c r="O168" s="1"/>
      <c r="P168" s="1"/>
      <c r="Q168" s="1"/>
      <c r="R168" s="1"/>
      <c r="S168" s="44"/>
      <c r="X168" s="1">
        <f>SUBTOTAL(9,Tabella224[[#This Row],[Evidenze storiche di contraffazione o adulterazione]:[Tipologia della materia prima]])</f>
        <v>0</v>
      </c>
    </row>
    <row r="169" hidden="1">
      <c r="F169" s="67"/>
      <c r="G169" s="1"/>
      <c r="H169" s="1"/>
      <c r="I169" s="1"/>
      <c r="J169" s="1"/>
      <c r="K169" s="69"/>
      <c r="L169" s="1"/>
      <c r="M169" s="1"/>
      <c r="N169" s="1"/>
      <c r="O169" s="1"/>
      <c r="P169" s="1"/>
      <c r="Q169" s="1"/>
      <c r="R169" s="1"/>
      <c r="S169" s="44"/>
      <c r="X169" s="1">
        <f>SUBTOTAL(9,Tabella224[[#This Row],[Evidenze storiche di contraffazione o adulterazione]:[Tipologia della materia prima]])</f>
        <v>0</v>
      </c>
    </row>
    <row r="170" hidden="1">
      <c r="F170" s="67"/>
      <c r="G170" s="1"/>
      <c r="H170" s="1"/>
      <c r="I170" s="1"/>
      <c r="J170" s="1"/>
      <c r="K170" s="69"/>
      <c r="L170" s="1"/>
      <c r="M170" s="1"/>
      <c r="N170" s="1"/>
      <c r="O170" s="1"/>
      <c r="P170" s="1"/>
      <c r="Q170" s="1"/>
      <c r="R170" s="1"/>
      <c r="S170" s="44"/>
      <c r="X170" s="1">
        <f>SUBTOTAL(9,Tabella224[[#This Row],[Evidenze storiche di contraffazione o adulterazione]:[Tipologia della materia prima]])</f>
        <v>0</v>
      </c>
    </row>
    <row r="171" hidden="1">
      <c r="F171" s="67"/>
      <c r="G171" s="1"/>
      <c r="H171" s="1"/>
      <c r="I171" s="1"/>
      <c r="J171" s="1"/>
      <c r="K171" s="69"/>
      <c r="L171" s="1"/>
      <c r="M171" s="1"/>
      <c r="N171" s="1"/>
      <c r="O171" s="1"/>
      <c r="P171" s="1"/>
      <c r="Q171" s="1"/>
      <c r="R171" s="1"/>
      <c r="S171" s="44"/>
      <c r="X171" s="1">
        <f>SUBTOTAL(9,Tabella224[[#This Row],[Evidenze storiche di contraffazione o adulterazione]:[Tipologia della materia prima]])</f>
        <v>0</v>
      </c>
    </row>
    <row r="172" hidden="1">
      <c r="F172" s="67"/>
      <c r="G172" s="1"/>
      <c r="H172" s="1"/>
      <c r="I172" s="1"/>
      <c r="J172" s="1"/>
      <c r="K172" s="69"/>
      <c r="L172" s="1"/>
      <c r="M172" s="1"/>
      <c r="N172" s="1"/>
      <c r="O172" s="1"/>
      <c r="P172" s="1"/>
      <c r="Q172" s="1"/>
      <c r="R172" s="1"/>
      <c r="S172" s="44"/>
      <c r="X172" s="1">
        <f>SUBTOTAL(9,Tabella224[[#This Row],[Evidenze storiche di contraffazione o adulterazione]:[Tipologia della materia prima]])</f>
        <v>0</v>
      </c>
    </row>
    <row r="173" hidden="1">
      <c r="F173" s="67"/>
      <c r="G173" s="1"/>
      <c r="H173" s="1"/>
      <c r="I173" s="1"/>
      <c r="J173" s="1"/>
      <c r="K173" s="69"/>
      <c r="L173" s="1"/>
      <c r="M173" s="1"/>
      <c r="N173" s="1"/>
      <c r="O173" s="1"/>
      <c r="P173" s="1"/>
      <c r="Q173" s="1"/>
      <c r="R173" s="1"/>
      <c r="S173" s="44"/>
      <c r="X173" s="1">
        <f>SUBTOTAL(9,Tabella224[[#This Row],[Evidenze storiche di contraffazione o adulterazione]:[Tipologia della materia prima]])</f>
        <v>0</v>
      </c>
    </row>
    <row r="174" hidden="1">
      <c r="F174" s="67"/>
      <c r="G174" s="1"/>
      <c r="H174" s="1"/>
      <c r="I174" s="1"/>
      <c r="J174" s="1"/>
      <c r="K174" s="69"/>
      <c r="L174" s="1"/>
      <c r="M174" s="1"/>
      <c r="N174" s="1"/>
      <c r="O174" s="1"/>
      <c r="P174" s="1"/>
      <c r="Q174" s="1"/>
      <c r="R174" s="1"/>
      <c r="S174" s="44"/>
      <c r="X174" s="1">
        <f>SUBTOTAL(9,Tabella224[[#This Row],[Evidenze storiche di contraffazione o adulterazione]:[Tipologia della materia prima]])</f>
        <v>0</v>
      </c>
    </row>
    <row r="175" hidden="1">
      <c r="F175" s="67"/>
      <c r="G175" s="1"/>
      <c r="H175" s="1"/>
      <c r="I175" s="1"/>
      <c r="J175" s="1"/>
      <c r="K175" s="69"/>
      <c r="L175" s="1"/>
      <c r="M175" s="1"/>
      <c r="N175" s="1"/>
      <c r="O175" s="1"/>
      <c r="P175" s="1"/>
      <c r="Q175" s="1"/>
      <c r="R175" s="1"/>
      <c r="S175" s="44"/>
      <c r="X175" s="1">
        <f>SUBTOTAL(9,Tabella224[[#This Row],[Evidenze storiche di contraffazione o adulterazione]:[Tipologia della materia prima]])</f>
        <v>0</v>
      </c>
    </row>
    <row r="176" hidden="1">
      <c r="F176" s="67"/>
      <c r="G176" s="1"/>
      <c r="H176" s="1"/>
      <c r="I176" s="1"/>
      <c r="J176" s="1"/>
      <c r="K176" s="69"/>
      <c r="L176" s="1"/>
      <c r="M176" s="1"/>
      <c r="N176" s="1"/>
      <c r="O176" s="1"/>
      <c r="P176" s="1"/>
      <c r="Q176" s="1"/>
      <c r="R176" s="1"/>
      <c r="S176" s="44"/>
      <c r="X176" s="1">
        <f>SUBTOTAL(9,Tabella224[[#This Row],[Evidenze storiche di contraffazione o adulterazione]:[Tipologia della materia prima]])</f>
        <v>0</v>
      </c>
    </row>
    <row r="177" hidden="1">
      <c r="F177" s="67"/>
      <c r="G177" s="1"/>
      <c r="H177" s="1"/>
      <c r="I177" s="1"/>
      <c r="J177" s="1"/>
      <c r="K177" s="69"/>
      <c r="L177" s="1"/>
      <c r="M177" s="1"/>
      <c r="N177" s="1"/>
      <c r="O177" s="1"/>
      <c r="P177" s="1"/>
      <c r="Q177" s="1"/>
      <c r="R177" s="1"/>
      <c r="S177" s="44"/>
      <c r="X177" s="1">
        <f>SUBTOTAL(9,Tabella224[[#This Row],[Evidenze storiche di contraffazione o adulterazione]:[Tipologia della materia prima]])</f>
        <v>0</v>
      </c>
    </row>
    <row r="178" hidden="1">
      <c r="F178" s="67"/>
      <c r="G178" s="1"/>
      <c r="H178" s="1"/>
      <c r="I178" s="1"/>
      <c r="J178" s="1"/>
      <c r="K178" s="69"/>
      <c r="L178" s="1"/>
      <c r="M178" s="1"/>
      <c r="N178" s="1"/>
      <c r="O178" s="1"/>
      <c r="P178" s="1"/>
      <c r="Q178" s="1"/>
      <c r="R178" s="1"/>
      <c r="S178" s="44"/>
      <c r="X178" s="1">
        <f>SUBTOTAL(9,Tabella224[[#This Row],[Evidenze storiche di contraffazione o adulterazione]:[Tipologia della materia prima]])</f>
        <v>0</v>
      </c>
    </row>
    <row r="179" hidden="1">
      <c r="F179" s="67"/>
      <c r="G179" s="1"/>
      <c r="H179" s="1"/>
      <c r="I179" s="1"/>
      <c r="J179" s="1"/>
      <c r="K179" s="69"/>
      <c r="L179" s="1"/>
      <c r="M179" s="1"/>
      <c r="N179" s="1"/>
      <c r="O179" s="1"/>
      <c r="P179" s="1"/>
      <c r="Q179" s="1"/>
      <c r="R179" s="1"/>
      <c r="S179" s="44"/>
      <c r="X179" s="1">
        <f>SUBTOTAL(9,Tabella224[[#This Row],[Evidenze storiche di contraffazione o adulterazione]:[Tipologia della materia prima]])</f>
        <v>0</v>
      </c>
    </row>
    <row r="180" hidden="1">
      <c r="F180" s="67"/>
      <c r="G180" s="1"/>
      <c r="H180" s="1"/>
      <c r="I180" s="1"/>
      <c r="J180" s="1"/>
      <c r="K180" s="69"/>
      <c r="L180" s="1"/>
      <c r="M180" s="1"/>
      <c r="N180" s="1"/>
      <c r="O180" s="1"/>
      <c r="P180" s="1"/>
      <c r="Q180" s="1"/>
      <c r="R180" s="1"/>
      <c r="S180" s="44"/>
      <c r="X180" s="1">
        <f>SUBTOTAL(9,Tabella224[[#This Row],[Evidenze storiche di contraffazione o adulterazione]:[Tipologia della materia prima]])</f>
        <v>0</v>
      </c>
    </row>
    <row r="181" hidden="1">
      <c r="F181" s="67"/>
      <c r="G181" s="1"/>
      <c r="H181" s="1"/>
      <c r="I181" s="1"/>
      <c r="J181" s="1"/>
      <c r="K181" s="69"/>
      <c r="L181" s="1"/>
      <c r="M181" s="1"/>
      <c r="N181" s="1"/>
      <c r="O181" s="1"/>
      <c r="P181" s="1"/>
      <c r="Q181" s="1"/>
      <c r="R181" s="1"/>
      <c r="S181" s="44"/>
      <c r="X181" s="1">
        <f>SUBTOTAL(9,Tabella224[[#This Row],[Evidenze storiche di contraffazione o adulterazione]:[Tipologia della materia prima]])</f>
        <v>0</v>
      </c>
    </row>
    <row r="182" hidden="1">
      <c r="F182" s="67"/>
      <c r="G182" s="1"/>
      <c r="H182" s="1"/>
      <c r="I182" s="1"/>
      <c r="J182" s="1"/>
      <c r="K182" s="69"/>
      <c r="L182" s="1"/>
      <c r="M182" s="1"/>
      <c r="N182" s="1"/>
      <c r="O182" s="1"/>
      <c r="P182" s="1"/>
      <c r="Q182" s="1"/>
      <c r="R182" s="1"/>
      <c r="S182" s="44"/>
      <c r="X182" s="1">
        <f>SUBTOTAL(9,Tabella224[[#This Row],[Evidenze storiche di contraffazione o adulterazione]:[Tipologia della materia prima]])</f>
        <v>0</v>
      </c>
    </row>
    <row r="183" hidden="1">
      <c r="F183" s="67"/>
      <c r="G183" s="1"/>
      <c r="H183" s="1"/>
      <c r="I183" s="1"/>
      <c r="J183" s="1"/>
      <c r="K183" s="69"/>
      <c r="L183" s="1"/>
      <c r="M183" s="1"/>
      <c r="N183" s="1"/>
      <c r="O183" s="1"/>
      <c r="P183" s="1"/>
      <c r="Q183" s="1"/>
      <c r="R183" s="1"/>
      <c r="S183" s="44"/>
      <c r="X183" s="1">
        <f>SUBTOTAL(9,Tabella224[[#This Row],[Evidenze storiche di contraffazione o adulterazione]:[Tipologia della materia prima]])</f>
        <v>0</v>
      </c>
    </row>
    <row r="184" hidden="1">
      <c r="F184" s="67"/>
      <c r="G184" s="1"/>
      <c r="H184" s="1"/>
      <c r="I184" s="1"/>
      <c r="J184" s="1"/>
      <c r="K184" s="69"/>
      <c r="L184" s="1"/>
      <c r="M184" s="1"/>
      <c r="N184" s="1"/>
      <c r="O184" s="1"/>
      <c r="P184" s="1"/>
      <c r="Q184" s="1"/>
      <c r="R184" s="1"/>
      <c r="S184" s="44"/>
      <c r="X184" s="1">
        <f>SUBTOTAL(9,Tabella224[[#This Row],[Evidenze storiche di contraffazione o adulterazione]:[Tipologia della materia prima]])</f>
        <v>0</v>
      </c>
    </row>
    <row r="185" hidden="1">
      <c r="F185" s="67"/>
      <c r="G185" s="1"/>
      <c r="H185" s="1"/>
      <c r="I185" s="1"/>
      <c r="J185" s="1"/>
      <c r="K185" s="69"/>
      <c r="L185" s="1"/>
      <c r="M185" s="1"/>
      <c r="N185" s="1"/>
      <c r="O185" s="1"/>
      <c r="P185" s="1"/>
      <c r="Q185" s="1"/>
      <c r="R185" s="1"/>
      <c r="S185" s="44"/>
      <c r="X185" s="1">
        <f>SUBTOTAL(9,Tabella224[[#This Row],[Evidenze storiche di contraffazione o adulterazione]:[Tipologia della materia prima]])</f>
        <v>0</v>
      </c>
    </row>
    <row r="186" hidden="1">
      <c r="F186" s="67"/>
      <c r="G186" s="1"/>
      <c r="H186" s="1"/>
      <c r="I186" s="1"/>
      <c r="J186" s="1"/>
      <c r="K186" s="69"/>
      <c r="L186" s="1"/>
      <c r="M186" s="1"/>
      <c r="N186" s="1"/>
      <c r="O186" s="1"/>
      <c r="P186" s="1"/>
      <c r="Q186" s="1"/>
      <c r="R186" s="1"/>
      <c r="S186" s="44"/>
      <c r="X186" s="1">
        <f>SUBTOTAL(9,Tabella224[[#This Row],[Evidenze storiche di contraffazione o adulterazione]:[Tipologia della materia prima]])</f>
        <v>0</v>
      </c>
    </row>
    <row r="187" hidden="1">
      <c r="F187" s="67"/>
      <c r="G187" s="1"/>
      <c r="H187" s="1"/>
      <c r="I187" s="1"/>
      <c r="J187" s="1"/>
      <c r="K187" s="69"/>
      <c r="L187" s="1"/>
      <c r="M187" s="1"/>
      <c r="N187" s="1"/>
      <c r="O187" s="1"/>
      <c r="P187" s="1"/>
      <c r="Q187" s="1"/>
      <c r="R187" s="1"/>
      <c r="S187" s="44"/>
      <c r="X187" s="1">
        <f>SUBTOTAL(9,Tabella224[[#This Row],[Evidenze storiche di contraffazione o adulterazione]:[Tipologia della materia prima]])</f>
        <v>0</v>
      </c>
    </row>
    <row r="188" hidden="1">
      <c r="F188" s="67"/>
      <c r="G188" s="1"/>
      <c r="H188" s="1"/>
      <c r="I188" s="1"/>
      <c r="J188" s="1"/>
      <c r="K188" s="69"/>
      <c r="L188" s="1"/>
      <c r="M188" s="1"/>
      <c r="N188" s="1"/>
      <c r="O188" s="1"/>
      <c r="P188" s="1"/>
      <c r="Q188" s="1"/>
      <c r="R188" s="1"/>
      <c r="S188" s="44"/>
      <c r="X188" s="1">
        <f>SUBTOTAL(9,Tabella224[[#This Row],[Evidenze storiche di contraffazione o adulterazione]:[Tipologia della materia prima]])</f>
        <v>0</v>
      </c>
    </row>
    <row r="189" hidden="1">
      <c r="F189" s="67"/>
      <c r="G189" s="1"/>
      <c r="H189" s="1"/>
      <c r="I189" s="1"/>
      <c r="J189" s="1"/>
      <c r="K189" s="69"/>
      <c r="L189" s="1"/>
      <c r="M189" s="1"/>
      <c r="N189" s="1"/>
      <c r="O189" s="1"/>
      <c r="P189" s="1"/>
      <c r="Q189" s="1"/>
      <c r="R189" s="1"/>
      <c r="S189" s="44"/>
      <c r="X189" s="1">
        <f>SUBTOTAL(9,Tabella224[[#This Row],[Evidenze storiche di contraffazione o adulterazione]:[Tipologia della materia prima]])</f>
        <v>0</v>
      </c>
    </row>
    <row r="190" hidden="1">
      <c r="F190" s="67"/>
      <c r="G190" s="1"/>
      <c r="H190" s="1"/>
      <c r="I190" s="1"/>
      <c r="J190" s="1"/>
      <c r="K190" s="69"/>
      <c r="L190" s="1"/>
      <c r="M190" s="1"/>
      <c r="N190" s="1"/>
      <c r="O190" s="1"/>
      <c r="P190" s="1"/>
      <c r="Q190" s="1"/>
      <c r="R190" s="1"/>
      <c r="S190" s="44"/>
      <c r="X190" s="1">
        <f>SUBTOTAL(9,Tabella224[[#This Row],[Evidenze storiche di contraffazione o adulterazione]:[Tipologia della materia prima]])</f>
        <v>0</v>
      </c>
    </row>
    <row r="191" hidden="1">
      <c r="F191" s="67"/>
      <c r="G191" s="1"/>
      <c r="H191" s="1"/>
      <c r="I191" s="1"/>
      <c r="J191" s="1"/>
      <c r="K191" s="69"/>
      <c r="L191" s="1"/>
      <c r="M191" s="1"/>
      <c r="N191" s="1"/>
      <c r="O191" s="1"/>
      <c r="P191" s="1"/>
      <c r="Q191" s="1"/>
      <c r="R191" s="1"/>
      <c r="S191" s="44"/>
      <c r="X191" s="1">
        <f>SUBTOTAL(9,Tabella224[[#This Row],[Evidenze storiche di contraffazione o adulterazione]:[Tipologia della materia prima]])</f>
        <v>0</v>
      </c>
    </row>
    <row r="192" hidden="1">
      <c r="F192" s="67"/>
      <c r="G192" s="1"/>
      <c r="H192" s="1"/>
      <c r="I192" s="1"/>
      <c r="J192" s="1"/>
      <c r="K192" s="69"/>
      <c r="L192" s="1"/>
      <c r="M192" s="1"/>
      <c r="N192" s="1"/>
      <c r="O192" s="1"/>
      <c r="P192" s="1"/>
      <c r="Q192" s="1"/>
      <c r="R192" s="1"/>
      <c r="S192" s="44"/>
      <c r="X192" s="1">
        <f>SUBTOTAL(9,Tabella224[[#This Row],[Evidenze storiche di contraffazione o adulterazione]:[Tipologia della materia prima]])</f>
        <v>0</v>
      </c>
    </row>
    <row r="193" hidden="1">
      <c r="F193" s="67"/>
      <c r="G193" s="1"/>
      <c r="H193" s="1"/>
      <c r="I193" s="1"/>
      <c r="J193" s="1"/>
      <c r="K193" s="69"/>
      <c r="L193" s="1"/>
      <c r="M193" s="1"/>
      <c r="N193" s="1"/>
      <c r="O193" s="1"/>
      <c r="P193" s="1"/>
      <c r="Q193" s="1"/>
      <c r="R193" s="1"/>
      <c r="S193" s="44"/>
      <c r="X193" s="1">
        <f>SUBTOTAL(9,Tabella224[[#This Row],[Evidenze storiche di contraffazione o adulterazione]:[Tipologia della materia prima]])</f>
        <v>0</v>
      </c>
    </row>
    <row r="194" hidden="1">
      <c r="F194" s="67"/>
      <c r="G194" s="1"/>
      <c r="H194" s="1"/>
      <c r="I194" s="1"/>
      <c r="J194" s="1"/>
      <c r="K194" s="69"/>
      <c r="L194" s="1"/>
      <c r="M194" s="1"/>
      <c r="N194" s="1"/>
      <c r="O194" s="1"/>
      <c r="P194" s="1"/>
      <c r="Q194" s="1"/>
      <c r="R194" s="1"/>
      <c r="S194" s="44"/>
      <c r="X194" s="1">
        <f>SUBTOTAL(9,Tabella224[[#This Row],[Evidenze storiche di contraffazione o adulterazione]:[Tipologia della materia prima]])</f>
        <v>0</v>
      </c>
    </row>
    <row r="195" hidden="1">
      <c r="F195" s="67"/>
      <c r="G195" s="1"/>
      <c r="H195" s="1"/>
      <c r="I195" s="1"/>
      <c r="J195" s="1"/>
      <c r="K195" s="69"/>
      <c r="L195" s="1"/>
      <c r="M195" s="1"/>
      <c r="N195" s="1"/>
      <c r="O195" s="1"/>
      <c r="P195" s="1"/>
      <c r="Q195" s="1"/>
      <c r="R195" s="1"/>
      <c r="S195" s="44"/>
      <c r="X195" s="1">
        <f>SUBTOTAL(9,Tabella224[[#This Row],[Evidenze storiche di contraffazione o adulterazione]:[Tipologia della materia prima]])</f>
        <v>0</v>
      </c>
    </row>
    <row r="196" hidden="1">
      <c r="F196" s="67"/>
      <c r="G196" s="1"/>
      <c r="H196" s="1"/>
      <c r="I196" s="1"/>
      <c r="J196" s="1"/>
      <c r="K196" s="69"/>
      <c r="L196" s="1"/>
      <c r="M196" s="1"/>
      <c r="N196" s="1"/>
      <c r="O196" s="1"/>
      <c r="P196" s="1"/>
      <c r="Q196" s="1"/>
      <c r="R196" s="1"/>
      <c r="S196" s="44"/>
      <c r="X196" s="1">
        <f>SUBTOTAL(9,Tabella224[[#This Row],[Evidenze storiche di contraffazione o adulterazione]:[Tipologia della materia prima]])</f>
        <v>0</v>
      </c>
    </row>
    <row r="197" hidden="1">
      <c r="F197" s="67"/>
      <c r="G197" s="1"/>
      <c r="H197" s="1"/>
      <c r="I197" s="1"/>
      <c r="J197" s="1"/>
      <c r="K197" s="69"/>
      <c r="L197" s="1"/>
      <c r="M197" s="1"/>
      <c r="N197" s="1"/>
      <c r="O197" s="1"/>
      <c r="P197" s="1"/>
      <c r="Q197" s="1"/>
      <c r="R197" s="1"/>
      <c r="S197" s="44"/>
      <c r="X197" s="1">
        <f>SUBTOTAL(9,Tabella224[[#This Row],[Evidenze storiche di contraffazione o adulterazione]:[Tipologia della materia prima]])</f>
        <v>0</v>
      </c>
    </row>
    <row r="198" hidden="1">
      <c r="F198" s="67"/>
      <c r="G198" s="1"/>
      <c r="H198" s="1"/>
      <c r="I198" s="1"/>
      <c r="J198" s="1"/>
      <c r="K198" s="69"/>
      <c r="L198" s="1"/>
      <c r="M198" s="1"/>
      <c r="N198" s="1"/>
      <c r="O198" s="1"/>
      <c r="P198" s="1"/>
      <c r="Q198" s="1"/>
      <c r="R198" s="1"/>
      <c r="S198" s="44"/>
      <c r="X198" s="1">
        <f>SUBTOTAL(9,Tabella224[[#This Row],[Evidenze storiche di contraffazione o adulterazione]:[Tipologia della materia prima]])</f>
        <v>0</v>
      </c>
    </row>
    <row r="199" hidden="1">
      <c r="F199" s="67"/>
      <c r="G199" s="1"/>
      <c r="H199" s="1"/>
      <c r="I199" s="1"/>
      <c r="J199" s="1"/>
      <c r="K199" s="69"/>
      <c r="L199" s="1"/>
      <c r="M199" s="1"/>
      <c r="N199" s="1"/>
      <c r="O199" s="1"/>
      <c r="P199" s="1"/>
      <c r="Q199" s="1"/>
      <c r="R199" s="1"/>
      <c r="S199" s="44"/>
      <c r="X199" s="1">
        <f>SUBTOTAL(9,Tabella224[[#This Row],[Evidenze storiche di contraffazione o adulterazione]:[Tipologia della materia prima]])</f>
        <v>0</v>
      </c>
    </row>
    <row r="200" hidden="1">
      <c r="F200" s="67"/>
      <c r="G200" s="1"/>
      <c r="H200" s="1"/>
      <c r="I200" s="1"/>
      <c r="J200" s="1"/>
      <c r="K200" s="69"/>
      <c r="L200" s="1"/>
      <c r="M200" s="1"/>
      <c r="N200" s="1"/>
      <c r="O200" s="1"/>
      <c r="P200" s="1"/>
      <c r="Q200" s="1"/>
      <c r="R200" s="1"/>
      <c r="S200" s="44"/>
      <c r="X200" s="1">
        <f>SUBTOTAL(9,Tabella224[[#This Row],[Evidenze storiche di contraffazione o adulterazione]:[Tipologia della materia prima]])</f>
        <v>0</v>
      </c>
    </row>
    <row r="201" hidden="1">
      <c r="F201" s="67"/>
      <c r="G201" s="1"/>
      <c r="H201" s="1"/>
      <c r="I201" s="1"/>
      <c r="J201" s="1"/>
      <c r="K201" s="69"/>
      <c r="L201" s="1"/>
      <c r="M201" s="1"/>
      <c r="N201" s="1"/>
      <c r="O201" s="1"/>
      <c r="P201" s="1"/>
      <c r="Q201" s="1"/>
      <c r="R201" s="1"/>
      <c r="S201" s="44"/>
      <c r="X201" s="1">
        <f>SUBTOTAL(9,Tabella224[[#This Row],[Evidenze storiche di contraffazione o adulterazione]:[Tipologia della materia prima]])</f>
        <v>0</v>
      </c>
    </row>
    <row r="202" hidden="1">
      <c r="F202" s="67"/>
      <c r="G202" s="1"/>
      <c r="H202" s="1"/>
      <c r="I202" s="1"/>
      <c r="J202" s="1"/>
      <c r="K202" s="69"/>
      <c r="L202" s="1"/>
      <c r="M202" s="1"/>
      <c r="N202" s="1"/>
      <c r="O202" s="1"/>
      <c r="P202" s="1"/>
      <c r="Q202" s="1"/>
      <c r="R202" s="1"/>
      <c r="S202" s="44"/>
      <c r="X202" s="1">
        <f>SUBTOTAL(9,Tabella224[[#This Row],[Evidenze storiche di contraffazione o adulterazione]:[Tipologia della materia prima]])</f>
        <v>0</v>
      </c>
    </row>
    <row r="203" hidden="1">
      <c r="F203" s="67"/>
      <c r="G203" s="1"/>
      <c r="H203" s="1"/>
      <c r="I203" s="1"/>
      <c r="J203" s="1"/>
      <c r="K203" s="69"/>
      <c r="L203" s="1"/>
      <c r="M203" s="1"/>
      <c r="N203" s="1"/>
      <c r="O203" s="1"/>
      <c r="P203" s="1"/>
      <c r="Q203" s="1"/>
      <c r="R203" s="1"/>
      <c r="S203" s="44"/>
      <c r="X203" s="1">
        <f>SUBTOTAL(9,Tabella224[[#This Row],[Evidenze storiche di contraffazione o adulterazione]:[Tipologia della materia prima]])</f>
        <v>0</v>
      </c>
    </row>
    <row r="204" hidden="1">
      <c r="F204" s="67"/>
      <c r="G204" s="1"/>
      <c r="H204" s="1"/>
      <c r="I204" s="1"/>
      <c r="J204" s="1"/>
      <c r="K204" s="69"/>
      <c r="L204" s="1"/>
      <c r="M204" s="1"/>
      <c r="N204" s="1"/>
      <c r="O204" s="1"/>
      <c r="P204" s="1"/>
      <c r="Q204" s="1"/>
      <c r="R204" s="1"/>
      <c r="S204" s="44"/>
      <c r="X204" s="1">
        <f>SUBTOTAL(9,Tabella224[[#This Row],[Evidenze storiche di contraffazione o adulterazione]:[Tipologia della materia prima]])</f>
        <v>0</v>
      </c>
    </row>
    <row r="205" hidden="1">
      <c r="F205" s="67"/>
      <c r="G205" s="1"/>
      <c r="H205" s="1"/>
      <c r="I205" s="1"/>
      <c r="J205" s="1"/>
      <c r="K205" s="69"/>
      <c r="L205" s="1"/>
      <c r="M205" s="1"/>
      <c r="N205" s="1"/>
      <c r="O205" s="1"/>
      <c r="P205" s="1"/>
      <c r="Q205" s="1"/>
      <c r="R205" s="1"/>
      <c r="S205" s="44"/>
      <c r="X205" s="1">
        <f>SUBTOTAL(9,Tabella224[[#This Row],[Evidenze storiche di contraffazione o adulterazione]:[Tipologia della materia prima]])</f>
        <v>0</v>
      </c>
    </row>
    <row r="206" hidden="1">
      <c r="F206" s="67"/>
      <c r="G206" s="1"/>
      <c r="H206" s="1"/>
      <c r="I206" s="1"/>
      <c r="J206" s="1"/>
      <c r="K206" s="69"/>
      <c r="L206" s="1"/>
      <c r="M206" s="1"/>
      <c r="N206" s="1"/>
      <c r="O206" s="1"/>
      <c r="P206" s="1"/>
      <c r="Q206" s="1"/>
      <c r="R206" s="1"/>
      <c r="S206" s="44"/>
      <c r="X206" s="1">
        <f>SUBTOTAL(9,Tabella224[[#This Row],[Evidenze storiche di contraffazione o adulterazione]:[Tipologia della materia prima]])</f>
        <v>0</v>
      </c>
    </row>
    <row r="207" hidden="1">
      <c r="F207" s="67"/>
      <c r="G207" s="1"/>
      <c r="H207" s="1"/>
      <c r="I207" s="1"/>
      <c r="J207" s="1"/>
      <c r="K207" s="69"/>
      <c r="L207" s="1"/>
      <c r="M207" s="1"/>
      <c r="N207" s="1"/>
      <c r="O207" s="1"/>
      <c r="P207" s="1"/>
      <c r="Q207" s="1"/>
      <c r="R207" s="1"/>
      <c r="S207" s="44"/>
      <c r="X207" s="1">
        <f>SUBTOTAL(9,Tabella224[[#This Row],[Evidenze storiche di contraffazione o adulterazione]:[Tipologia della materia prima]])</f>
        <v>0</v>
      </c>
    </row>
    <row r="208" hidden="1">
      <c r="F208" s="67"/>
      <c r="G208" s="1"/>
      <c r="H208" s="1"/>
      <c r="I208" s="1"/>
      <c r="J208" s="1"/>
      <c r="K208" s="69"/>
      <c r="L208" s="1"/>
      <c r="M208" s="1"/>
      <c r="N208" s="1"/>
      <c r="O208" s="1"/>
      <c r="P208" s="1"/>
      <c r="Q208" s="1"/>
      <c r="R208" s="1"/>
      <c r="S208" s="44"/>
      <c r="X208" s="1">
        <f>SUBTOTAL(9,Tabella224[[#This Row],[Evidenze storiche di contraffazione o adulterazione]:[Tipologia della materia prima]])</f>
        <v>0</v>
      </c>
    </row>
    <row r="209" hidden="1">
      <c r="F209" s="67"/>
      <c r="G209" s="1"/>
      <c r="H209" s="1"/>
      <c r="I209" s="1"/>
      <c r="J209" s="1"/>
      <c r="K209" s="69"/>
      <c r="L209" s="1"/>
      <c r="M209" s="1"/>
      <c r="N209" s="1"/>
      <c r="O209" s="1"/>
      <c r="P209" s="1"/>
      <c r="Q209" s="1"/>
      <c r="R209" s="1"/>
      <c r="S209" s="44"/>
      <c r="X209" s="1">
        <f>SUBTOTAL(9,Tabella224[[#This Row],[Evidenze storiche di contraffazione o adulterazione]:[Tipologia della materia prima]])</f>
        <v>0</v>
      </c>
    </row>
    <row r="210" hidden="1">
      <c r="F210" s="67"/>
      <c r="G210" s="1"/>
      <c r="H210" s="1"/>
      <c r="I210" s="1"/>
      <c r="J210" s="1"/>
      <c r="K210" s="69"/>
      <c r="L210" s="1"/>
      <c r="M210" s="1"/>
      <c r="N210" s="1"/>
      <c r="O210" s="1"/>
      <c r="P210" s="1"/>
      <c r="Q210" s="1"/>
      <c r="R210" s="1"/>
      <c r="S210" s="44"/>
      <c r="X210" s="1">
        <f>SUBTOTAL(9,Tabella224[[#This Row],[Evidenze storiche di contraffazione o adulterazione]:[Tipologia della materia prima]])</f>
        <v>0</v>
      </c>
    </row>
    <row r="211" hidden="1">
      <c r="F211" s="67"/>
      <c r="G211" s="1"/>
      <c r="H211" s="1"/>
      <c r="I211" s="1"/>
      <c r="J211" s="1"/>
      <c r="K211" s="69"/>
      <c r="L211" s="1"/>
      <c r="M211" s="1"/>
      <c r="N211" s="1"/>
      <c r="O211" s="1"/>
      <c r="P211" s="1"/>
      <c r="Q211" s="1"/>
      <c r="R211" s="1"/>
      <c r="S211" s="44"/>
      <c r="X211" s="1">
        <f>SUBTOTAL(9,Tabella224[[#This Row],[Evidenze storiche di contraffazione o adulterazione]:[Tipologia della materia prima]])</f>
        <v>0</v>
      </c>
    </row>
    <row r="212" hidden="1">
      <c r="F212" s="67"/>
      <c r="G212" s="1"/>
      <c r="H212" s="1"/>
      <c r="I212" s="1"/>
      <c r="J212" s="1"/>
      <c r="K212" s="69"/>
      <c r="L212" s="1"/>
      <c r="M212" s="1"/>
      <c r="N212" s="1"/>
      <c r="O212" s="1"/>
      <c r="P212" s="1"/>
      <c r="Q212" s="1"/>
      <c r="R212" s="1"/>
      <c r="S212" s="44"/>
      <c r="X212" s="1">
        <f>SUBTOTAL(9,Tabella224[[#This Row],[Evidenze storiche di contraffazione o adulterazione]:[Tipologia della materia prima]])</f>
        <v>0</v>
      </c>
    </row>
    <row r="213" hidden="1">
      <c r="F213" s="67"/>
      <c r="G213" s="1"/>
      <c r="H213" s="1"/>
      <c r="I213" s="1"/>
      <c r="J213" s="1"/>
      <c r="K213" s="69"/>
      <c r="L213" s="1"/>
      <c r="M213" s="1"/>
      <c r="N213" s="1"/>
      <c r="O213" s="1"/>
      <c r="P213" s="1"/>
      <c r="Q213" s="1"/>
      <c r="R213" s="1"/>
      <c r="S213" s="44"/>
      <c r="X213" s="1">
        <f>SUBTOTAL(9,Tabella224[[#This Row],[Evidenze storiche di contraffazione o adulterazione]:[Tipologia della materia prima]])</f>
        <v>0</v>
      </c>
    </row>
    <row r="214" hidden="1">
      <c r="F214" s="67"/>
      <c r="G214" s="1"/>
      <c r="H214" s="1"/>
      <c r="I214" s="1"/>
      <c r="J214" s="1"/>
      <c r="K214" s="69"/>
      <c r="L214" s="1"/>
      <c r="M214" s="1"/>
      <c r="N214" s="1"/>
      <c r="O214" s="1"/>
      <c r="P214" s="1"/>
      <c r="Q214" s="1"/>
      <c r="R214" s="1"/>
      <c r="S214" s="44"/>
      <c r="X214" s="1">
        <f>SUBTOTAL(9,Tabella224[[#This Row],[Evidenze storiche di contraffazione o adulterazione]:[Tipologia della materia prima]])</f>
        <v>0</v>
      </c>
    </row>
    <row r="215" hidden="1">
      <c r="F215" s="67"/>
      <c r="G215" s="1"/>
      <c r="H215" s="1"/>
      <c r="I215" s="1"/>
      <c r="J215" s="1"/>
      <c r="K215" s="69"/>
      <c r="L215" s="1"/>
      <c r="M215" s="1"/>
      <c r="N215" s="1"/>
      <c r="O215" s="1"/>
      <c r="P215" s="1"/>
      <c r="Q215" s="1"/>
      <c r="R215" s="1"/>
      <c r="S215" s="44"/>
      <c r="X215" s="1">
        <f>SUBTOTAL(9,Tabella224[[#This Row],[Evidenze storiche di contraffazione o adulterazione]:[Tipologia della materia prima]])</f>
        <v>0</v>
      </c>
    </row>
    <row r="216" hidden="1">
      <c r="F216" s="67"/>
      <c r="G216" s="1"/>
      <c r="H216" s="1"/>
      <c r="I216" s="1"/>
      <c r="J216" s="1"/>
      <c r="K216" s="69"/>
      <c r="L216" s="1"/>
      <c r="M216" s="1"/>
      <c r="N216" s="1"/>
      <c r="O216" s="1"/>
      <c r="P216" s="1"/>
      <c r="Q216" s="1"/>
      <c r="R216" s="1"/>
      <c r="S216" s="44"/>
      <c r="X216" s="1">
        <f>SUBTOTAL(9,Tabella224[[#This Row],[Evidenze storiche di contraffazione o adulterazione]:[Tipologia della materia prima]])</f>
        <v>0</v>
      </c>
    </row>
    <row r="217" hidden="1">
      <c r="F217" s="67"/>
      <c r="G217" s="1"/>
      <c r="H217" s="1"/>
      <c r="I217" s="1"/>
      <c r="J217" s="1"/>
      <c r="K217" s="69"/>
      <c r="L217" s="1"/>
      <c r="M217" s="1"/>
      <c r="N217" s="1"/>
      <c r="O217" s="1"/>
      <c r="P217" s="1"/>
      <c r="Q217" s="1"/>
      <c r="R217" s="1"/>
      <c r="S217" s="44"/>
      <c r="X217" s="1">
        <f>SUBTOTAL(9,Tabella224[[#This Row],[Evidenze storiche di contraffazione o adulterazione]:[Tipologia della materia prima]])</f>
        <v>0</v>
      </c>
    </row>
    <row r="218" hidden="1">
      <c r="F218" s="67"/>
      <c r="G218" s="1"/>
      <c r="H218" s="1"/>
      <c r="I218" s="1"/>
      <c r="J218" s="1"/>
      <c r="K218" s="69"/>
      <c r="L218" s="1"/>
      <c r="M218" s="1"/>
      <c r="N218" s="1"/>
      <c r="O218" s="1"/>
      <c r="P218" s="1"/>
      <c r="Q218" s="1"/>
      <c r="R218" s="1"/>
      <c r="S218" s="44"/>
      <c r="X218" s="1">
        <f>SUBTOTAL(9,Tabella224[[#This Row],[Evidenze storiche di contraffazione o adulterazione]:[Tipologia della materia prima]])</f>
        <v>0</v>
      </c>
    </row>
    <row r="219" hidden="1">
      <c r="F219" s="67"/>
      <c r="G219" s="1"/>
      <c r="H219" s="1"/>
      <c r="I219" s="1"/>
      <c r="J219" s="1"/>
      <c r="K219" s="69"/>
      <c r="L219" s="1"/>
      <c r="M219" s="1"/>
      <c r="N219" s="1"/>
      <c r="O219" s="1"/>
      <c r="P219" s="1"/>
      <c r="Q219" s="1"/>
      <c r="R219" s="1"/>
      <c r="S219" s="44"/>
      <c r="X219" s="1">
        <f>SUBTOTAL(9,Tabella224[[#This Row],[Evidenze storiche di contraffazione o adulterazione]:[Tipologia della materia prima]])</f>
        <v>0</v>
      </c>
    </row>
    <row r="220" hidden="1">
      <c r="F220" s="67"/>
      <c r="G220" s="1"/>
      <c r="H220" s="1"/>
      <c r="I220" s="1"/>
      <c r="J220" s="1"/>
      <c r="K220" s="69"/>
      <c r="L220" s="1"/>
      <c r="M220" s="1"/>
      <c r="N220" s="1"/>
      <c r="O220" s="1"/>
      <c r="P220" s="1"/>
      <c r="Q220" s="1"/>
      <c r="R220" s="1"/>
      <c r="S220" s="44"/>
      <c r="X220" s="1">
        <f>SUBTOTAL(9,Tabella224[[#This Row],[Evidenze storiche di contraffazione o adulterazione]:[Tipologia della materia prima]])</f>
        <v>0</v>
      </c>
    </row>
    <row r="221" hidden="1">
      <c r="F221" s="67"/>
      <c r="G221" s="1"/>
      <c r="H221" s="1"/>
      <c r="I221" s="1"/>
      <c r="J221" s="1"/>
      <c r="K221" s="69"/>
      <c r="L221" s="1"/>
      <c r="M221" s="1"/>
      <c r="N221" s="1"/>
      <c r="O221" s="1"/>
      <c r="P221" s="1"/>
      <c r="Q221" s="1"/>
      <c r="R221" s="1"/>
      <c r="S221" s="44"/>
      <c r="X221" s="1">
        <f>SUBTOTAL(9,Tabella224[[#This Row],[Evidenze storiche di contraffazione o adulterazione]:[Tipologia della materia prima]])</f>
        <v>0</v>
      </c>
    </row>
    <row r="222" hidden="1">
      <c r="F222" s="67"/>
      <c r="G222" s="1"/>
      <c r="H222" s="1"/>
      <c r="I222" s="1"/>
      <c r="J222" s="1"/>
      <c r="K222" s="69"/>
      <c r="L222" s="1"/>
      <c r="M222" s="1"/>
      <c r="N222" s="1"/>
      <c r="O222" s="1"/>
      <c r="P222" s="1"/>
      <c r="Q222" s="1"/>
      <c r="R222" s="1"/>
      <c r="S222" s="44"/>
      <c r="X222" s="1">
        <f>SUBTOTAL(9,Tabella224[[#This Row],[Evidenze storiche di contraffazione o adulterazione]:[Tipologia della materia prima]])</f>
        <v>0</v>
      </c>
    </row>
    <row r="223" hidden="1">
      <c r="F223" s="67"/>
      <c r="G223" s="1"/>
      <c r="H223" s="1"/>
      <c r="I223" s="1"/>
      <c r="J223" s="1"/>
      <c r="K223" s="69"/>
      <c r="L223" s="1"/>
      <c r="M223" s="1"/>
      <c r="N223" s="1"/>
      <c r="O223" s="1"/>
      <c r="P223" s="1"/>
      <c r="Q223" s="1"/>
      <c r="R223" s="1"/>
      <c r="S223" s="44"/>
      <c r="X223" s="1">
        <f>SUBTOTAL(9,Tabella224[[#This Row],[Evidenze storiche di contraffazione o adulterazione]:[Tipologia della materia prima]])</f>
        <v>0</v>
      </c>
    </row>
    <row r="224" hidden="1">
      <c r="F224" s="67"/>
      <c r="G224" s="1"/>
      <c r="H224" s="1"/>
      <c r="I224" s="1"/>
      <c r="J224" s="1"/>
      <c r="K224" s="69"/>
      <c r="L224" s="1"/>
      <c r="M224" s="1"/>
      <c r="N224" s="1"/>
      <c r="O224" s="1"/>
      <c r="P224" s="1"/>
      <c r="Q224" s="1"/>
      <c r="R224" s="1"/>
      <c r="S224" s="44"/>
      <c r="X224" s="1">
        <f>SUBTOTAL(9,Tabella224[[#This Row],[Evidenze storiche di contraffazione o adulterazione]:[Tipologia della materia prima]])</f>
        <v>0</v>
      </c>
    </row>
    <row r="225" hidden="1">
      <c r="F225" s="67"/>
      <c r="G225" s="1"/>
      <c r="H225" s="1"/>
      <c r="I225" s="1"/>
      <c r="J225" s="1"/>
      <c r="K225" s="69"/>
      <c r="L225" s="1"/>
      <c r="M225" s="1"/>
      <c r="N225" s="1"/>
      <c r="O225" s="1"/>
      <c r="P225" s="1"/>
      <c r="Q225" s="1"/>
      <c r="R225" s="1"/>
      <c r="S225" s="44"/>
      <c r="X225" s="1">
        <f>SUBTOTAL(9,Tabella224[[#This Row],[Evidenze storiche di contraffazione o adulterazione]:[Tipologia della materia prima]])</f>
        <v>0</v>
      </c>
    </row>
    <row r="226" hidden="1">
      <c r="F226" s="67"/>
      <c r="G226" s="1"/>
      <c r="H226" s="1"/>
      <c r="I226" s="1"/>
      <c r="J226" s="1"/>
      <c r="K226" s="69"/>
      <c r="L226" s="1"/>
      <c r="M226" s="1"/>
      <c r="N226" s="1"/>
      <c r="O226" s="1"/>
      <c r="P226" s="1"/>
      <c r="Q226" s="1"/>
      <c r="R226" s="1"/>
      <c r="S226" s="44"/>
      <c r="X226" s="1">
        <f>SUBTOTAL(9,Tabella224[[#This Row],[Evidenze storiche di contraffazione o adulterazione]:[Tipologia della materia prima]])</f>
        <v>0</v>
      </c>
    </row>
    <row r="227" hidden="1">
      <c r="F227" s="67"/>
      <c r="G227" s="1"/>
      <c r="H227" s="1"/>
      <c r="I227" s="1"/>
      <c r="J227" s="1"/>
      <c r="K227" s="69"/>
      <c r="L227" s="1"/>
      <c r="M227" s="1"/>
      <c r="N227" s="1"/>
      <c r="O227" s="1"/>
      <c r="P227" s="1"/>
      <c r="Q227" s="1"/>
      <c r="R227" s="1"/>
      <c r="S227" s="44"/>
      <c r="X227" s="1">
        <f>SUBTOTAL(9,Tabella224[[#This Row],[Evidenze storiche di contraffazione o adulterazione]:[Tipologia della materia prima]])</f>
        <v>0</v>
      </c>
    </row>
    <row r="228" hidden="1">
      <c r="F228" s="67"/>
      <c r="G228" s="1"/>
      <c r="H228" s="1"/>
      <c r="I228" s="1"/>
      <c r="J228" s="1"/>
      <c r="K228" s="69"/>
      <c r="L228" s="1"/>
      <c r="M228" s="1"/>
      <c r="N228" s="1"/>
      <c r="O228" s="1"/>
      <c r="P228" s="1"/>
      <c r="Q228" s="1"/>
      <c r="R228" s="1"/>
      <c r="S228" s="44"/>
      <c r="X228" s="1">
        <f>SUBTOTAL(9,Tabella224[[#This Row],[Evidenze storiche di contraffazione o adulterazione]:[Tipologia della materia prima]])</f>
        <v>0</v>
      </c>
    </row>
    <row r="229" hidden="1">
      <c r="F229" s="67"/>
      <c r="G229" s="1"/>
      <c r="H229" s="1"/>
      <c r="I229" s="1"/>
      <c r="J229" s="1"/>
      <c r="K229" s="69"/>
      <c r="L229" s="1"/>
      <c r="M229" s="1"/>
      <c r="N229" s="1"/>
      <c r="O229" s="1"/>
      <c r="P229" s="1"/>
      <c r="Q229" s="1"/>
      <c r="R229" s="1"/>
      <c r="S229" s="44"/>
      <c r="X229" s="1">
        <f>SUBTOTAL(9,Tabella224[[#This Row],[Evidenze storiche di contraffazione o adulterazione]:[Tipologia della materia prima]])</f>
        <v>0</v>
      </c>
    </row>
    <row r="230" hidden="1">
      <c r="F230" s="67"/>
      <c r="G230" s="1"/>
      <c r="H230" s="1"/>
      <c r="I230" s="1"/>
      <c r="J230" s="1"/>
      <c r="K230" s="69"/>
      <c r="L230" s="1"/>
      <c r="M230" s="1"/>
      <c r="N230" s="1"/>
      <c r="O230" s="1"/>
      <c r="P230" s="1"/>
      <c r="Q230" s="1"/>
      <c r="R230" s="1"/>
      <c r="S230" s="44"/>
      <c r="X230" s="1">
        <f>SUBTOTAL(9,Tabella224[[#This Row],[Evidenze storiche di contraffazione o adulterazione]:[Tipologia della materia prima]])</f>
        <v>0</v>
      </c>
    </row>
    <row r="231" hidden="1">
      <c r="F231" s="67"/>
      <c r="G231" s="1"/>
      <c r="H231" s="1"/>
      <c r="I231" s="1"/>
      <c r="J231" s="1"/>
      <c r="K231" s="69"/>
      <c r="L231" s="1"/>
      <c r="M231" s="1"/>
      <c r="N231" s="1"/>
      <c r="O231" s="1"/>
      <c r="P231" s="1"/>
      <c r="Q231" s="1"/>
      <c r="R231" s="1"/>
      <c r="S231" s="44"/>
      <c r="X231" s="1">
        <f>SUBTOTAL(9,Tabella224[[#This Row],[Evidenze storiche di contraffazione o adulterazione]:[Tipologia della materia prima]])</f>
        <v>0</v>
      </c>
    </row>
    <row r="232" hidden="1">
      <c r="F232" s="67"/>
      <c r="G232" s="1"/>
      <c r="H232" s="1"/>
      <c r="I232" s="1"/>
      <c r="J232" s="1"/>
      <c r="K232" s="69"/>
      <c r="L232" s="1"/>
      <c r="M232" s="1"/>
      <c r="N232" s="1"/>
      <c r="O232" s="1"/>
      <c r="P232" s="1"/>
      <c r="Q232" s="1"/>
      <c r="R232" s="1"/>
      <c r="S232" s="44"/>
      <c r="X232" s="1">
        <f>SUBTOTAL(9,Tabella224[[#This Row],[Evidenze storiche di contraffazione o adulterazione]:[Tipologia della materia prima]])</f>
        <v>0</v>
      </c>
    </row>
    <row r="233" hidden="1">
      <c r="F233" s="67"/>
      <c r="G233" s="1"/>
      <c r="H233" s="1"/>
      <c r="I233" s="1"/>
      <c r="J233" s="1"/>
      <c r="K233" s="69"/>
      <c r="L233" s="1"/>
      <c r="M233" s="1"/>
      <c r="N233" s="1"/>
      <c r="O233" s="1"/>
      <c r="P233" s="1"/>
      <c r="Q233" s="1"/>
      <c r="R233" s="1"/>
      <c r="S233" s="44"/>
      <c r="X233" s="1">
        <f>SUBTOTAL(9,Tabella224[[#This Row],[Evidenze storiche di contraffazione o adulterazione]:[Tipologia della materia prima]])</f>
        <v>0</v>
      </c>
    </row>
    <row r="234" hidden="1">
      <c r="F234" s="67"/>
      <c r="G234" s="1"/>
      <c r="H234" s="1"/>
      <c r="I234" s="1"/>
      <c r="J234" s="1"/>
      <c r="K234" s="69"/>
      <c r="L234" s="1"/>
      <c r="M234" s="1"/>
      <c r="N234" s="1"/>
      <c r="O234" s="1"/>
      <c r="P234" s="1"/>
      <c r="Q234" s="1"/>
      <c r="R234" s="1"/>
      <c r="S234" s="44"/>
      <c r="X234" s="1">
        <f>SUBTOTAL(9,Tabella224[[#This Row],[Evidenze storiche di contraffazione o adulterazione]:[Tipologia della materia prima]])</f>
        <v>0</v>
      </c>
    </row>
    <row r="235" hidden="1">
      <c r="F235" s="67"/>
      <c r="G235" s="1"/>
      <c r="H235" s="1"/>
      <c r="I235" s="1"/>
      <c r="J235" s="1"/>
      <c r="K235" s="69"/>
      <c r="L235" s="1"/>
      <c r="M235" s="1"/>
      <c r="N235" s="1"/>
      <c r="O235" s="1"/>
      <c r="P235" s="1"/>
      <c r="Q235" s="1"/>
      <c r="R235" s="1"/>
      <c r="S235" s="44"/>
      <c r="X235" s="1">
        <f>SUBTOTAL(9,Tabella224[[#This Row],[Evidenze storiche di contraffazione o adulterazione]:[Tipologia della materia prima]])</f>
        <v>0</v>
      </c>
    </row>
    <row r="236" hidden="1">
      <c r="F236" s="67"/>
      <c r="G236" s="1"/>
      <c r="H236" s="1"/>
      <c r="I236" s="1"/>
      <c r="J236" s="1"/>
      <c r="K236" s="69"/>
      <c r="L236" s="1"/>
      <c r="M236" s="1"/>
      <c r="N236" s="1"/>
      <c r="O236" s="1"/>
      <c r="P236" s="1"/>
      <c r="Q236" s="1"/>
      <c r="R236" s="1"/>
      <c r="S236" s="44"/>
      <c r="X236" s="1">
        <f>SUBTOTAL(9,Tabella224[[#This Row],[Evidenze storiche di contraffazione o adulterazione]:[Tipologia della materia prima]])</f>
        <v>0</v>
      </c>
    </row>
    <row r="237" hidden="1">
      <c r="F237" s="67"/>
      <c r="G237" s="1"/>
      <c r="H237" s="1"/>
      <c r="I237" s="1"/>
      <c r="J237" s="1"/>
      <c r="K237" s="69"/>
      <c r="L237" s="1"/>
      <c r="M237" s="1"/>
      <c r="N237" s="1"/>
      <c r="O237" s="1"/>
      <c r="P237" s="1"/>
      <c r="Q237" s="1"/>
      <c r="R237" s="1"/>
      <c r="S237" s="44"/>
      <c r="X237" s="1">
        <f>SUBTOTAL(9,Tabella224[[#This Row],[Evidenze storiche di contraffazione o adulterazione]:[Tipologia della materia prima]])</f>
        <v>0</v>
      </c>
    </row>
    <row r="238" hidden="1">
      <c r="F238" s="67"/>
      <c r="G238" s="1"/>
      <c r="H238" s="1"/>
      <c r="I238" s="1"/>
      <c r="J238" s="1"/>
      <c r="K238" s="69"/>
      <c r="L238" s="1"/>
      <c r="M238" s="1"/>
      <c r="N238" s="1"/>
      <c r="O238" s="1"/>
      <c r="P238" s="1"/>
      <c r="Q238" s="1"/>
      <c r="R238" s="1"/>
      <c r="S238" s="44"/>
      <c r="X238" s="1">
        <f>SUBTOTAL(9,Tabella224[[#This Row],[Evidenze storiche di contraffazione o adulterazione]:[Tipologia della materia prima]])</f>
        <v>0</v>
      </c>
    </row>
    <row r="239" hidden="1">
      <c r="F239" s="67"/>
      <c r="G239" s="1"/>
      <c r="H239" s="1"/>
      <c r="I239" s="1"/>
      <c r="J239" s="1"/>
      <c r="K239" s="69"/>
      <c r="L239" s="1"/>
      <c r="M239" s="1"/>
      <c r="N239" s="1"/>
      <c r="O239" s="1"/>
      <c r="P239" s="1"/>
      <c r="Q239" s="1"/>
      <c r="R239" s="1"/>
      <c r="S239" s="44"/>
      <c r="X239" s="1">
        <f>SUBTOTAL(9,Tabella224[[#This Row],[Evidenze storiche di contraffazione o adulterazione]:[Tipologia della materia prima]])</f>
        <v>0</v>
      </c>
    </row>
    <row r="240" hidden="1">
      <c r="F240" s="67"/>
      <c r="G240" s="1"/>
      <c r="H240" s="1"/>
      <c r="I240" s="1"/>
      <c r="J240" s="1"/>
      <c r="K240" s="69"/>
      <c r="L240" s="1"/>
      <c r="M240" s="1"/>
      <c r="N240" s="1"/>
      <c r="O240" s="1"/>
      <c r="P240" s="1"/>
      <c r="Q240" s="1"/>
      <c r="R240" s="1"/>
      <c r="S240" s="44"/>
      <c r="X240" s="1">
        <f>SUBTOTAL(9,Tabella224[[#This Row],[Evidenze storiche di contraffazione o adulterazione]:[Tipologia della materia prima]])</f>
        <v>0</v>
      </c>
    </row>
    <row r="241" hidden="1">
      <c r="F241" s="67"/>
      <c r="G241" s="1"/>
      <c r="H241" s="1"/>
      <c r="I241" s="1"/>
      <c r="J241" s="1"/>
      <c r="K241" s="69"/>
      <c r="L241" s="1"/>
      <c r="M241" s="1"/>
      <c r="N241" s="1"/>
      <c r="O241" s="1"/>
      <c r="P241" s="1"/>
      <c r="Q241" s="1"/>
      <c r="R241" s="1"/>
      <c r="S241" s="44"/>
      <c r="X241" s="1">
        <f>SUBTOTAL(9,Tabella224[[#This Row],[Evidenze storiche di contraffazione o adulterazione]:[Tipologia della materia prima]])</f>
        <v>0</v>
      </c>
    </row>
    <row r="242" hidden="1">
      <c r="F242" s="67"/>
      <c r="G242" s="1"/>
      <c r="H242" s="1"/>
      <c r="I242" s="1"/>
      <c r="J242" s="1"/>
      <c r="K242" s="69"/>
      <c r="L242" s="1"/>
      <c r="M242" s="1"/>
      <c r="N242" s="1"/>
      <c r="O242" s="1"/>
      <c r="P242" s="1"/>
      <c r="Q242" s="1"/>
      <c r="R242" s="1"/>
      <c r="S242" s="44"/>
      <c r="X242" s="1">
        <f>SUBTOTAL(9,Tabella224[[#This Row],[Evidenze storiche di contraffazione o adulterazione]:[Tipologia della materia prima]])</f>
        <v>0</v>
      </c>
    </row>
    <row r="243" hidden="1">
      <c r="F243" s="67"/>
      <c r="G243" s="1"/>
      <c r="H243" s="1"/>
      <c r="I243" s="1"/>
      <c r="J243" s="1"/>
      <c r="K243" s="69"/>
      <c r="L243" s="1"/>
      <c r="M243" s="1"/>
      <c r="N243" s="1"/>
      <c r="O243" s="1"/>
      <c r="P243" s="1"/>
      <c r="Q243" s="1"/>
      <c r="R243" s="1"/>
      <c r="S243" s="44"/>
      <c r="X243" s="1">
        <f>SUBTOTAL(9,Tabella224[[#This Row],[Evidenze storiche di contraffazione o adulterazione]:[Tipologia della materia prima]])</f>
        <v>0</v>
      </c>
    </row>
    <row r="244" hidden="1">
      <c r="F244" s="67"/>
      <c r="G244" s="1"/>
      <c r="H244" s="1"/>
      <c r="I244" s="1"/>
      <c r="J244" s="1"/>
      <c r="K244" s="69"/>
      <c r="L244" s="1"/>
      <c r="M244" s="1"/>
      <c r="N244" s="1"/>
      <c r="O244" s="1"/>
      <c r="P244" s="1"/>
      <c r="Q244" s="1"/>
      <c r="R244" s="1"/>
      <c r="S244" s="44"/>
      <c r="X244" s="1">
        <f>SUBTOTAL(9,Tabella224[[#This Row],[Evidenze storiche di contraffazione o adulterazione]:[Tipologia della materia prima]])</f>
        <v>0</v>
      </c>
    </row>
    <row r="245" hidden="1">
      <c r="F245" s="67"/>
      <c r="G245" s="1"/>
      <c r="H245" s="1"/>
      <c r="I245" s="1"/>
      <c r="J245" s="1"/>
      <c r="K245" s="69"/>
      <c r="L245" s="1"/>
      <c r="M245" s="1"/>
      <c r="N245" s="1"/>
      <c r="O245" s="1"/>
      <c r="P245" s="1"/>
      <c r="Q245" s="1"/>
      <c r="R245" s="1"/>
      <c r="S245" s="44"/>
      <c r="X245" s="1">
        <f>SUBTOTAL(9,Tabella224[[#This Row],[Evidenze storiche di contraffazione o adulterazione]:[Tipologia della materia prima]])</f>
        <v>0</v>
      </c>
    </row>
    <row r="246" hidden="1">
      <c r="F246" s="67"/>
      <c r="G246" s="1"/>
      <c r="H246" s="1"/>
      <c r="I246" s="1"/>
      <c r="J246" s="1"/>
      <c r="K246" s="69"/>
      <c r="L246" s="1"/>
      <c r="M246" s="1"/>
      <c r="N246" s="1"/>
      <c r="O246" s="1"/>
      <c r="P246" s="1"/>
      <c r="Q246" s="1"/>
      <c r="R246" s="1"/>
      <c r="S246" s="44"/>
      <c r="X246" s="1">
        <f>SUBTOTAL(9,Tabella224[[#This Row],[Evidenze storiche di contraffazione o adulterazione]:[Tipologia della materia prima]])</f>
        <v>0</v>
      </c>
    </row>
    <row r="247" hidden="1">
      <c r="F247" s="67"/>
      <c r="G247" s="1"/>
      <c r="H247" s="1"/>
      <c r="I247" s="1"/>
      <c r="J247" s="1"/>
      <c r="K247" s="69"/>
      <c r="L247" s="1"/>
      <c r="M247" s="1"/>
      <c r="N247" s="1"/>
      <c r="O247" s="1"/>
      <c r="P247" s="1"/>
      <c r="Q247" s="1"/>
      <c r="R247" s="1"/>
      <c r="S247" s="44"/>
      <c r="X247" s="1">
        <f>SUBTOTAL(9,Tabella224[[#This Row],[Evidenze storiche di contraffazione o adulterazione]:[Tipologia della materia prima]])</f>
        <v>0</v>
      </c>
    </row>
    <row r="248" hidden="1">
      <c r="F248" s="67"/>
      <c r="G248" s="1"/>
      <c r="H248" s="1"/>
      <c r="I248" s="1"/>
      <c r="J248" s="1"/>
      <c r="K248" s="69"/>
      <c r="L248" s="1"/>
      <c r="M248" s="1"/>
      <c r="N248" s="1"/>
      <c r="O248" s="1"/>
      <c r="P248" s="1"/>
      <c r="Q248" s="1"/>
      <c r="R248" s="1"/>
      <c r="S248" s="44"/>
      <c r="X248" s="1">
        <f>SUBTOTAL(9,Tabella224[[#This Row],[Evidenze storiche di contraffazione o adulterazione]:[Tipologia della materia prima]])</f>
        <v>0</v>
      </c>
    </row>
    <row r="249" hidden="1">
      <c r="F249" s="67"/>
      <c r="G249" s="1"/>
      <c r="H249" s="1"/>
      <c r="I249" s="1"/>
      <c r="J249" s="1"/>
      <c r="K249" s="69"/>
      <c r="L249" s="1"/>
      <c r="M249" s="1"/>
      <c r="N249" s="1"/>
      <c r="O249" s="1"/>
      <c r="P249" s="1"/>
      <c r="Q249" s="1"/>
      <c r="R249" s="1"/>
      <c r="S249" s="44"/>
      <c r="X249" s="1">
        <f>SUBTOTAL(9,Tabella224[[#This Row],[Evidenze storiche di contraffazione o adulterazione]:[Tipologia della materia prima]])</f>
        <v>0</v>
      </c>
    </row>
    <row r="250" hidden="1">
      <c r="F250" s="67"/>
      <c r="G250" s="1"/>
      <c r="H250" s="1"/>
      <c r="I250" s="1"/>
      <c r="J250" s="1"/>
      <c r="K250" s="69"/>
      <c r="L250" s="1"/>
      <c r="M250" s="1"/>
      <c r="N250" s="1"/>
      <c r="O250" s="1"/>
      <c r="P250" s="1"/>
      <c r="Q250" s="1"/>
      <c r="R250" s="1"/>
      <c r="S250" s="44"/>
      <c r="X250" s="1">
        <f>SUBTOTAL(9,Tabella224[[#This Row],[Evidenze storiche di contraffazione o adulterazione]:[Tipologia della materia prima]])</f>
        <v>0</v>
      </c>
    </row>
    <row r="251" hidden="1">
      <c r="F251" s="67"/>
      <c r="G251" s="1"/>
      <c r="H251" s="1"/>
      <c r="I251" s="1"/>
      <c r="J251" s="1"/>
      <c r="K251" s="69"/>
      <c r="L251" s="1"/>
      <c r="M251" s="1"/>
      <c r="N251" s="1"/>
      <c r="O251" s="1"/>
      <c r="P251" s="1"/>
      <c r="Q251" s="1"/>
      <c r="R251" s="1"/>
      <c r="S251" s="44"/>
      <c r="X251" s="1">
        <f>SUBTOTAL(9,Tabella224[[#This Row],[Evidenze storiche di contraffazione o adulterazione]:[Tipologia della materia prima]])</f>
        <v>0</v>
      </c>
    </row>
    <row r="252" hidden="1">
      <c r="F252" s="67"/>
      <c r="G252" s="1"/>
      <c r="H252" s="1"/>
      <c r="I252" s="1"/>
      <c r="J252" s="1"/>
      <c r="K252" s="69"/>
      <c r="L252" s="1"/>
      <c r="M252" s="1"/>
      <c r="N252" s="1"/>
      <c r="O252" s="1"/>
      <c r="P252" s="1"/>
      <c r="Q252" s="1"/>
      <c r="R252" s="1"/>
      <c r="S252" s="44"/>
      <c r="X252" s="1">
        <f>SUBTOTAL(9,Tabella224[[#This Row],[Evidenze storiche di contraffazione o adulterazione]:[Tipologia della materia prima]])</f>
        <v>0</v>
      </c>
    </row>
    <row r="253" hidden="1">
      <c r="F253" s="67"/>
      <c r="G253" s="1"/>
      <c r="H253" s="1"/>
      <c r="I253" s="1"/>
      <c r="J253" s="1"/>
      <c r="K253" s="69"/>
      <c r="L253" s="1"/>
      <c r="M253" s="1"/>
      <c r="N253" s="1"/>
      <c r="O253" s="1"/>
      <c r="P253" s="1"/>
      <c r="Q253" s="1"/>
      <c r="R253" s="1"/>
      <c r="S253" s="44"/>
      <c r="X253" s="1">
        <f>SUBTOTAL(9,Tabella224[[#This Row],[Evidenze storiche di contraffazione o adulterazione]:[Tipologia della materia prima]])</f>
        <v>0</v>
      </c>
    </row>
    <row r="254" hidden="1">
      <c r="F254" s="67"/>
      <c r="G254" s="1"/>
      <c r="H254" s="1"/>
      <c r="I254" s="1"/>
      <c r="J254" s="1"/>
      <c r="K254" s="69"/>
      <c r="L254" s="1"/>
      <c r="M254" s="1"/>
      <c r="N254" s="1"/>
      <c r="O254" s="1"/>
      <c r="P254" s="1"/>
      <c r="Q254" s="1"/>
      <c r="R254" s="1"/>
      <c r="S254" s="44"/>
      <c r="X254" s="1">
        <f>SUBTOTAL(9,Tabella224[[#This Row],[Evidenze storiche di contraffazione o adulterazione]:[Tipologia della materia prima]])</f>
        <v>0</v>
      </c>
    </row>
    <row r="255" hidden="1">
      <c r="F255" s="67"/>
      <c r="G255" s="1"/>
      <c r="H255" s="1"/>
      <c r="I255" s="1"/>
      <c r="J255" s="1"/>
      <c r="K255" s="69"/>
      <c r="L255" s="1"/>
      <c r="M255" s="1"/>
      <c r="N255" s="1"/>
      <c r="O255" s="1"/>
      <c r="P255" s="1"/>
      <c r="Q255" s="1"/>
      <c r="R255" s="1"/>
      <c r="S255" s="44"/>
      <c r="X255" s="1">
        <f>SUBTOTAL(9,Tabella224[[#This Row],[Evidenze storiche di contraffazione o adulterazione]:[Tipologia della materia prima]])</f>
        <v>0</v>
      </c>
    </row>
    <row r="256" hidden="1">
      <c r="F256" s="67"/>
      <c r="G256" s="1"/>
      <c r="H256" s="1"/>
      <c r="I256" s="1"/>
      <c r="J256" s="1"/>
      <c r="K256" s="69"/>
      <c r="L256" s="1"/>
      <c r="M256" s="1"/>
      <c r="N256" s="1"/>
      <c r="O256" s="1"/>
      <c r="P256" s="1"/>
      <c r="Q256" s="1"/>
      <c r="R256" s="1"/>
      <c r="S256" s="44"/>
      <c r="X256" s="1">
        <f>SUBTOTAL(9,Tabella224[[#This Row],[Evidenze storiche di contraffazione o adulterazione]:[Tipologia della materia prima]])</f>
        <v>0</v>
      </c>
    </row>
    <row r="257" hidden="1">
      <c r="F257" s="67"/>
      <c r="G257" s="1"/>
      <c r="H257" s="1"/>
      <c r="I257" s="1"/>
      <c r="J257" s="1"/>
      <c r="K257" s="69"/>
      <c r="L257" s="1"/>
      <c r="M257" s="1"/>
      <c r="N257" s="1"/>
      <c r="O257" s="1"/>
      <c r="P257" s="1"/>
      <c r="Q257" s="1"/>
      <c r="R257" s="1"/>
      <c r="S257" s="44"/>
      <c r="X257" s="1">
        <f>SUBTOTAL(9,Tabella224[[#This Row],[Evidenze storiche di contraffazione o adulterazione]:[Tipologia della materia prima]])</f>
        <v>0</v>
      </c>
    </row>
    <row r="258" hidden="1">
      <c r="F258" s="67"/>
      <c r="G258" s="1"/>
      <c r="H258" s="1"/>
      <c r="I258" s="1"/>
      <c r="J258" s="1"/>
      <c r="K258" s="69"/>
      <c r="L258" s="1"/>
      <c r="M258" s="1"/>
      <c r="N258" s="1"/>
      <c r="O258" s="1"/>
      <c r="P258" s="1"/>
      <c r="Q258" s="1"/>
      <c r="R258" s="1"/>
      <c r="S258" s="44"/>
      <c r="X258" s="1">
        <f>SUBTOTAL(9,Tabella224[[#This Row],[Evidenze storiche di contraffazione o adulterazione]:[Tipologia della materia prima]])</f>
        <v>0</v>
      </c>
    </row>
    <row r="259" hidden="1">
      <c r="F259" s="67"/>
      <c r="G259" s="1"/>
      <c r="H259" s="1"/>
      <c r="I259" s="1"/>
      <c r="J259" s="1"/>
      <c r="K259" s="69"/>
      <c r="L259" s="1"/>
      <c r="M259" s="1"/>
      <c r="N259" s="1"/>
      <c r="O259" s="1"/>
      <c r="P259" s="1"/>
      <c r="Q259" s="1"/>
      <c r="R259" s="1"/>
      <c r="S259" s="44"/>
      <c r="X259" s="1">
        <f>SUBTOTAL(9,Tabella224[[#This Row],[Evidenze storiche di contraffazione o adulterazione]:[Tipologia della materia prima]])</f>
        <v>0</v>
      </c>
    </row>
    <row r="260" hidden="1">
      <c r="F260" s="67"/>
      <c r="G260" s="1"/>
      <c r="H260" s="1"/>
      <c r="I260" s="1"/>
      <c r="J260" s="1"/>
      <c r="K260" s="69"/>
      <c r="L260" s="1"/>
      <c r="M260" s="1"/>
      <c r="N260" s="1"/>
      <c r="O260" s="1"/>
      <c r="P260" s="1"/>
      <c r="Q260" s="1"/>
      <c r="R260" s="1"/>
      <c r="S260" s="44"/>
      <c r="X260" s="1">
        <f>SUBTOTAL(9,Tabella224[[#This Row],[Evidenze storiche di contraffazione o adulterazione]:[Tipologia della materia prima]])</f>
        <v>0</v>
      </c>
    </row>
    <row r="261" hidden="1">
      <c r="F261" s="67"/>
      <c r="G261" s="1"/>
      <c r="H261" s="1"/>
      <c r="I261" s="1"/>
      <c r="J261" s="1"/>
      <c r="K261" s="69"/>
      <c r="L261" s="1"/>
      <c r="M261" s="1"/>
      <c r="N261" s="1"/>
      <c r="O261" s="1"/>
      <c r="P261" s="1"/>
      <c r="Q261" s="1"/>
      <c r="R261" s="1"/>
      <c r="S261" s="44"/>
      <c r="X261" s="1">
        <f>SUBTOTAL(9,Tabella224[[#This Row],[Evidenze storiche di contraffazione o adulterazione]:[Tipologia della materia prima]])</f>
        <v>0</v>
      </c>
    </row>
    <row r="262" hidden="1">
      <c r="F262" s="67"/>
      <c r="G262" s="1"/>
      <c r="H262" s="1"/>
      <c r="I262" s="1"/>
      <c r="J262" s="1"/>
      <c r="K262" s="69"/>
      <c r="L262" s="1"/>
      <c r="M262" s="1"/>
      <c r="N262" s="1"/>
      <c r="O262" s="1"/>
      <c r="P262" s="1"/>
      <c r="Q262" s="1"/>
      <c r="R262" s="1"/>
      <c r="S262" s="44"/>
      <c r="X262" s="1">
        <f>SUBTOTAL(9,Tabella224[[#This Row],[Evidenze storiche di contraffazione o adulterazione]:[Tipologia della materia prima]])</f>
        <v>0</v>
      </c>
    </row>
    <row r="263" hidden="1">
      <c r="F263" s="67"/>
      <c r="G263" s="1"/>
      <c r="H263" s="1"/>
      <c r="I263" s="1"/>
      <c r="J263" s="1"/>
      <c r="K263" s="69"/>
      <c r="L263" s="1"/>
      <c r="M263" s="1"/>
      <c r="N263" s="1"/>
      <c r="O263" s="1"/>
      <c r="P263" s="1"/>
      <c r="Q263" s="1"/>
      <c r="R263" s="1"/>
      <c r="S263" s="44"/>
      <c r="X263" s="1">
        <f>SUBTOTAL(9,Tabella224[[#This Row],[Evidenze storiche di contraffazione o adulterazione]:[Tipologia della materia prima]])</f>
        <v>0</v>
      </c>
    </row>
    <row r="264" hidden="1">
      <c r="F264" s="67"/>
      <c r="G264" s="1"/>
      <c r="H264" s="1"/>
      <c r="I264" s="1"/>
      <c r="J264" s="1"/>
      <c r="K264" s="69"/>
      <c r="L264" s="1"/>
      <c r="M264" s="1"/>
      <c r="N264" s="1"/>
      <c r="O264" s="1"/>
      <c r="P264" s="1"/>
      <c r="Q264" s="1"/>
      <c r="R264" s="1"/>
      <c r="S264" s="44"/>
      <c r="X264" s="1">
        <f>SUBTOTAL(9,Tabella224[[#This Row],[Evidenze storiche di contraffazione o adulterazione]:[Tipologia della materia prima]])</f>
        <v>0</v>
      </c>
    </row>
    <row r="265" hidden="1">
      <c r="F265" s="67"/>
      <c r="G265" s="1"/>
      <c r="H265" s="1"/>
      <c r="I265" s="1"/>
      <c r="J265" s="1"/>
      <c r="K265" s="69"/>
      <c r="L265" s="1"/>
      <c r="M265" s="1"/>
      <c r="N265" s="1"/>
      <c r="O265" s="1"/>
      <c r="P265" s="1"/>
      <c r="Q265" s="1"/>
      <c r="R265" s="1"/>
      <c r="S265" s="44"/>
      <c r="X265" s="1">
        <f>SUBTOTAL(9,Tabella224[[#This Row],[Evidenze storiche di contraffazione o adulterazione]:[Tipologia della materia prima]])</f>
        <v>0</v>
      </c>
    </row>
    <row r="266" hidden="1">
      <c r="F266" s="67"/>
      <c r="G266" s="1"/>
      <c r="H266" s="1"/>
      <c r="I266" s="1"/>
      <c r="J266" s="1"/>
      <c r="K266" s="69"/>
      <c r="L266" s="1"/>
      <c r="M266" s="1"/>
      <c r="N266" s="1"/>
      <c r="O266" s="1"/>
      <c r="P266" s="1"/>
      <c r="Q266" s="1"/>
      <c r="R266" s="1"/>
      <c r="S266" s="44"/>
      <c r="X266" s="1">
        <f>SUBTOTAL(9,Tabella224[[#This Row],[Evidenze storiche di contraffazione o adulterazione]:[Tipologia della materia prima]])</f>
        <v>0</v>
      </c>
    </row>
    <row r="267" hidden="1">
      <c r="F267" s="67"/>
      <c r="G267" s="1"/>
      <c r="H267" s="1"/>
      <c r="I267" s="1"/>
      <c r="J267" s="1"/>
      <c r="K267" s="69"/>
      <c r="L267" s="1"/>
      <c r="M267" s="1"/>
      <c r="N267" s="1"/>
      <c r="O267" s="1"/>
      <c r="P267" s="1"/>
      <c r="Q267" s="1"/>
      <c r="R267" s="1"/>
      <c r="S267" s="44"/>
      <c r="X267" s="1">
        <f>SUBTOTAL(9,Tabella224[[#This Row],[Evidenze storiche di contraffazione o adulterazione]:[Tipologia della materia prima]])</f>
        <v>0</v>
      </c>
    </row>
    <row r="268" hidden="1">
      <c r="F268" s="67"/>
      <c r="G268" s="1"/>
      <c r="H268" s="1"/>
      <c r="I268" s="1"/>
      <c r="J268" s="1"/>
      <c r="K268" s="69"/>
      <c r="L268" s="1"/>
      <c r="M268" s="1"/>
      <c r="N268" s="1"/>
      <c r="O268" s="1"/>
      <c r="P268" s="1"/>
      <c r="Q268" s="1"/>
      <c r="R268" s="1"/>
      <c r="S268" s="44"/>
      <c r="X268" s="1">
        <f>SUBTOTAL(9,Tabella224[[#This Row],[Evidenze storiche di contraffazione o adulterazione]:[Tipologia della materia prima]])</f>
        <v>0</v>
      </c>
    </row>
    <row r="269" hidden="1">
      <c r="F269" s="67"/>
      <c r="G269" s="1"/>
      <c r="H269" s="1"/>
      <c r="I269" s="1"/>
      <c r="J269" s="1"/>
      <c r="K269" s="69"/>
      <c r="L269" s="1"/>
      <c r="M269" s="1"/>
      <c r="N269" s="1"/>
      <c r="O269" s="1"/>
      <c r="P269" s="1"/>
      <c r="Q269" s="1"/>
      <c r="R269" s="1"/>
      <c r="S269" s="44"/>
      <c r="X269" s="1">
        <f>SUBTOTAL(9,Tabella224[[#This Row],[Evidenze storiche di contraffazione o adulterazione]:[Tipologia della materia prima]])</f>
        <v>0</v>
      </c>
    </row>
    <row r="270" hidden="1">
      <c r="F270" s="67"/>
      <c r="G270" s="1"/>
      <c r="H270" s="1"/>
      <c r="I270" s="1"/>
      <c r="J270" s="1"/>
      <c r="K270" s="69"/>
      <c r="L270" s="1"/>
      <c r="M270" s="1"/>
      <c r="N270" s="1"/>
      <c r="O270" s="1"/>
      <c r="P270" s="1"/>
      <c r="Q270" s="1"/>
      <c r="R270" s="1"/>
      <c r="S270" s="44"/>
      <c r="X270" s="1">
        <f>SUBTOTAL(9,Tabella224[[#This Row],[Evidenze storiche di contraffazione o adulterazione]:[Tipologia della materia prima]])</f>
        <v>0</v>
      </c>
    </row>
    <row r="271" hidden="1">
      <c r="F271" s="67"/>
      <c r="G271" s="1"/>
      <c r="H271" s="1"/>
      <c r="I271" s="1"/>
      <c r="J271" s="1"/>
      <c r="K271" s="69"/>
      <c r="L271" s="1"/>
      <c r="M271" s="1"/>
      <c r="N271" s="1"/>
      <c r="O271" s="1"/>
      <c r="P271" s="1"/>
      <c r="Q271" s="1"/>
      <c r="R271" s="1"/>
      <c r="S271" s="44"/>
      <c r="X271" s="1">
        <f>SUBTOTAL(9,Tabella224[[#This Row],[Evidenze storiche di contraffazione o adulterazione]:[Tipologia della materia prima]])</f>
        <v>0</v>
      </c>
    </row>
    <row r="272" ht="15" hidden="1">
      <c r="F272" s="73"/>
      <c r="G272" s="74"/>
      <c r="H272" s="74"/>
      <c r="I272" s="74"/>
      <c r="J272" s="74"/>
      <c r="K272" s="75"/>
      <c r="L272" s="1"/>
      <c r="M272" s="1"/>
      <c r="N272" s="1"/>
      <c r="O272" s="1"/>
      <c r="P272" s="1"/>
      <c r="Q272" s="1"/>
      <c r="R272" s="1"/>
      <c r="S272" s="44"/>
      <c r="X272" s="1">
        <f>SUBTOTAL(9,Tabella224[[#This Row],[Evidenze storiche di contraffazione o adulterazione]:[Tipologia della materia prima]])</f>
        <v>0</v>
      </c>
    </row>
    <row r="273" hidden="1"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44"/>
      <c r="X273" s="1">
        <f>SUBTOTAL(9,Tabella224[[#This Row],[Evidenze storiche di contraffazione o adulterazione]:[Tipologia della materia prima]])</f>
        <v>0</v>
      </c>
    </row>
    <row r="274" hidden="1"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44"/>
      <c r="X274" s="1">
        <f>SUBTOTAL(9,Tabella224[[#This Row],[Evidenze storiche di contraffazione o adulterazione]:[Tipologia della materia prima]])</f>
        <v>0</v>
      </c>
    </row>
    <row r="275" hidden="1"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44"/>
      <c r="X275" s="1">
        <f>SUBTOTAL(9,Tabella224[[#This Row],[Evidenze storiche di contraffazione o adulterazione]:[Tipologia della materia prima]])</f>
        <v>0</v>
      </c>
    </row>
    <row r="276" hidden="1"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44"/>
      <c r="X276" s="1">
        <f>SUBTOTAL(9,Tabella224[[#This Row],[Evidenze storiche di contraffazione o adulterazione]:[Tipologia della materia prima]])</f>
        <v>0</v>
      </c>
    </row>
    <row r="277" hidden="1"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44"/>
      <c r="X277" s="1">
        <f>SUBTOTAL(9,Tabella224[[#This Row],[Evidenze storiche di contraffazione o adulterazione]:[Tipologia della materia prima]])</f>
        <v>0</v>
      </c>
    </row>
    <row r="278" hidden="1"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44"/>
      <c r="X278" s="1">
        <f>SUBTOTAL(9,Tabella224[[#This Row],[Evidenze storiche di contraffazione o adulterazione]:[Tipologia della materia prima]])</f>
        <v>0</v>
      </c>
    </row>
    <row r="279" hidden="1"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44"/>
      <c r="X279" s="1">
        <f>SUBTOTAL(9,Tabella224[[#This Row],[Evidenze storiche di contraffazione o adulterazione]:[Tipologia della materia prima]])</f>
        <v>0</v>
      </c>
    </row>
    <row r="280" hidden="1"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44"/>
      <c r="X280" s="1">
        <f>SUBTOTAL(9,Tabella224[[#This Row],[Evidenze storiche di contraffazione o adulterazione]:[Tipologia della materia prima]])</f>
        <v>0</v>
      </c>
    </row>
    <row r="281" hidden="1"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44"/>
      <c r="X281" s="1">
        <f>SUBTOTAL(9,Tabella224[[#This Row],[Evidenze storiche di contraffazione o adulterazione]:[Tipologia della materia prima]])</f>
        <v>0</v>
      </c>
    </row>
    <row r="282" hidden="1"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44"/>
      <c r="X282" s="1">
        <f>SUBTOTAL(9,Tabella224[[#This Row],[Evidenze storiche di contraffazione o adulterazione]:[Tipologia della materia prima]])</f>
        <v>0</v>
      </c>
    </row>
    <row r="283" hidden="1"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44"/>
      <c r="X283" s="1">
        <f>SUBTOTAL(9,Tabella224[[#This Row],[Evidenze storiche di contraffazione o adulterazione]:[Tipologia della materia prima]])</f>
        <v>0</v>
      </c>
    </row>
    <row r="284" hidden="1"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44"/>
      <c r="X284" s="1">
        <f>SUBTOTAL(9,Tabella224[[#This Row],[Evidenze storiche di contraffazione o adulterazione]:[Tipologia della materia prima]])</f>
        <v>0</v>
      </c>
    </row>
    <row r="285" hidden="1"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44"/>
      <c r="X285" s="1">
        <f>SUBTOTAL(9,Tabella224[[#This Row],[Evidenze storiche di contraffazione o adulterazione]:[Tipologia della materia prima]])</f>
        <v>0</v>
      </c>
    </row>
    <row r="286" hidden="1"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44"/>
      <c r="X286" s="1">
        <f>SUBTOTAL(9,Tabella224[[#This Row],[Evidenze storiche di contraffazione o adulterazione]:[Tipologia della materia prima]])</f>
        <v>0</v>
      </c>
    </row>
    <row r="287" hidden="1"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44"/>
      <c r="X287" s="1">
        <f>SUBTOTAL(9,Tabella224[[#This Row],[Evidenze storiche di contraffazione o adulterazione]:[Tipologia della materia prima]])</f>
        <v>0</v>
      </c>
    </row>
    <row r="288" hidden="1"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44"/>
      <c r="X288" s="1">
        <f>SUBTOTAL(9,Tabella224[[#This Row],[Evidenze storiche di contraffazione o adulterazione]:[Tipologia della materia prima]])</f>
        <v>0</v>
      </c>
    </row>
    <row r="289" hidden="1"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44"/>
      <c r="X289" s="1">
        <f>SUBTOTAL(9,Tabella224[[#This Row],[Evidenze storiche di contraffazione o adulterazione]:[Tipologia della materia prima]])</f>
        <v>0</v>
      </c>
    </row>
    <row r="290" hidden="1"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44"/>
      <c r="X290" s="1">
        <f>SUBTOTAL(9,Tabella224[[#This Row],[Evidenze storiche di contraffazione o adulterazione]:[Tipologia della materia prima]])</f>
        <v>0</v>
      </c>
    </row>
    <row r="291" hidden="1"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44"/>
      <c r="X291" s="1">
        <f>SUBTOTAL(9,Tabella224[[#This Row],[Evidenze storiche di contraffazione o adulterazione]:[Tipologia della materia prima]])</f>
        <v>0</v>
      </c>
    </row>
    <row r="292" hidden="1"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44"/>
      <c r="X292" s="1">
        <f>SUBTOTAL(9,Tabella224[[#This Row],[Evidenze storiche di contraffazione o adulterazione]:[Tipologia della materia prima]])</f>
        <v>0</v>
      </c>
    </row>
    <row r="293" hidden="1"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44"/>
      <c r="X293" s="1">
        <f>SUBTOTAL(9,Tabella224[[#This Row],[Evidenze storiche di contraffazione o adulterazione]:[Tipologia della materia prima]])</f>
        <v>0</v>
      </c>
    </row>
    <row r="294" hidden="1"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44"/>
      <c r="X294" s="1">
        <f>SUBTOTAL(9,Tabella224[[#This Row],[Evidenze storiche di contraffazione o adulterazione]:[Tipologia della materia prima]])</f>
        <v>0</v>
      </c>
    </row>
    <row r="295" hidden="1"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44"/>
      <c r="X295" s="1">
        <f>SUBTOTAL(9,Tabella224[[#This Row],[Evidenze storiche di contraffazione o adulterazione]:[Tipologia della materia prima]])</f>
        <v>0</v>
      </c>
    </row>
    <row r="296" hidden="1"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44"/>
      <c r="X296" s="1">
        <f>SUBTOTAL(9,Tabella224[[#This Row],[Evidenze storiche di contraffazione o adulterazione]:[Tipologia della materia prima]])</f>
        <v>0</v>
      </c>
    </row>
    <row r="297" hidden="1"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44"/>
      <c r="X297" s="1">
        <f>SUBTOTAL(9,Tabella224[[#This Row],[Evidenze storiche di contraffazione o adulterazione]:[Tipologia della materia prima]])</f>
        <v>0</v>
      </c>
    </row>
    <row r="298" hidden="1"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44"/>
      <c r="X298" s="1">
        <f>SUBTOTAL(9,Tabella224[[#This Row],[Evidenze storiche di contraffazione o adulterazione]:[Tipologia della materia prima]])</f>
        <v>0</v>
      </c>
    </row>
    <row r="299" hidden="1"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44"/>
      <c r="X299" s="1">
        <f>SUBTOTAL(9,Tabella224[[#This Row],[Evidenze storiche di contraffazione o adulterazione]:[Tipologia della materia prima]])</f>
        <v>0</v>
      </c>
    </row>
    <row r="300" hidden="1"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44"/>
      <c r="X300" s="1">
        <f>SUBTOTAL(9,Tabella224[[#This Row],[Evidenze storiche di contraffazione o adulterazione]:[Tipologia della materia prima]])</f>
        <v>0</v>
      </c>
    </row>
    <row r="301" hidden="1"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44"/>
      <c r="X301" s="1">
        <f>SUBTOTAL(9,Tabella224[[#This Row],[Evidenze storiche di contraffazione o adulterazione]:[Tipologia della materia prima]])</f>
        <v>0</v>
      </c>
    </row>
    <row r="302" hidden="1"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44"/>
      <c r="X302" s="1">
        <f>SUBTOTAL(9,Tabella224[[#This Row],[Evidenze storiche di contraffazione o adulterazione]:[Tipologia della materia prima]])</f>
        <v>0</v>
      </c>
    </row>
    <row r="303" hidden="1"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44"/>
      <c r="X303" s="1">
        <f>SUBTOTAL(9,Tabella224[[#This Row],[Evidenze storiche di contraffazione o adulterazione]:[Tipologia della materia prima]])</f>
        <v>0</v>
      </c>
    </row>
    <row r="304" hidden="1"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44"/>
      <c r="X304" s="1">
        <f>SUBTOTAL(9,Tabella224[[#This Row],[Evidenze storiche di contraffazione o adulterazione]:[Tipologia della materia prima]])</f>
        <v>0</v>
      </c>
    </row>
    <row r="305" hidden="1"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44"/>
      <c r="X305" s="1">
        <f>SUBTOTAL(9,Tabella224[[#This Row],[Evidenze storiche di contraffazione o adulterazione]:[Tipologia della materia prima]])</f>
        <v>0</v>
      </c>
    </row>
    <row r="306" hidden="1"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44"/>
      <c r="X306" s="1">
        <f>SUBTOTAL(9,Tabella224[[#This Row],[Evidenze storiche di contraffazione o adulterazione]:[Tipologia della materia prima]])</f>
        <v>0</v>
      </c>
    </row>
    <row r="307" hidden="1"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44"/>
      <c r="X307" s="1">
        <f>SUBTOTAL(9,Tabella224[[#This Row],[Evidenze storiche di contraffazione o adulterazione]:[Tipologia della materia prima]])</f>
        <v>0</v>
      </c>
    </row>
    <row r="308" hidden="1"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44"/>
      <c r="X308" s="1">
        <f>SUBTOTAL(9,Tabella224[[#This Row],[Evidenze storiche di contraffazione o adulterazione]:[Tipologia della materia prima]])</f>
        <v>0</v>
      </c>
    </row>
    <row r="309" hidden="1"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44"/>
      <c r="X309" s="1">
        <f>SUBTOTAL(9,Tabella224[[#This Row],[Evidenze storiche di contraffazione o adulterazione]:[Tipologia della materia prima]])</f>
        <v>0</v>
      </c>
    </row>
    <row r="310" hidden="1"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44"/>
      <c r="X310" s="1">
        <f>SUBTOTAL(9,Tabella224[[#This Row],[Evidenze storiche di contraffazione o adulterazione]:[Tipologia della materia prima]])</f>
        <v>0</v>
      </c>
    </row>
    <row r="311" hidden="1"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44"/>
      <c r="X311" s="1">
        <f>SUBTOTAL(9,Tabella224[[#This Row],[Evidenze storiche di contraffazione o adulterazione]:[Tipologia della materia prima]])</f>
        <v>0</v>
      </c>
    </row>
    <row r="312" hidden="1"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44"/>
      <c r="X312" s="1">
        <f>SUBTOTAL(9,Tabella224[[#This Row],[Evidenze storiche di contraffazione o adulterazione]:[Tipologia della materia prima]])</f>
        <v>0</v>
      </c>
    </row>
    <row r="313" hidden="1"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44"/>
      <c r="X313" s="1">
        <f>SUBTOTAL(9,Tabella224[[#This Row],[Evidenze storiche di contraffazione o adulterazione]:[Tipologia della materia prima]])</f>
        <v>0</v>
      </c>
    </row>
    <row r="314" hidden="1"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44"/>
      <c r="X314" s="1">
        <f>SUBTOTAL(9,Tabella224[[#This Row],[Evidenze storiche di contraffazione o adulterazione]:[Tipologia della materia prima]])</f>
        <v>0</v>
      </c>
    </row>
    <row r="315" hidden="1"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44"/>
      <c r="X315" s="1">
        <f>SUBTOTAL(9,Tabella224[[#This Row],[Evidenze storiche di contraffazione o adulterazione]:[Tipologia della materia prima]])</f>
        <v>0</v>
      </c>
    </row>
    <row r="316" hidden="1"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44"/>
      <c r="X316" s="1">
        <f>SUBTOTAL(9,Tabella224[[#This Row],[Evidenze storiche di contraffazione o adulterazione]:[Tipologia della materia prima]])</f>
        <v>0</v>
      </c>
    </row>
    <row r="317" hidden="1"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44"/>
      <c r="X317" s="1">
        <f>SUBTOTAL(9,Tabella224[[#This Row],[Evidenze storiche di contraffazione o adulterazione]:[Tipologia della materia prima]])</f>
        <v>0</v>
      </c>
    </row>
    <row r="318" hidden="1"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44"/>
      <c r="X318" s="1">
        <f>SUBTOTAL(9,Tabella224[[#This Row],[Evidenze storiche di contraffazione o adulterazione]:[Tipologia della materia prima]])</f>
        <v>0</v>
      </c>
    </row>
    <row r="319" hidden="1"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44"/>
      <c r="X319" s="1">
        <f>SUBTOTAL(9,Tabella224[[#This Row],[Evidenze storiche di contraffazione o adulterazione]:[Tipologia della materia prima]])</f>
        <v>0</v>
      </c>
    </row>
    <row r="320" hidden="1"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44"/>
      <c r="X320" s="1">
        <f>SUBTOTAL(9,Tabella224[[#This Row],[Evidenze storiche di contraffazione o adulterazione]:[Tipologia della materia prima]])</f>
        <v>0</v>
      </c>
    </row>
    <row r="321" hidden="1"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44"/>
      <c r="X321" s="1">
        <f>SUBTOTAL(9,Tabella224[[#This Row],[Evidenze storiche di contraffazione o adulterazione]:[Tipologia della materia prima]])</f>
        <v>0</v>
      </c>
    </row>
    <row r="322" hidden="1"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44"/>
      <c r="X322" s="1">
        <f>SUBTOTAL(9,Tabella224[[#This Row],[Evidenze storiche di contraffazione o adulterazione]:[Tipologia della materia prima]])</f>
        <v>0</v>
      </c>
    </row>
    <row r="323" hidden="1"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X323" s="1">
        <f>SUBTOTAL(9,Tabella224[[#This Row],[Evidenze storiche di contraffazione o adulterazione]:[Tipologia della materia prima]])</f>
        <v>0</v>
      </c>
    </row>
    <row r="324" hidden="1"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X324" s="1">
        <f>SUBTOTAL(9,Tabella224[[#This Row],[Evidenze storiche di contraffazione o adulterazione]:[Tipologia della materia prima]])</f>
        <v>0</v>
      </c>
    </row>
    <row r="325" hidden="1"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X325" s="1">
        <f>SUBTOTAL(9,Tabella224[[#This Row],[Evidenze storiche di contraffazione o adulterazione]:[Tipologia della materia prima]])</f>
        <v>0</v>
      </c>
    </row>
    <row r="326" hidden="1"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X326" s="1">
        <f>SUBTOTAL(9,Tabella224[[#This Row],[Evidenze storiche di contraffazione o adulterazione]:[Tipologia della materia prima]])</f>
        <v>0</v>
      </c>
    </row>
    <row r="327" hidden="1"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X327" s="1">
        <f>SUBTOTAL(9,Tabella224[[#This Row],[Evidenze storiche di contraffazione o adulterazione]:[Tipologia della materia prima]])</f>
        <v>0</v>
      </c>
    </row>
    <row r="328" hidden="1"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X328" s="1">
        <f>SUBTOTAL(9,Tabella224[[#This Row],[Evidenze storiche di contraffazione o adulterazione]:[Tipologia della materia prima]])</f>
        <v>0</v>
      </c>
    </row>
    <row r="329" hidden="1"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X329" s="1">
        <f>SUBTOTAL(9,Tabella224[[#This Row],[Evidenze storiche di contraffazione o adulterazione]:[Tipologia della materia prima]])</f>
        <v>0</v>
      </c>
    </row>
    <row r="330" hidden="1"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X330" s="1">
        <f>SUBTOTAL(9,Tabella224[[#This Row],[Evidenze storiche di contraffazione o adulterazione]:[Tipologia della materia prima]])</f>
        <v>0</v>
      </c>
    </row>
    <row r="331" hidden="1"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X331" s="1">
        <f>SUBTOTAL(9,Tabella224[[#This Row],[Evidenze storiche di contraffazione o adulterazione]:[Tipologia della materia prima]])</f>
        <v>0</v>
      </c>
    </row>
    <row r="332" hidden="1"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X332" s="1">
        <f>SUBTOTAL(9,Tabella224[[#This Row],[Evidenze storiche di contraffazione o adulterazione]:[Tipologia della materia prima]])</f>
        <v>0</v>
      </c>
    </row>
    <row r="333" hidden="1"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X333" s="1">
        <f>SUBTOTAL(9,Tabella224[[#This Row],[Evidenze storiche di contraffazione o adulterazione]:[Tipologia della materia prima]])</f>
        <v>0</v>
      </c>
    </row>
    <row r="334" hidden="1"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X334" s="1">
        <f>SUBTOTAL(9,Tabella224[[#This Row],[Evidenze storiche di contraffazione o adulterazione]:[Tipologia della materia prima]])</f>
        <v>0</v>
      </c>
    </row>
    <row r="335" hidden="1"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X335" s="1">
        <f>SUBTOTAL(9,Tabella224[[#This Row],[Evidenze storiche di contraffazione o adulterazione]:[Tipologia della materia prima]])</f>
        <v>0</v>
      </c>
    </row>
    <row r="336" hidden="1"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X336" s="1">
        <f>SUBTOTAL(9,Tabella224[[#This Row],[Evidenze storiche di contraffazione o adulterazione]:[Tipologia della materia prima]])</f>
        <v>0</v>
      </c>
    </row>
    <row r="337" hidden="1"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X337" s="1">
        <f>SUBTOTAL(9,Tabella224[[#This Row],[Evidenze storiche di contraffazione o adulterazione]:[Tipologia della materia prima]])</f>
        <v>0</v>
      </c>
    </row>
    <row r="338" hidden="1"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X338" s="1">
        <f>SUBTOTAL(9,Tabella224[[#This Row],[Evidenze storiche di contraffazione o adulterazione]:[Tipologia della materia prima]])</f>
        <v>0</v>
      </c>
    </row>
    <row r="339" hidden="1"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X339" s="1">
        <f>SUBTOTAL(9,Tabella224[[#This Row],[Evidenze storiche di contraffazione o adulterazione]:[Tipologia della materia prima]])</f>
        <v>0</v>
      </c>
    </row>
    <row r="340" hidden="1"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X340" s="1">
        <f>SUBTOTAL(9,Tabella224[[#This Row],[Evidenze storiche di contraffazione o adulterazione]:[Tipologia della materia prima]])</f>
        <v>0</v>
      </c>
    </row>
    <row r="341" hidden="1"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X341" s="1">
        <f>SUBTOTAL(9,Tabella224[[#This Row],[Evidenze storiche di contraffazione o adulterazione]:[Tipologia della materia prima]])</f>
        <v>0</v>
      </c>
    </row>
    <row r="342" hidden="1"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X342" s="1">
        <f>SUBTOTAL(9,Tabella224[[#This Row],[Evidenze storiche di contraffazione o adulterazione]:[Tipologia della materia prima]])</f>
        <v>0</v>
      </c>
    </row>
    <row r="343" hidden="1"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X343" s="1">
        <f>SUBTOTAL(9,Tabella224[[#This Row],[Evidenze storiche di contraffazione o adulterazione]:[Tipologia della materia prima]])</f>
        <v>0</v>
      </c>
    </row>
    <row r="344" hidden="1"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X344" s="1">
        <f>SUBTOTAL(9,Tabella224[[#This Row],[Evidenze storiche di contraffazione o adulterazione]:[Tipologia della materia prima]])</f>
        <v>0</v>
      </c>
    </row>
    <row r="345" hidden="1"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X345" s="1">
        <f>SUBTOTAL(9,Tabella224[[#This Row],[Evidenze storiche di contraffazione o adulterazione]:[Tipologia della materia prima]])</f>
        <v>0</v>
      </c>
    </row>
    <row r="346" hidden="1"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X346" s="1">
        <f>SUBTOTAL(9,Tabella224[[#This Row],[Evidenze storiche di contraffazione o adulterazione]:[Tipologia della materia prima]])</f>
        <v>0</v>
      </c>
    </row>
    <row r="347" hidden="1"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X347" s="1">
        <f>SUBTOTAL(9,Tabella224[[#This Row],[Evidenze storiche di contraffazione o adulterazione]:[Tipologia della materia prima]])</f>
        <v>0</v>
      </c>
    </row>
    <row r="348" hidden="1">
      <c r="X348" s="1">
        <f>SUBTOTAL(9,Tabella224[[#This Row],[Evidenze storiche di contraffazione o adulterazione]:[Tipologia della materia prima]])</f>
        <v>0</v>
      </c>
    </row>
    <row r="349" hidden="1">
      <c r="X349" s="1">
        <f>SUBTOTAL(9,Tabella224[[#This Row],[Evidenze storiche di contraffazione o adulterazione]:[Tipologia della materia prima]])</f>
        <v>0</v>
      </c>
    </row>
    <row r="350" hidden="1">
      <c r="X350" s="1">
        <f>SUBTOTAL(9,Tabella224[[#This Row],[Evidenze storiche di contraffazione o adulterazione]:[Tipologia della materia prima]])</f>
        <v>0</v>
      </c>
    </row>
    <row r="351" hidden="1">
      <c r="X351" s="1">
        <f>SUBTOTAL(9,Tabella224[[#This Row],[Evidenze storiche di contraffazione o adulterazione]:[Tipologia della materia prima]])</f>
        <v>0</v>
      </c>
    </row>
    <row r="352">
      <c r="B352" s="96" t="s">
        <v>210</v>
      </c>
      <c r="C352" s="97" t="s">
        <v>211</v>
      </c>
      <c r="D352" s="98" t="s">
        <v>130</v>
      </c>
      <c r="E352" s="99" t="s">
        <v>131</v>
      </c>
      <c r="F352" s="100">
        <v>0</v>
      </c>
      <c r="G352" s="101">
        <v>4</v>
      </c>
      <c r="H352" s="101" t="s">
        <v>39</v>
      </c>
      <c r="I352" s="101">
        <v>4</v>
      </c>
      <c r="J352" s="101" t="s">
        <v>40</v>
      </c>
      <c r="K352" s="102">
        <v>45257</v>
      </c>
      <c r="L352" s="96"/>
      <c r="M352" s="96"/>
      <c r="N352" s="96"/>
      <c r="O352" s="96"/>
      <c r="P352" s="96"/>
      <c r="Q352" s="96"/>
      <c r="R352" s="96"/>
      <c r="S352" s="45">
        <v>3</v>
      </c>
      <c r="T352" s="45">
        <v>2</v>
      </c>
      <c r="U352" s="45">
        <v>4</v>
      </c>
      <c r="V352" s="45">
        <v>2</v>
      </c>
      <c r="W352" s="45">
        <v>1</v>
      </c>
      <c r="X352" s="1">
        <f>SUBTOTAL(9,Tabella224[[#This Row],[Evidenze storiche di contraffazione o adulterazione]:[Tipologia della materia prima]])</f>
        <v>12</v>
      </c>
    </row>
    <row r="353">
      <c r="B353" s="96" t="s">
        <v>212</v>
      </c>
      <c r="C353" s="97" t="s">
        <v>213</v>
      </c>
      <c r="D353" s="98" t="s">
        <v>130</v>
      </c>
      <c r="E353" s="99" t="s">
        <v>131</v>
      </c>
      <c r="F353" s="100">
        <v>0</v>
      </c>
      <c r="G353" s="101">
        <v>4</v>
      </c>
      <c r="H353" s="101" t="s">
        <v>39</v>
      </c>
      <c r="I353" s="101">
        <v>4</v>
      </c>
      <c r="J353" s="101" t="s">
        <v>40</v>
      </c>
      <c r="K353" s="102">
        <v>45257</v>
      </c>
      <c r="L353" s="96"/>
      <c r="M353" s="96"/>
      <c r="N353" s="96"/>
      <c r="O353" s="96"/>
      <c r="P353" s="96"/>
      <c r="Q353" s="96"/>
      <c r="R353" s="96"/>
      <c r="S353" s="45">
        <v>3</v>
      </c>
      <c r="T353" s="45">
        <v>2</v>
      </c>
      <c r="U353" s="45">
        <v>4</v>
      </c>
      <c r="V353" s="45">
        <v>2</v>
      </c>
      <c r="W353" s="45">
        <v>1</v>
      </c>
      <c r="X353" s="1">
        <f>SUBTOTAL(9,Tabella224[[#This Row],[Evidenze storiche di contraffazione o adulterazione]:[Tipologia della materia prima]])</f>
        <v>12</v>
      </c>
    </row>
    <row r="354">
      <c r="B354" s="96" t="s">
        <v>214</v>
      </c>
      <c r="C354" s="97" t="s">
        <v>215</v>
      </c>
      <c r="D354" s="98" t="s">
        <v>130</v>
      </c>
      <c r="E354" s="99" t="s">
        <v>131</v>
      </c>
      <c r="F354" s="100">
        <v>0</v>
      </c>
      <c r="G354" s="101">
        <v>4</v>
      </c>
      <c r="H354" s="101" t="s">
        <v>39</v>
      </c>
      <c r="I354" s="101">
        <v>4</v>
      </c>
      <c r="J354" s="101" t="s">
        <v>40</v>
      </c>
      <c r="K354" s="102">
        <v>45257</v>
      </c>
      <c r="L354" s="96"/>
      <c r="M354" s="96"/>
      <c r="N354" s="96"/>
      <c r="O354" s="96"/>
      <c r="P354" s="96"/>
      <c r="Q354" s="96"/>
      <c r="R354" s="96"/>
      <c r="S354" s="45">
        <v>3</v>
      </c>
      <c r="T354" s="45">
        <v>2</v>
      </c>
      <c r="U354" s="45">
        <v>4</v>
      </c>
      <c r="V354" s="45">
        <v>2</v>
      </c>
      <c r="W354" s="45">
        <v>1</v>
      </c>
      <c r="X354" s="1">
        <f>SUBTOTAL(9,Tabella224[[#This Row],[Evidenze storiche di contraffazione o adulterazione]:[Tipologia della materia prima]])</f>
        <v>12</v>
      </c>
    </row>
    <row r="355">
      <c r="X355" s="1">
        <f>SUBTOTAL(9,Tabella224[[#This Row],[Evidenze storiche di contraffazione o adulterazione]:[Tipologia della materia prima]])</f>
        <v>0</v>
      </c>
    </row>
  </sheetData>
  <mergeCells count="9">
    <mergeCell ref="S11:X11"/>
    <mergeCell ref="F11:K11"/>
    <mergeCell ref="L11:R11"/>
    <mergeCell ref="B1:B4"/>
    <mergeCell ref="C1:E4"/>
    <mergeCell ref="F1:G1"/>
    <mergeCell ref="F2:G2"/>
    <mergeCell ref="F3:G3"/>
    <mergeCell ref="F4:G4"/>
  </mergeCells>
  <hyperlinks>
    <hyperlink r:id="rId1" ref="D13"/>
    <hyperlink r:id="rId1" ref="D14"/>
    <hyperlink r:id="rId2" ref="D15"/>
    <hyperlink r:id="rId2" ref="D16"/>
    <hyperlink r:id="rId3" ref="D19"/>
    <hyperlink r:id="rId3" ref="D20"/>
    <hyperlink r:id="rId4" ref="D23"/>
    <hyperlink r:id="rId4" ref="D24"/>
    <hyperlink r:id="rId5" ref="D25"/>
    <hyperlink r:id="rId5" ref="D26"/>
    <hyperlink r:id="rId6" ref="D27"/>
    <hyperlink r:id="rId7" ref="D29"/>
    <hyperlink r:id="rId8" ref="D33"/>
    <hyperlink r:id="rId9" ref="D41"/>
    <hyperlink r:id="rId10" ref="D42"/>
    <hyperlink r:id="rId10" ref="D352:D354"/>
  </hyperlinks>
  <printOptions headings="0" gridLines="0"/>
  <pageMargins left="0.69999999999999996" right="0.69999999999999996" top="0.75" bottom="0.75" header="0.29999999999999999" footer="0.29999999999999999"/>
  <pageSetup paperSize="9" scale="26" fitToWidth="1" fitToHeight="1" pageOrder="downThenOver" orientation="landscape" usePrinterDefaults="1" blackAndWhite="0" draft="0" cellComments="none" useFirstPageNumber="0" errors="displayed" horizontalDpi="300" verticalDpi="300" copies="1"/>
  <headerFooter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E10" zoomScale="100" workbookViewId="0">
      <selection activeCell="N47" activeCellId="0" sqref="N47"/>
    </sheetView>
  </sheetViews>
  <sheetFormatPr defaultRowHeight="14.25"/>
  <cols>
    <col bestFit="1" customWidth="1" min="2" max="2" width="45.109375"/>
    <col bestFit="1" customWidth="1" min="3" max="3" style="1" width="27.44140625"/>
    <col bestFit="1" customWidth="1" min="4" max="4" style="1" width="36.6640625"/>
    <col customWidth="1" min="5" max="5" style="1" width="15.109375"/>
    <col customWidth="1" min="6" max="6" width="13.88671875"/>
    <col customWidth="1" min="7" max="7" width="13.109375"/>
    <col bestFit="1" customWidth="1" min="8" max="8" width="17.21875"/>
    <col customWidth="1" min="9" max="9" width="14.6640625"/>
    <col customWidth="1" min="10" max="10" width="17.44140625"/>
    <col customWidth="1" min="11" max="11" width="19.44140625"/>
    <col customWidth="1" min="12" max="12" width="12.109375"/>
    <col customWidth="1" min="13" max="14" width="14"/>
    <col customWidth="1" min="15" max="15" width="11.5546875"/>
    <col customWidth="1" min="16" max="16" width="13.6640625"/>
    <col bestFit="1" customWidth="1" min="17" max="17" width="20.33203125"/>
    <col customWidth="1" min="18" max="18" width="13.33203125"/>
    <col bestFit="1" customWidth="1" min="19" max="19" width="20.33203125"/>
    <col customWidth="1" min="20" max="20" width="27.5546875"/>
    <col customWidth="1" min="21" max="21" width="42.44140625"/>
    <col customWidth="1" min="22" max="22" width="25.6640625"/>
    <col customWidth="1" min="23" max="23" width="14.44140625"/>
    <col customWidth="1" min="24" max="24" width="15.6640625"/>
    <col customWidth="1" min="25" max="25" width="18.44140625"/>
    <col customWidth="1" min="26" max="26" width="15"/>
    <col customWidth="1" min="27" max="27" width="16.109375"/>
    <col customWidth="1" min="28" max="28" width="11.109375"/>
    <col min="29" max="29" style="1" width="8.88671875"/>
  </cols>
  <sheetData>
    <row r="1" ht="15" customHeight="1">
      <c r="B1" s="76" t="s">
        <v>2</v>
      </c>
      <c r="C1" s="77" t="s">
        <v>216</v>
      </c>
      <c r="D1" s="77"/>
      <c r="E1" s="77"/>
      <c r="F1" s="103" t="s">
        <v>217</v>
      </c>
      <c r="G1" s="104"/>
      <c r="H1" s="11"/>
      <c r="I1" s="11"/>
      <c r="J1" s="11"/>
      <c r="K1" s="11"/>
      <c r="Q1" s="15">
        <v>4</v>
      </c>
      <c r="S1" s="16" t="s">
        <v>3</v>
      </c>
      <c r="V1" s="79" t="s">
        <v>139</v>
      </c>
      <c r="W1" s="80"/>
      <c r="X1" s="80"/>
      <c r="Y1" s="80"/>
      <c r="Z1" s="80"/>
      <c r="AA1" s="80"/>
      <c r="AB1" s="80"/>
      <c r="AC1" s="81"/>
    </row>
    <row r="2" ht="15.75" customHeight="1">
      <c r="B2" s="76"/>
      <c r="C2" s="77"/>
      <c r="D2" s="77"/>
      <c r="E2" s="77"/>
      <c r="F2" s="105" t="s">
        <v>218</v>
      </c>
      <c r="G2" s="106"/>
      <c r="H2" s="11"/>
      <c r="I2" s="11"/>
      <c r="J2" s="11"/>
      <c r="K2" s="11"/>
      <c r="Q2" s="21">
        <v>3</v>
      </c>
      <c r="S2" s="22" t="s">
        <v>5</v>
      </c>
      <c r="V2" s="80"/>
      <c r="W2" s="80" t="s">
        <v>140</v>
      </c>
      <c r="X2" s="80"/>
      <c r="Y2" s="80"/>
      <c r="Z2" s="80"/>
      <c r="AA2" s="80"/>
      <c r="AB2" s="80"/>
      <c r="AC2" s="81"/>
    </row>
    <row r="3">
      <c r="B3" s="76"/>
      <c r="C3" s="77"/>
      <c r="D3" s="77"/>
      <c r="E3" s="77"/>
      <c r="F3" s="105" t="s">
        <v>219</v>
      </c>
      <c r="G3" s="106"/>
      <c r="H3" s="11"/>
      <c r="I3" s="11"/>
      <c r="J3" s="11"/>
      <c r="K3" s="11"/>
      <c r="Q3" s="21">
        <v>2</v>
      </c>
      <c r="S3" s="22" t="s">
        <v>7</v>
      </c>
      <c r="V3" s="80"/>
      <c r="W3" s="80" t="s">
        <v>141</v>
      </c>
      <c r="X3" s="80"/>
      <c r="Y3" s="80"/>
      <c r="Z3" s="80"/>
      <c r="AA3" s="80"/>
      <c r="AB3" s="80"/>
      <c r="AC3" s="81"/>
    </row>
    <row r="4" ht="15" customHeight="1">
      <c r="B4" s="76"/>
      <c r="C4" s="77"/>
      <c r="D4" s="77"/>
      <c r="E4" s="77"/>
      <c r="F4" s="107" t="s">
        <v>8</v>
      </c>
      <c r="G4" s="108"/>
      <c r="H4" s="11"/>
      <c r="I4" s="11"/>
      <c r="J4" s="11"/>
      <c r="K4" s="11"/>
      <c r="Q4" s="27">
        <v>1</v>
      </c>
      <c r="S4" s="28" t="s">
        <v>9</v>
      </c>
      <c r="V4" s="80"/>
      <c r="W4" s="80" t="s">
        <v>142</v>
      </c>
      <c r="X4" s="80"/>
      <c r="Y4" s="80"/>
      <c r="Z4" s="80"/>
      <c r="AA4" s="80"/>
      <c r="AB4" s="80"/>
      <c r="AC4" s="81"/>
    </row>
    <row r="5" ht="15" customHeight="1">
      <c r="D5" s="78"/>
      <c r="E5" s="78"/>
      <c r="V5" s="80"/>
      <c r="W5" s="80" t="s">
        <v>143</v>
      </c>
      <c r="X5" s="80"/>
      <c r="Y5" s="80"/>
      <c r="Z5" s="80"/>
      <c r="AA5" s="80"/>
      <c r="AB5" s="80"/>
      <c r="AC5" s="81"/>
    </row>
    <row r="6" ht="15" customHeight="1">
      <c r="D6" s="78"/>
      <c r="E6" s="78"/>
      <c r="V6" s="80"/>
      <c r="W6" s="80" t="s">
        <v>144</v>
      </c>
      <c r="X6" s="80"/>
      <c r="Y6" s="80"/>
      <c r="Z6" s="80"/>
      <c r="AA6" s="80"/>
      <c r="AB6" s="80"/>
      <c r="AC6" s="81"/>
    </row>
    <row r="7" ht="15" customHeight="1">
      <c r="B7" t="s">
        <v>220</v>
      </c>
      <c r="D7" s="78"/>
      <c r="E7" s="78"/>
      <c r="V7" s="80"/>
      <c r="W7" s="79" t="s">
        <v>145</v>
      </c>
      <c r="X7" s="82" t="s">
        <v>146</v>
      </c>
      <c r="Y7" s="82" t="s">
        <v>147</v>
      </c>
      <c r="Z7" s="80"/>
      <c r="AA7" s="80"/>
      <c r="AB7" s="80"/>
      <c r="AC7" s="81"/>
    </row>
    <row r="8" ht="15" customHeight="1">
      <c r="D8" s="78"/>
      <c r="E8" s="78"/>
      <c r="V8" s="80"/>
      <c r="W8" s="80"/>
      <c r="X8" s="83" t="s">
        <v>148</v>
      </c>
      <c r="Y8" s="83" t="s">
        <v>149</v>
      </c>
      <c r="Z8" s="80"/>
      <c r="AA8" s="80"/>
      <c r="AB8" s="80"/>
      <c r="AC8" s="81"/>
    </row>
    <row r="9" ht="15" customHeight="1">
      <c r="D9" s="78"/>
      <c r="E9" s="78"/>
      <c r="V9" s="80"/>
      <c r="W9" s="80"/>
      <c r="X9" s="84" t="s">
        <v>150</v>
      </c>
      <c r="Y9" s="84" t="s">
        <v>151</v>
      </c>
      <c r="Z9" s="80"/>
      <c r="AA9" s="80"/>
      <c r="AB9" s="80"/>
      <c r="AC9" s="81"/>
    </row>
    <row r="10" s="12" customFormat="1" ht="15">
      <c r="X10" s="80"/>
      <c r="Y10" s="80"/>
      <c r="Z10" s="84"/>
      <c r="AA10" s="84"/>
      <c r="AB10" s="80"/>
      <c r="AC10" s="81"/>
      <c r="AD10" s="80"/>
      <c r="AE10" s="80"/>
    </row>
    <row r="11" s="12" customFormat="1">
      <c r="F11" s="31" t="s">
        <v>221</v>
      </c>
      <c r="G11" s="32"/>
      <c r="H11" s="32"/>
      <c r="I11" s="32"/>
      <c r="J11" s="32"/>
      <c r="K11" s="32"/>
      <c r="L11" s="32"/>
      <c r="M11" s="32"/>
      <c r="N11" s="32"/>
      <c r="O11" s="32"/>
      <c r="P11" s="33"/>
      <c r="Q11" s="34" t="s">
        <v>12</v>
      </c>
      <c r="R11" s="34"/>
      <c r="S11" s="34"/>
      <c r="T11" s="34"/>
      <c r="U11" s="34"/>
      <c r="V11" s="34"/>
      <c r="W11" s="35"/>
      <c r="X11" s="85" t="s">
        <v>153</v>
      </c>
      <c r="Y11" s="86"/>
      <c r="Z11" s="86"/>
      <c r="AA11" s="86"/>
      <c r="AB11" s="86"/>
      <c r="AC11" s="86"/>
    </row>
    <row r="12" s="36" customFormat="1" ht="75.75" customHeight="1">
      <c r="B12" s="37" t="s">
        <v>13</v>
      </c>
      <c r="C12" s="38" t="s">
        <v>14</v>
      </c>
      <c r="D12" s="38" t="s">
        <v>15</v>
      </c>
      <c r="E12" s="38" t="s">
        <v>16</v>
      </c>
      <c r="F12" s="39" t="s">
        <v>17</v>
      </c>
      <c r="G12" s="41" t="s">
        <v>222</v>
      </c>
      <c r="H12" s="38" t="s">
        <v>223</v>
      </c>
      <c r="I12" s="38" t="s">
        <v>224</v>
      </c>
      <c r="J12" s="38" t="s">
        <v>225</v>
      </c>
      <c r="K12" s="38" t="s">
        <v>226</v>
      </c>
      <c r="L12" s="38" t="s">
        <v>19</v>
      </c>
      <c r="M12" s="38" t="s">
        <v>227</v>
      </c>
      <c r="N12" s="38" t="s">
        <v>228</v>
      </c>
      <c r="O12" s="38" t="s">
        <v>21</v>
      </c>
      <c r="P12" s="40" t="s">
        <v>22</v>
      </c>
      <c r="Q12" s="41" t="s">
        <v>29</v>
      </c>
      <c r="R12" s="41" t="s">
        <v>30</v>
      </c>
      <c r="S12" s="41" t="s">
        <v>31</v>
      </c>
      <c r="T12" s="41" t="s">
        <v>32</v>
      </c>
      <c r="U12" s="41" t="s">
        <v>33</v>
      </c>
      <c r="V12" s="42" t="s">
        <v>34</v>
      </c>
      <c r="W12" s="43" t="s">
        <v>35</v>
      </c>
      <c r="X12" s="87" t="s">
        <v>155</v>
      </c>
      <c r="Y12" s="87" t="s">
        <v>156</v>
      </c>
      <c r="Z12" s="87" t="s">
        <v>157</v>
      </c>
      <c r="AA12" s="87" t="s">
        <v>158</v>
      </c>
      <c r="AB12" s="87" t="s">
        <v>159</v>
      </c>
      <c r="AC12" s="88" t="s">
        <v>160</v>
      </c>
      <c r="AD12" s="109" t="s">
        <v>229</v>
      </c>
    </row>
    <row r="13" ht="19.949999999999999" customHeight="1">
      <c r="B13" s="44" t="s">
        <v>36</v>
      </c>
      <c r="C13" s="45" t="s">
        <v>161</v>
      </c>
      <c r="D13" s="46" t="s">
        <v>38</v>
      </c>
      <c r="E13" s="46"/>
      <c r="F13" s="48"/>
      <c r="G13" s="45">
        <v>4</v>
      </c>
      <c r="H13" s="45">
        <v>3</v>
      </c>
      <c r="I13" s="45">
        <v>2</v>
      </c>
      <c r="J13" s="45">
        <v>2</v>
      </c>
      <c r="K13" s="45">
        <v>2</v>
      </c>
      <c r="L13" s="45"/>
      <c r="M13" s="45"/>
      <c r="N13" s="45"/>
      <c r="O13" s="45"/>
      <c r="P13" s="49"/>
      <c r="Q13" s="45"/>
      <c r="R13" s="45"/>
      <c r="S13" s="45"/>
      <c r="T13" s="45"/>
      <c r="U13" s="45"/>
      <c r="V13" s="89"/>
      <c r="W13" s="45"/>
      <c r="X13" s="45">
        <v>4</v>
      </c>
      <c r="Y13" s="45">
        <v>4</v>
      </c>
      <c r="Z13" s="45">
        <v>4</v>
      </c>
      <c r="AA13" s="45">
        <v>4</v>
      </c>
      <c r="AB13" s="45">
        <v>4</v>
      </c>
      <c r="AC13" s="45">
        <f>SUBTOTAL(9,Tabella2245[[#This Row],[Evidenze storiche di contraffazione o adulterazione]:[Tipologia della materia prima]])</f>
        <v>20</v>
      </c>
      <c r="AD13" s="45">
        <f t="shared" ref="AD13:AD42" si="0">IF(AND(AC13&gt;=5,AC13&lt;=8),1,IF(AND(AC13&gt;=9,AC13&lt;=12),2,IF(AND(AC13&gt;=13,AC13&lt;=16),3,IF(AND(AC13&gt;=17,AC13&lt;=20),4))))</f>
        <v>4</v>
      </c>
    </row>
    <row r="14" ht="19.949999999999999" customHeight="1">
      <c r="B14" s="44" t="s">
        <v>36</v>
      </c>
      <c r="C14" s="45" t="s">
        <v>162</v>
      </c>
      <c r="D14" s="46" t="s">
        <v>38</v>
      </c>
      <c r="E14" s="90"/>
      <c r="F14" s="48"/>
      <c r="G14" s="45"/>
      <c r="H14" s="45"/>
      <c r="I14" s="45"/>
      <c r="J14" s="45"/>
      <c r="K14" s="45"/>
      <c r="L14" s="45"/>
      <c r="M14" s="45"/>
      <c r="N14" s="45"/>
      <c r="O14" s="45"/>
      <c r="P14" s="49"/>
      <c r="Q14" s="45"/>
      <c r="R14" s="45"/>
      <c r="S14" s="45"/>
      <c r="T14" s="45"/>
      <c r="U14" s="45"/>
      <c r="V14" s="89"/>
      <c r="W14" s="45"/>
      <c r="X14" s="45"/>
      <c r="Y14" s="45"/>
      <c r="Z14" s="45"/>
      <c r="AA14" s="45"/>
      <c r="AB14" s="45"/>
      <c r="AC14" s="45"/>
    </row>
    <row r="15" s="45" customFormat="1" ht="20.25" customHeight="1">
      <c r="B15" s="52" t="s">
        <v>41</v>
      </c>
      <c r="C15" s="45" t="s">
        <v>161</v>
      </c>
      <c r="D15" s="46" t="s">
        <v>42</v>
      </c>
      <c r="E15" s="53" t="s">
        <v>43</v>
      </c>
      <c r="F15" s="48"/>
      <c r="P15" s="49"/>
      <c r="T15" s="47"/>
      <c r="U15" s="54"/>
      <c r="V15" s="47"/>
      <c r="AD15"/>
    </row>
    <row r="16" s="45" customFormat="1" ht="20.25" customHeight="1">
      <c r="B16" s="52" t="s">
        <v>41</v>
      </c>
      <c r="C16" s="45" t="s">
        <v>162</v>
      </c>
      <c r="D16" s="46" t="s">
        <v>42</v>
      </c>
      <c r="E16" s="53" t="s">
        <v>43</v>
      </c>
      <c r="F16" s="48"/>
      <c r="P16" s="49"/>
      <c r="T16" s="47"/>
      <c r="U16" s="54"/>
      <c r="V16" s="47"/>
      <c r="AD16"/>
    </row>
    <row r="17" s="45" customFormat="1" ht="28.5">
      <c r="B17" s="52" t="s">
        <v>45</v>
      </c>
      <c r="C17" s="45" t="s">
        <v>161</v>
      </c>
      <c r="D17" s="55" t="s">
        <v>47</v>
      </c>
      <c r="E17" s="56">
        <v>3285363451</v>
      </c>
      <c r="F17" s="48"/>
      <c r="P17" s="49"/>
      <c r="AD17"/>
    </row>
    <row r="18" s="45" customFormat="1" ht="28.5">
      <c r="B18" s="52" t="s">
        <v>45</v>
      </c>
      <c r="C18" s="45" t="s">
        <v>162</v>
      </c>
      <c r="D18" s="55" t="s">
        <v>47</v>
      </c>
      <c r="E18" s="56">
        <v>3285363451</v>
      </c>
      <c r="F18" s="48"/>
      <c r="P18" s="49"/>
      <c r="AD18"/>
    </row>
    <row r="19" s="45" customFormat="1" ht="22.949999999999999" customHeight="1">
      <c r="B19" s="52" t="s">
        <v>163</v>
      </c>
      <c r="C19" s="45" t="s">
        <v>161</v>
      </c>
      <c r="D19" s="90" t="s">
        <v>164</v>
      </c>
      <c r="E19" s="91" t="s">
        <v>165</v>
      </c>
      <c r="F19" s="48"/>
      <c r="P19" s="49"/>
      <c r="S19" s="58"/>
      <c r="U19" s="63"/>
      <c r="AD19"/>
    </row>
    <row r="20" s="45" customFormat="1" ht="25.949999999999999" customHeight="1">
      <c r="B20" s="52" t="s">
        <v>163</v>
      </c>
      <c r="C20" s="45" t="s">
        <v>162</v>
      </c>
      <c r="D20" s="46" t="s">
        <v>164</v>
      </c>
      <c r="E20" s="92" t="s">
        <v>165</v>
      </c>
      <c r="F20" s="48"/>
      <c r="P20" s="49"/>
      <c r="S20" s="58"/>
      <c r="U20" s="63"/>
      <c r="AD20"/>
    </row>
    <row r="21" ht="25.949999999999999" customHeight="1">
      <c r="B21" s="52" t="s">
        <v>48</v>
      </c>
      <c r="C21" s="45" t="s">
        <v>161</v>
      </c>
      <c r="D21" s="46" t="s">
        <v>49</v>
      </c>
      <c r="E21" s="57" t="s">
        <v>50</v>
      </c>
      <c r="F21" s="48"/>
      <c r="G21" s="45"/>
      <c r="H21" s="45"/>
      <c r="I21" s="45"/>
      <c r="J21" s="45"/>
      <c r="K21" s="45"/>
      <c r="L21" s="45"/>
      <c r="M21" s="45"/>
      <c r="N21" s="45"/>
      <c r="O21" s="45"/>
      <c r="P21" s="49"/>
      <c r="Q21" s="47"/>
      <c r="R21" s="45"/>
      <c r="S21" s="58"/>
      <c r="T21" s="47"/>
      <c r="U21" s="55"/>
      <c r="V21" s="47"/>
      <c r="W21" s="45"/>
      <c r="X21" s="45"/>
      <c r="Y21" s="45"/>
      <c r="Z21" s="45"/>
      <c r="AA21" s="45"/>
      <c r="AB21" s="45"/>
      <c r="AC21" s="45"/>
    </row>
    <row r="22" ht="25.949999999999999" customHeight="1">
      <c r="B22" s="52" t="s">
        <v>48</v>
      </c>
      <c r="C22" s="45" t="s">
        <v>162</v>
      </c>
      <c r="D22" s="46" t="s">
        <v>49</v>
      </c>
      <c r="E22" s="57" t="s">
        <v>50</v>
      </c>
      <c r="F22" s="48"/>
      <c r="G22" s="45"/>
      <c r="H22" s="45"/>
      <c r="I22" s="45"/>
      <c r="J22" s="45"/>
      <c r="K22" s="45"/>
      <c r="L22" s="45"/>
      <c r="M22" s="45"/>
      <c r="N22" s="45"/>
      <c r="O22" s="45"/>
      <c r="P22" s="49"/>
      <c r="Q22" s="47"/>
      <c r="R22" s="45"/>
      <c r="S22" s="58"/>
      <c r="T22" s="47"/>
      <c r="U22" s="55"/>
      <c r="V22" s="47"/>
      <c r="W22" s="45"/>
      <c r="X22" s="45"/>
      <c r="Y22" s="45"/>
      <c r="Z22" s="45"/>
      <c r="AA22" s="45"/>
      <c r="AB22" s="45"/>
      <c r="AC22" s="45"/>
    </row>
    <row r="23" ht="25.949999999999999" customHeight="1">
      <c r="B23" s="52" t="s">
        <v>230</v>
      </c>
      <c r="C23" s="45" t="s">
        <v>161</v>
      </c>
      <c r="D23" s="90" t="s">
        <v>231</v>
      </c>
      <c r="E23" s="110" t="s">
        <v>232</v>
      </c>
      <c r="F23" s="48">
        <v>0</v>
      </c>
      <c r="G23" s="45">
        <v>4</v>
      </c>
      <c r="H23" s="45">
        <v>2</v>
      </c>
      <c r="I23" s="45">
        <v>3</v>
      </c>
      <c r="J23" s="45">
        <v>2</v>
      </c>
      <c r="K23" s="45">
        <v>2</v>
      </c>
      <c r="L23" s="45" t="s">
        <v>39</v>
      </c>
      <c r="M23" s="45" t="e">
        <f>MIN(G23,H23,I23,J23,K23,AD23)</f>
        <v>#REF!</v>
      </c>
      <c r="N23" s="45" t="e">
        <f>SUM(G23:K23)+AD23</f>
        <v>#REF!</v>
      </c>
      <c r="O23" s="45" t="s">
        <v>233</v>
      </c>
      <c r="P23" s="49">
        <v>45647</v>
      </c>
      <c r="Q23" s="47"/>
      <c r="R23" s="45"/>
      <c r="S23" s="58" t="s">
        <v>234</v>
      </c>
      <c r="T23" s="47" t="s">
        <v>235</v>
      </c>
      <c r="U23" s="55"/>
      <c r="V23" s="47" t="s">
        <v>236</v>
      </c>
      <c r="W23" s="45"/>
      <c r="X23" s="45">
        <v>3</v>
      </c>
      <c r="Y23" s="45">
        <v>3</v>
      </c>
      <c r="Z23" s="45">
        <v>3</v>
      </c>
      <c r="AA23" s="45">
        <v>3</v>
      </c>
      <c r="AB23" s="45">
        <v>4</v>
      </c>
      <c r="AC23" s="45" t="e">
        <f>SUBTOTAL(9,[1]!Tabella2245[[#This Row],[Evidenze storiche di contraffazione o adulterazione]:[Tipologia della materia prima]])</f>
        <v>#REF!</v>
      </c>
      <c r="AD23" s="45" t="e">
        <f t="shared" si="0"/>
        <v>#REF!</v>
      </c>
    </row>
    <row r="24" ht="25.949999999999999" customHeight="1">
      <c r="B24" s="52" t="s">
        <v>230</v>
      </c>
      <c r="C24" s="45" t="s">
        <v>162</v>
      </c>
      <c r="D24" s="90" t="s">
        <v>231</v>
      </c>
      <c r="E24" s="110" t="s">
        <v>232</v>
      </c>
      <c r="F24" s="48"/>
      <c r="G24" s="45"/>
      <c r="H24" s="45"/>
      <c r="I24" s="45"/>
      <c r="J24" s="45"/>
      <c r="K24" s="45"/>
      <c r="L24" s="45"/>
      <c r="M24" s="45"/>
      <c r="N24" s="45"/>
      <c r="O24" s="45"/>
      <c r="P24" s="49"/>
      <c r="Q24" s="47"/>
      <c r="R24" s="45"/>
      <c r="S24" s="58"/>
      <c r="T24" s="47"/>
      <c r="U24" s="55"/>
      <c r="V24" s="47"/>
      <c r="W24" s="45"/>
      <c r="X24" s="45"/>
      <c r="Y24" s="45"/>
      <c r="Z24" s="45"/>
      <c r="AA24" s="45"/>
      <c r="AB24" s="45"/>
      <c r="AC24" s="45"/>
    </row>
    <row r="25" ht="19.949999999999999" customHeight="1">
      <c r="B25" s="44" t="s">
        <v>53</v>
      </c>
      <c r="C25" s="45" t="s">
        <v>161</v>
      </c>
      <c r="D25" s="46" t="s">
        <v>54</v>
      </c>
      <c r="E25" s="53">
        <v>3467458611</v>
      </c>
      <c r="F25" s="48"/>
      <c r="G25" s="45"/>
      <c r="H25" s="45"/>
      <c r="I25" s="45"/>
      <c r="J25" s="45"/>
      <c r="K25" s="45"/>
      <c r="L25" s="45"/>
      <c r="M25" s="45"/>
      <c r="N25" s="45"/>
      <c r="O25" s="45"/>
      <c r="P25" s="49"/>
      <c r="Q25" s="45"/>
      <c r="R25" s="45"/>
      <c r="S25" s="45"/>
      <c r="T25" s="45"/>
      <c r="U25" s="45"/>
      <c r="V25" s="47"/>
      <c r="W25" s="45"/>
      <c r="X25" s="45"/>
      <c r="Y25" s="45"/>
      <c r="Z25" s="45"/>
      <c r="AA25" s="45"/>
      <c r="AB25" s="45"/>
      <c r="AC25" s="45"/>
    </row>
    <row r="26" ht="19.949999999999999" customHeight="1">
      <c r="B26" s="44" t="s">
        <v>53</v>
      </c>
      <c r="C26" s="45" t="s">
        <v>162</v>
      </c>
      <c r="D26" s="46" t="s">
        <v>54</v>
      </c>
      <c r="E26" s="53">
        <v>3467458611</v>
      </c>
      <c r="F26" s="48"/>
      <c r="G26" s="45"/>
      <c r="H26" s="45"/>
      <c r="I26" s="45"/>
      <c r="J26" s="45"/>
      <c r="K26" s="45"/>
      <c r="L26" s="45"/>
      <c r="M26" s="45"/>
      <c r="N26" s="45"/>
      <c r="O26" s="45"/>
      <c r="P26" s="49"/>
      <c r="Q26" s="45"/>
      <c r="R26" s="45"/>
      <c r="S26" s="45"/>
      <c r="T26" s="45"/>
      <c r="U26" s="45"/>
      <c r="V26" s="47"/>
      <c r="W26" s="45"/>
      <c r="X26" s="45"/>
      <c r="Y26" s="45"/>
      <c r="Z26" s="45"/>
      <c r="AA26" s="45"/>
      <c r="AB26" s="45"/>
      <c r="AC26" s="45"/>
    </row>
    <row r="27" ht="19.949999999999999" customHeight="1">
      <c r="B27" s="44" t="s">
        <v>237</v>
      </c>
      <c r="C27" s="45" t="s">
        <v>161</v>
      </c>
      <c r="D27" s="90" t="s">
        <v>238</v>
      </c>
      <c r="E27" s="110" t="s">
        <v>239</v>
      </c>
      <c r="F27" s="48">
        <v>0</v>
      </c>
      <c r="G27" s="45">
        <v>4</v>
      </c>
      <c r="H27" s="45">
        <v>2</v>
      </c>
      <c r="I27" s="45">
        <v>3</v>
      </c>
      <c r="J27" s="45">
        <v>2</v>
      </c>
      <c r="K27" s="45">
        <v>2</v>
      </c>
      <c r="L27" s="45" t="s">
        <v>39</v>
      </c>
      <c r="M27" s="45">
        <f>MIN(G27,H27,I27,J27,K27,AD27)</f>
        <v>2</v>
      </c>
      <c r="N27" s="45">
        <f>SUM(G27:K27)+AD27</f>
        <v>16</v>
      </c>
      <c r="O27" s="45" t="s">
        <v>233</v>
      </c>
      <c r="P27" s="49">
        <v>45659</v>
      </c>
      <c r="Q27" s="45"/>
      <c r="R27" s="45"/>
      <c r="S27" s="45" t="s">
        <v>240</v>
      </c>
      <c r="T27" s="45" t="s">
        <v>241</v>
      </c>
      <c r="U27" s="45"/>
      <c r="V27" s="47"/>
      <c r="W27" s="45"/>
      <c r="X27" s="45">
        <v>3</v>
      </c>
      <c r="Y27" s="45">
        <v>3</v>
      </c>
      <c r="Z27" s="45">
        <v>4</v>
      </c>
      <c r="AA27" s="45">
        <v>3</v>
      </c>
      <c r="AB27" s="45">
        <v>3</v>
      </c>
      <c r="AC27" s="45">
        <f>SUBTOTAL(9,Tabella2245[[#This Row],[Evidenze storiche di contraffazione o adulterazione]:[Tipologia della materia prima]])</f>
        <v>16</v>
      </c>
      <c r="AD27" s="45">
        <f t="shared" si="0"/>
        <v>3</v>
      </c>
    </row>
    <row r="28" ht="19.949999999999999" customHeight="1">
      <c r="B28" s="44" t="s">
        <v>237</v>
      </c>
      <c r="C28" s="45" t="s">
        <v>162</v>
      </c>
      <c r="D28" s="90" t="s">
        <v>238</v>
      </c>
      <c r="E28" s="110"/>
      <c r="F28" s="48"/>
      <c r="G28" s="45"/>
      <c r="H28" s="45"/>
      <c r="I28" s="45"/>
      <c r="J28" s="45"/>
      <c r="K28" s="45"/>
      <c r="L28" s="45"/>
      <c r="M28" s="45"/>
      <c r="N28" s="45"/>
      <c r="O28" s="45"/>
      <c r="P28" s="49"/>
      <c r="Q28" s="45"/>
      <c r="R28" s="45"/>
      <c r="S28" s="45"/>
      <c r="T28" s="45"/>
      <c r="U28" s="45"/>
      <c r="V28" s="47"/>
      <c r="W28" s="45"/>
      <c r="X28" s="45"/>
      <c r="Y28" s="45"/>
      <c r="Z28" s="45"/>
      <c r="AA28" s="45"/>
      <c r="AB28" s="45"/>
      <c r="AC28" s="45"/>
    </row>
    <row r="29" s="45" customFormat="1" ht="26.399999999999999" customHeight="1">
      <c r="B29" s="52" t="s">
        <v>55</v>
      </c>
      <c r="C29" s="45" t="s">
        <v>161</v>
      </c>
      <c r="D29" s="46" t="s">
        <v>56</v>
      </c>
      <c r="E29" s="53" t="s">
        <v>57</v>
      </c>
      <c r="F29" s="48"/>
      <c r="P29" s="49"/>
      <c r="Q29" s="47"/>
      <c r="S29" s="55"/>
      <c r="T29" s="47"/>
      <c r="U29" s="55"/>
      <c r="V29" s="47"/>
      <c r="AD29"/>
    </row>
    <row r="30" s="45" customFormat="1" ht="26.399999999999999" customHeight="1">
      <c r="B30" s="52" t="s">
        <v>55</v>
      </c>
      <c r="C30" s="45" t="s">
        <v>162</v>
      </c>
      <c r="D30" s="46" t="s">
        <v>56</v>
      </c>
      <c r="E30" s="53" t="s">
        <v>57</v>
      </c>
      <c r="F30" s="48"/>
      <c r="P30" s="49"/>
      <c r="Q30" s="47"/>
      <c r="S30" s="55"/>
      <c r="T30" s="47"/>
      <c r="U30" s="55"/>
      <c r="V30" s="47"/>
      <c r="AD30"/>
    </row>
    <row r="31" s="45" customFormat="1" ht="19.949999999999999" customHeight="1">
      <c r="B31" s="52" t="s">
        <v>61</v>
      </c>
      <c r="C31" s="45" t="s">
        <v>161</v>
      </c>
      <c r="D31" s="46" t="s">
        <v>174</v>
      </c>
      <c r="E31" s="46"/>
      <c r="F31" s="48"/>
      <c r="P31" s="49"/>
      <c r="T31" s="47"/>
      <c r="V31" s="47"/>
      <c r="AD31"/>
    </row>
    <row r="32" s="45" customFormat="1" ht="19.949999999999999" customHeight="1">
      <c r="B32" s="52" t="s">
        <v>61</v>
      </c>
      <c r="C32" s="45" t="s">
        <v>162</v>
      </c>
      <c r="D32" s="90"/>
      <c r="E32" s="90"/>
      <c r="F32" s="48"/>
      <c r="P32" s="49"/>
      <c r="T32" s="47"/>
      <c r="V32" s="47"/>
      <c r="AD32"/>
    </row>
    <row r="33" s="45" customFormat="1" ht="26.399999999999999" customHeight="1">
      <c r="B33" s="52" t="s">
        <v>64</v>
      </c>
      <c r="C33" s="45" t="s">
        <v>162</v>
      </c>
      <c r="D33" s="46" t="s">
        <v>65</v>
      </c>
      <c r="E33" s="93" t="s">
        <v>175</v>
      </c>
      <c r="F33" s="48">
        <v>0</v>
      </c>
      <c r="G33" s="45">
        <v>4</v>
      </c>
      <c r="H33" s="45">
        <v>2</v>
      </c>
      <c r="I33" s="45">
        <v>3</v>
      </c>
      <c r="J33" s="45">
        <v>2</v>
      </c>
      <c r="K33" s="45">
        <v>2</v>
      </c>
      <c r="L33" s="45" t="s">
        <v>39</v>
      </c>
      <c r="M33" s="45">
        <f t="shared" ref="M33:M48" si="1">MIN(G33,H33,I33,J33,K33,AD33)</f>
        <v>2</v>
      </c>
      <c r="N33" s="45">
        <f t="shared" ref="N33:N47" si="2">SUM(G33:K33)+AD33</f>
        <v>16</v>
      </c>
      <c r="O33" s="45" t="str">
        <f t="shared" ref="O33:O48" si="3">IF(OR(N33&lt;12,M33=1),"ALTO","BASSO")</f>
        <v>BASSO</v>
      </c>
      <c r="P33" s="49">
        <v>45635</v>
      </c>
      <c r="S33" s="55" t="s">
        <v>242</v>
      </c>
      <c r="T33" s="55" t="s">
        <v>243</v>
      </c>
      <c r="V33" s="47" t="s">
        <v>244</v>
      </c>
      <c r="X33" s="45">
        <v>3</v>
      </c>
      <c r="Y33" s="45">
        <v>3</v>
      </c>
      <c r="Z33" s="45">
        <v>4</v>
      </c>
      <c r="AA33" s="45">
        <v>3</v>
      </c>
      <c r="AB33" s="45">
        <v>3</v>
      </c>
      <c r="AC33" s="45">
        <f>SUBTOTAL(9,Tabella2245[[#This Row],[Evidenze storiche di contraffazione o adulterazione]:[Tipologia della materia prima]])</f>
        <v>16</v>
      </c>
      <c r="AD33" s="45">
        <f t="shared" si="0"/>
        <v>3</v>
      </c>
    </row>
    <row r="34" s="45" customFormat="1" ht="26.399999999999999" customHeight="1">
      <c r="B34" s="52" t="s">
        <v>64</v>
      </c>
      <c r="C34" s="45" t="s">
        <v>161</v>
      </c>
      <c r="D34" s="90" t="s">
        <v>65</v>
      </c>
      <c r="E34" s="93" t="s">
        <v>175</v>
      </c>
      <c r="F34" s="48">
        <v>0</v>
      </c>
      <c r="G34" s="45">
        <v>4</v>
      </c>
      <c r="H34" s="45">
        <v>2</v>
      </c>
      <c r="I34" s="45">
        <v>3</v>
      </c>
      <c r="J34" s="45">
        <v>2</v>
      </c>
      <c r="K34" s="45">
        <v>2</v>
      </c>
      <c r="L34" s="45" t="s">
        <v>39</v>
      </c>
      <c r="M34" s="45">
        <f t="shared" si="1"/>
        <v>2</v>
      </c>
      <c r="N34" s="45">
        <f t="shared" si="2"/>
        <v>16</v>
      </c>
      <c r="O34" s="45" t="str">
        <f t="shared" si="3"/>
        <v>BASSO</v>
      </c>
      <c r="P34" s="49">
        <v>45629</v>
      </c>
      <c r="S34" s="55" t="s">
        <v>242</v>
      </c>
      <c r="T34" s="55" t="s">
        <v>243</v>
      </c>
      <c r="V34" s="47" t="s">
        <v>244</v>
      </c>
      <c r="X34" s="45">
        <v>3</v>
      </c>
      <c r="Y34" s="45">
        <v>3</v>
      </c>
      <c r="Z34" s="45">
        <v>4</v>
      </c>
      <c r="AA34" s="45">
        <v>3</v>
      </c>
      <c r="AB34" s="45">
        <v>3</v>
      </c>
      <c r="AC34" s="45">
        <f>SUBTOTAL(9,Tabella2245[[#This Row],[Evidenze storiche di contraffazione o adulterazione]:[Tipologia della materia prima]])</f>
        <v>16</v>
      </c>
      <c r="AD34" s="45">
        <f t="shared" si="0"/>
        <v>3</v>
      </c>
    </row>
    <row r="35" s="45" customFormat="1" ht="26.399999999999999" customHeight="1">
      <c r="B35" s="52" t="s">
        <v>245</v>
      </c>
      <c r="C35" s="45" t="s">
        <v>162</v>
      </c>
      <c r="D35" s="90" t="s">
        <v>246</v>
      </c>
      <c r="E35" s="111" t="s">
        <v>247</v>
      </c>
      <c r="F35" s="48"/>
      <c r="P35" s="49"/>
      <c r="S35" s="55"/>
      <c r="T35" s="55"/>
      <c r="V35" s="47"/>
    </row>
    <row r="36" s="45" customFormat="1" ht="26.399999999999999" customHeight="1">
      <c r="B36" s="52" t="s">
        <v>245</v>
      </c>
      <c r="C36" s="45" t="s">
        <v>161</v>
      </c>
      <c r="D36" s="90" t="s">
        <v>246</v>
      </c>
      <c r="E36" s="111" t="s">
        <v>247</v>
      </c>
      <c r="F36" s="48">
        <v>0</v>
      </c>
      <c r="G36" s="45">
        <v>4</v>
      </c>
      <c r="H36" s="45">
        <v>2</v>
      </c>
      <c r="I36" s="45">
        <v>2</v>
      </c>
      <c r="J36" s="45">
        <v>3</v>
      </c>
      <c r="K36" s="45">
        <v>3</v>
      </c>
      <c r="L36" s="45" t="s">
        <v>39</v>
      </c>
      <c r="M36" s="45">
        <f t="shared" si="1"/>
        <v>2</v>
      </c>
      <c r="N36" s="45">
        <f t="shared" si="2"/>
        <v>16</v>
      </c>
      <c r="O36" s="45" t="str">
        <f t="shared" si="3"/>
        <v>BASSO</v>
      </c>
      <c r="P36" s="49">
        <v>45630</v>
      </c>
      <c r="S36" s="55"/>
      <c r="T36" s="55"/>
      <c r="V36" s="47"/>
      <c r="X36" s="45">
        <v>2</v>
      </c>
      <c r="Y36" s="45">
        <v>2</v>
      </c>
      <c r="Z36" s="45">
        <v>2</v>
      </c>
      <c r="AA36" s="45">
        <v>3</v>
      </c>
      <c r="AB36" s="45">
        <v>3</v>
      </c>
      <c r="AC36" s="45">
        <f>SUBTOTAL(9,Tabella2245[[#This Row],[Evidenze storiche di contraffazione o adulterazione]:[Tipologia della materia prima]])</f>
        <v>12</v>
      </c>
      <c r="AD36" s="45">
        <f t="shared" si="0"/>
        <v>2</v>
      </c>
    </row>
    <row r="37" s="45" customFormat="1" ht="19.949999999999999" customHeight="1">
      <c r="B37" s="52" t="s">
        <v>72</v>
      </c>
      <c r="C37" s="45" t="s">
        <v>161</v>
      </c>
      <c r="D37" s="45" t="s">
        <v>73</v>
      </c>
      <c r="F37" s="48"/>
      <c r="P37" s="49"/>
      <c r="V37" s="47"/>
      <c r="AD37"/>
    </row>
    <row r="38" s="45" customFormat="1" ht="19.949999999999999" customHeight="1">
      <c r="B38" s="52" t="s">
        <v>72</v>
      </c>
      <c r="C38" s="45" t="s">
        <v>162</v>
      </c>
      <c r="D38" s="45" t="s">
        <v>73</v>
      </c>
      <c r="E38" s="1"/>
      <c r="F38" s="48"/>
      <c r="P38" s="49"/>
      <c r="V38" s="47"/>
      <c r="AD38"/>
    </row>
    <row r="39" ht="19.949999999999999" customHeight="1">
      <c r="B39" s="44" t="s">
        <v>79</v>
      </c>
      <c r="C39" s="45" t="s">
        <v>180</v>
      </c>
      <c r="D39" s="46" t="s">
        <v>81</v>
      </c>
      <c r="E39" s="66" t="s">
        <v>82</v>
      </c>
      <c r="F39" s="64"/>
      <c r="G39" s="45"/>
      <c r="H39" s="45"/>
      <c r="I39" s="45"/>
      <c r="J39" s="45"/>
      <c r="K39" s="45"/>
      <c r="L39" s="45"/>
      <c r="M39" s="45"/>
      <c r="N39" s="45"/>
      <c r="O39" s="45"/>
      <c r="P39" s="49"/>
      <c r="Q39" s="47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 ht="19.949999999999999" customHeight="1">
      <c r="B40" s="44" t="s">
        <v>84</v>
      </c>
      <c r="C40" s="45" t="s">
        <v>183</v>
      </c>
      <c r="D40" s="45" t="s">
        <v>85</v>
      </c>
      <c r="E40" s="66" t="s">
        <v>86</v>
      </c>
      <c r="F40" s="67"/>
      <c r="G40" s="45"/>
      <c r="H40" s="45"/>
      <c r="I40" s="45"/>
      <c r="J40" s="45"/>
      <c r="K40" s="45"/>
      <c r="L40" s="45"/>
      <c r="M40" s="45"/>
      <c r="N40" s="45"/>
      <c r="O40" s="45"/>
      <c r="P40" s="49"/>
      <c r="Q40" s="47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 ht="43.799999999999997" customHeight="1">
      <c r="B41" s="44" t="s">
        <v>248</v>
      </c>
      <c r="C41" s="45" t="s">
        <v>183</v>
      </c>
      <c r="D41" s="46" t="s">
        <v>249</v>
      </c>
      <c r="E41" s="95" t="s">
        <v>250</v>
      </c>
      <c r="F41" s="48">
        <v>0</v>
      </c>
      <c r="G41" s="45">
        <v>3</v>
      </c>
      <c r="H41" s="45">
        <v>2</v>
      </c>
      <c r="I41" s="45">
        <v>2</v>
      </c>
      <c r="J41" s="45">
        <v>3</v>
      </c>
      <c r="K41" s="45">
        <v>2</v>
      </c>
      <c r="L41" s="45" t="s">
        <v>39</v>
      </c>
      <c r="M41" s="45">
        <f t="shared" si="1"/>
        <v>2</v>
      </c>
      <c r="N41" s="45">
        <f t="shared" si="2"/>
        <v>15</v>
      </c>
      <c r="O41" s="45" t="str">
        <f t="shared" si="3"/>
        <v>BASSO</v>
      </c>
      <c r="P41" s="49">
        <v>45596</v>
      </c>
      <c r="Q41" s="47">
        <v>46167</v>
      </c>
      <c r="R41" s="47">
        <v>46552</v>
      </c>
      <c r="S41" s="45"/>
      <c r="T41" s="45"/>
      <c r="U41" s="55" t="s">
        <v>251</v>
      </c>
      <c r="V41" s="45"/>
      <c r="W41" s="45"/>
      <c r="X41" s="45">
        <v>3</v>
      </c>
      <c r="Y41" s="45">
        <v>3</v>
      </c>
      <c r="Z41" s="45">
        <v>3</v>
      </c>
      <c r="AA41" s="45">
        <v>3</v>
      </c>
      <c r="AB41" s="45">
        <v>3</v>
      </c>
      <c r="AC41" s="45">
        <f>SUBTOTAL(9,Tabella2245[[#This Row],[Evidenze storiche di contraffazione o adulterazione]:[Tipologia della materia prima]])</f>
        <v>15</v>
      </c>
      <c r="AD41" s="45">
        <f t="shared" si="0"/>
        <v>3</v>
      </c>
    </row>
    <row r="42" ht="29.399999999999999" customHeight="1">
      <c r="B42" s="52" t="s">
        <v>87</v>
      </c>
      <c r="C42" s="45" t="s">
        <v>184</v>
      </c>
      <c r="D42" s="45" t="s">
        <v>88</v>
      </c>
      <c r="E42" s="66" t="s">
        <v>89</v>
      </c>
      <c r="F42" s="48">
        <v>0</v>
      </c>
      <c r="G42" s="45">
        <v>4</v>
      </c>
      <c r="H42" s="45">
        <v>2</v>
      </c>
      <c r="I42" s="45">
        <v>3</v>
      </c>
      <c r="J42" s="45">
        <v>3</v>
      </c>
      <c r="K42" s="45">
        <v>3</v>
      </c>
      <c r="L42" s="45" t="s">
        <v>39</v>
      </c>
      <c r="M42" s="45">
        <f t="shared" si="1"/>
        <v>2</v>
      </c>
      <c r="N42" s="45">
        <f t="shared" si="2"/>
        <v>18</v>
      </c>
      <c r="O42" s="45" t="str">
        <f t="shared" si="3"/>
        <v>BASSO</v>
      </c>
      <c r="P42" s="49">
        <v>45580</v>
      </c>
      <c r="Q42" s="47">
        <v>46367</v>
      </c>
      <c r="R42" s="47">
        <v>45873</v>
      </c>
      <c r="S42" s="45" t="s">
        <v>252</v>
      </c>
      <c r="T42" s="45"/>
      <c r="U42" s="55" t="s">
        <v>253</v>
      </c>
      <c r="V42" s="45"/>
      <c r="W42" s="45"/>
      <c r="X42" s="45">
        <v>3</v>
      </c>
      <c r="Y42" s="45">
        <v>2</v>
      </c>
      <c r="Z42" s="45">
        <v>3</v>
      </c>
      <c r="AA42" s="45">
        <v>2</v>
      </c>
      <c r="AB42" s="45">
        <v>3</v>
      </c>
      <c r="AC42" s="45">
        <f>SUBTOTAL(9,Tabella2245[[#This Row],[Evidenze storiche di contraffazione o adulterazione]:[Tipologia della materia prima]])</f>
        <v>13</v>
      </c>
      <c r="AD42" s="45">
        <f t="shared" si="0"/>
        <v>3</v>
      </c>
    </row>
    <row r="43" ht="19.949999999999999" customHeight="1">
      <c r="B43" s="52" t="s">
        <v>92</v>
      </c>
      <c r="C43" s="45" t="s">
        <v>189</v>
      </c>
      <c r="D43" s="45" t="s">
        <v>93</v>
      </c>
      <c r="E43" s="66" t="s">
        <v>94</v>
      </c>
      <c r="F43" s="48"/>
      <c r="G43" s="45"/>
      <c r="H43" s="45"/>
      <c r="I43" s="45"/>
      <c r="J43" s="45"/>
      <c r="K43" s="45"/>
      <c r="L43" s="45"/>
      <c r="M43" s="45"/>
      <c r="N43" s="45"/>
      <c r="O43" s="45"/>
      <c r="P43" s="49"/>
      <c r="Q43" s="47"/>
      <c r="R43" s="47"/>
      <c r="S43" s="45"/>
      <c r="T43" s="45"/>
      <c r="U43" s="55"/>
      <c r="V43" s="45"/>
      <c r="W43" s="45"/>
      <c r="X43" s="45"/>
      <c r="Y43" s="45"/>
      <c r="Z43" s="45"/>
      <c r="AA43" s="45"/>
      <c r="AB43" s="45"/>
      <c r="AC43" s="45"/>
    </row>
    <row r="44" ht="19.949999999999999" customHeight="1">
      <c r="B44" s="44" t="s">
        <v>96</v>
      </c>
      <c r="C44" s="45" t="s">
        <v>193</v>
      </c>
      <c r="D44" s="45" t="s">
        <v>97</v>
      </c>
      <c r="E44" s="66" t="s">
        <v>98</v>
      </c>
      <c r="F44" s="48"/>
      <c r="G44" s="94"/>
      <c r="H44" s="94"/>
      <c r="I44" s="94"/>
      <c r="J44" s="94"/>
      <c r="K44" s="94"/>
      <c r="L44" s="45"/>
      <c r="M44" s="45"/>
      <c r="N44" s="45"/>
      <c r="O44" s="45"/>
      <c r="P44" s="49"/>
      <c r="Q44" s="47"/>
      <c r="R44" s="47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 s="45" customFormat="1" ht="19.800000000000001" customHeight="1">
      <c r="B45" s="52" t="s">
        <v>100</v>
      </c>
      <c r="C45" s="45" t="s">
        <v>197</v>
      </c>
      <c r="D45" s="45" t="s">
        <v>101</v>
      </c>
      <c r="E45" s="66" t="s">
        <v>102</v>
      </c>
      <c r="F45" s="48"/>
      <c r="P45" s="49"/>
      <c r="Q45" s="47"/>
      <c r="U45" s="55"/>
      <c r="AD45"/>
    </row>
    <row r="46" ht="19.949999999999999" customHeight="1">
      <c r="B46" s="44" t="s">
        <v>107</v>
      </c>
      <c r="C46" s="45" t="s">
        <v>202</v>
      </c>
      <c r="D46" s="45" t="s">
        <v>108</v>
      </c>
      <c r="E46" s="66">
        <v>35525395</v>
      </c>
      <c r="F46" s="64"/>
      <c r="G46" s="45"/>
      <c r="H46" s="45"/>
      <c r="I46" s="45"/>
      <c r="J46" s="45"/>
      <c r="K46" s="45"/>
      <c r="L46" s="45"/>
      <c r="M46" s="45"/>
      <c r="N46" s="45"/>
      <c r="O46" s="45"/>
      <c r="P46" s="49"/>
      <c r="Q46" s="47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9.199999999999999" customHeight="1">
      <c r="B47" s="44" t="s">
        <v>203</v>
      </c>
      <c r="C47" s="1" t="s">
        <v>204</v>
      </c>
      <c r="D47" s="46" t="s">
        <v>106</v>
      </c>
      <c r="E47" s="95" t="s">
        <v>205</v>
      </c>
      <c r="F47" s="67">
        <v>0</v>
      </c>
      <c r="G47" s="45">
        <v>3</v>
      </c>
      <c r="H47" s="45">
        <v>2</v>
      </c>
      <c r="I47" s="45">
        <v>3</v>
      </c>
      <c r="J47" s="45">
        <v>2</v>
      </c>
      <c r="K47" s="45">
        <v>3</v>
      </c>
      <c r="L47" s="45" t="s">
        <v>39</v>
      </c>
      <c r="M47" s="45">
        <f t="shared" si="1"/>
        <v>2</v>
      </c>
      <c r="N47" s="45">
        <f t="shared" si="2"/>
        <v>13</v>
      </c>
      <c r="O47" s="45" t="str">
        <f t="shared" si="3"/>
        <v>BASSO</v>
      </c>
      <c r="P47" s="49">
        <v>45580</v>
      </c>
      <c r="Q47" s="47"/>
      <c r="R47" s="45"/>
      <c r="S47" s="45"/>
      <c r="T47" s="45"/>
      <c r="U47" s="45"/>
      <c r="V47" s="45"/>
      <c r="W47" s="45"/>
      <c r="X47" s="45">
        <v>2</v>
      </c>
      <c r="Y47" s="45">
        <v>2</v>
      </c>
      <c r="Z47" s="45">
        <v>2</v>
      </c>
      <c r="AA47" s="45">
        <v>2</v>
      </c>
      <c r="AB47" s="45">
        <v>2</v>
      </c>
      <c r="AC47" s="45">
        <f>SUBTOTAL(9,Tabella2245[[#This Row],[Evidenze storiche di contraffazione o adulterazione]:[Tipologia della materia prima]])</f>
        <v>10</v>
      </c>
    </row>
    <row r="48" ht="13.949999999999999" customHeight="1">
      <c r="F48" s="67"/>
      <c r="G48" s="1"/>
      <c r="H48" s="1"/>
      <c r="I48" s="1"/>
      <c r="J48" s="1"/>
      <c r="K48" s="1"/>
      <c r="L48" s="1"/>
      <c r="M48" s="45"/>
      <c r="N48" s="45"/>
      <c r="O48" s="45"/>
      <c r="P48" s="69"/>
      <c r="Q48" s="1"/>
      <c r="R48" s="1"/>
      <c r="S48" s="1"/>
      <c r="T48" s="1"/>
      <c r="U48" s="1"/>
      <c r="V48" s="1"/>
      <c r="W48" s="1"/>
      <c r="X48" s="45"/>
      <c r="Y48" s="45"/>
      <c r="Z48" s="45"/>
      <c r="AA48" s="45"/>
      <c r="AB48" s="45"/>
    </row>
    <row r="49">
      <c r="F49" s="67"/>
      <c r="G49" s="1"/>
      <c r="H49" s="1"/>
      <c r="I49" s="1"/>
      <c r="J49" s="1"/>
      <c r="K49" s="1"/>
      <c r="L49" s="1"/>
      <c r="M49" s="45"/>
      <c r="N49" s="45"/>
      <c r="O49" s="45"/>
      <c r="P49" s="69"/>
      <c r="Q49" s="1"/>
      <c r="R49" s="1"/>
      <c r="S49" s="1"/>
      <c r="T49" s="1"/>
      <c r="U49" s="1"/>
      <c r="V49" s="1"/>
      <c r="W49" s="1"/>
      <c r="X49" s="45"/>
      <c r="Y49" s="45"/>
      <c r="Z49" s="45"/>
      <c r="AA49" s="45"/>
      <c r="AB49" s="45"/>
    </row>
    <row r="50">
      <c r="F50" s="67"/>
      <c r="G50" s="1"/>
      <c r="H50" s="1"/>
      <c r="I50" s="1"/>
      <c r="J50" s="1"/>
      <c r="K50" s="1"/>
      <c r="L50" s="1"/>
      <c r="M50" s="45"/>
      <c r="N50" s="45"/>
      <c r="O50" s="45"/>
      <c r="P50" s="69"/>
      <c r="Q50" s="1"/>
      <c r="R50" s="1"/>
      <c r="S50" s="1"/>
      <c r="T50" s="1"/>
      <c r="U50" s="1"/>
      <c r="V50" s="1"/>
      <c r="W50" s="1"/>
      <c r="X50" s="45"/>
      <c r="Y50" s="45"/>
      <c r="Z50" s="45"/>
      <c r="AA50" s="45"/>
      <c r="AB50" s="45"/>
    </row>
    <row r="51">
      <c r="F51" s="67"/>
      <c r="G51" s="1"/>
      <c r="H51" s="1"/>
      <c r="I51" s="1"/>
      <c r="J51" s="1"/>
      <c r="K51" s="1"/>
      <c r="L51" s="1"/>
      <c r="M51" s="45"/>
      <c r="N51" s="45"/>
      <c r="O51" s="45"/>
      <c r="P51" s="69"/>
      <c r="Q51" s="1"/>
      <c r="R51" s="1"/>
      <c r="S51" s="1"/>
      <c r="T51" s="1"/>
      <c r="U51" s="1"/>
      <c r="V51" s="1"/>
      <c r="W51" s="1"/>
      <c r="X51" s="45"/>
      <c r="Y51" s="45"/>
      <c r="Z51" s="45"/>
      <c r="AA51" s="45"/>
      <c r="AB51" s="45"/>
    </row>
    <row r="52">
      <c r="F52" s="67"/>
      <c r="G52" s="1"/>
      <c r="H52" s="1"/>
      <c r="I52" s="1"/>
      <c r="J52" s="1"/>
      <c r="K52" s="1"/>
      <c r="L52" s="1"/>
      <c r="M52" s="45"/>
      <c r="N52" s="45"/>
      <c r="O52" s="45"/>
      <c r="P52" s="69"/>
      <c r="Q52" s="1"/>
      <c r="R52" s="1"/>
      <c r="S52" s="1"/>
      <c r="T52" s="1"/>
      <c r="U52" s="1"/>
      <c r="V52" s="1"/>
      <c r="W52" s="1"/>
      <c r="X52" s="45"/>
      <c r="Y52" s="45"/>
      <c r="Z52" s="45"/>
      <c r="AA52" s="45"/>
      <c r="AB52" s="45"/>
    </row>
    <row r="53">
      <c r="F53" s="67"/>
      <c r="G53" s="1"/>
      <c r="H53" s="1"/>
      <c r="I53" s="1"/>
      <c r="J53" s="1"/>
      <c r="K53" s="1"/>
      <c r="L53" s="1"/>
      <c r="M53" s="45"/>
      <c r="N53" s="45"/>
      <c r="O53" s="45"/>
      <c r="P53" s="69"/>
      <c r="Q53" s="1"/>
      <c r="R53" s="1"/>
      <c r="S53" s="1"/>
      <c r="T53" s="1"/>
      <c r="U53" s="1"/>
      <c r="V53" s="1"/>
      <c r="W53" s="1"/>
      <c r="X53" s="45"/>
      <c r="Y53" s="45"/>
      <c r="Z53" s="45"/>
      <c r="AA53" s="45"/>
      <c r="AB53" s="45"/>
    </row>
    <row r="54">
      <c r="F54" s="67"/>
      <c r="G54" s="1"/>
      <c r="H54" s="1"/>
      <c r="I54" s="1"/>
      <c r="J54" s="1"/>
      <c r="K54" s="1"/>
      <c r="L54" s="1"/>
      <c r="M54" s="45"/>
      <c r="N54" s="45"/>
      <c r="O54" s="45"/>
      <c r="P54" s="69"/>
      <c r="Q54" s="1"/>
      <c r="R54" s="1"/>
      <c r="S54" s="1"/>
      <c r="T54" s="1"/>
      <c r="U54" s="1"/>
      <c r="V54" s="1"/>
      <c r="W54" s="1"/>
      <c r="X54" s="45"/>
      <c r="Y54" s="45"/>
      <c r="Z54" s="45"/>
      <c r="AA54" s="45"/>
      <c r="AB54" s="45"/>
    </row>
    <row r="55">
      <c r="F55" s="67"/>
      <c r="G55" s="1"/>
      <c r="H55" s="1"/>
      <c r="I55" s="1"/>
      <c r="J55" s="1"/>
      <c r="K55" s="1"/>
      <c r="L55" s="1"/>
      <c r="M55" s="45"/>
      <c r="N55" s="45"/>
      <c r="O55" s="45"/>
      <c r="P55" s="69"/>
      <c r="Q55" s="1"/>
      <c r="R55" s="1"/>
      <c r="S55" s="1"/>
      <c r="T55" s="1"/>
      <c r="U55" s="1"/>
      <c r="V55" s="1"/>
      <c r="W55" s="1"/>
      <c r="X55" s="45"/>
      <c r="Y55" s="45"/>
      <c r="Z55" s="45"/>
      <c r="AA55" s="45"/>
      <c r="AB55" s="45"/>
    </row>
    <row r="56">
      <c r="F56" s="67"/>
      <c r="G56" s="1"/>
      <c r="H56" s="1"/>
      <c r="I56" s="1"/>
      <c r="J56" s="1"/>
      <c r="K56" s="1"/>
      <c r="L56" s="1"/>
      <c r="M56" s="45"/>
      <c r="N56" s="45"/>
      <c r="O56" s="45"/>
      <c r="P56" s="69"/>
      <c r="Q56" s="1"/>
      <c r="R56" s="1"/>
      <c r="S56" s="1"/>
      <c r="T56" s="1"/>
      <c r="U56" s="1"/>
      <c r="V56" s="1"/>
      <c r="W56" s="1"/>
      <c r="X56" s="45"/>
      <c r="Y56" s="45"/>
      <c r="Z56" s="45"/>
      <c r="AA56" s="45"/>
      <c r="AB56" s="45"/>
    </row>
    <row r="57">
      <c r="F57" s="67"/>
      <c r="G57" s="1"/>
      <c r="H57" s="1"/>
      <c r="I57" s="1"/>
      <c r="J57" s="1"/>
      <c r="K57" s="1"/>
      <c r="L57" s="1"/>
      <c r="M57" s="45"/>
      <c r="N57" s="45"/>
      <c r="O57" s="45"/>
      <c r="P57" s="69"/>
      <c r="Q57" s="1"/>
      <c r="R57" s="1"/>
      <c r="S57" s="1"/>
      <c r="T57" s="1"/>
      <c r="U57" s="1"/>
      <c r="V57" s="1"/>
      <c r="W57" s="1"/>
      <c r="X57" s="45"/>
      <c r="Y57" s="45"/>
      <c r="Z57" s="45"/>
      <c r="AA57" s="45"/>
      <c r="AB57" s="45"/>
    </row>
    <row r="58">
      <c r="F58" s="67"/>
      <c r="G58" s="1"/>
      <c r="H58" s="1"/>
      <c r="I58" s="1"/>
      <c r="J58" s="1"/>
      <c r="K58" s="1"/>
      <c r="L58" s="1"/>
      <c r="M58" s="45"/>
      <c r="N58" s="45"/>
      <c r="O58" s="45"/>
      <c r="P58" s="69"/>
      <c r="Q58" s="1"/>
      <c r="R58" s="1"/>
      <c r="S58" s="1"/>
      <c r="T58" s="1"/>
      <c r="U58" s="1"/>
      <c r="V58" s="1"/>
      <c r="W58" s="1"/>
      <c r="X58" s="45"/>
      <c r="Y58" s="45"/>
      <c r="Z58" s="45"/>
      <c r="AA58" s="45"/>
      <c r="AB58" s="45"/>
    </row>
    <row r="59">
      <c r="F59" s="67"/>
      <c r="G59" s="1"/>
      <c r="H59" s="1"/>
      <c r="I59" s="1"/>
      <c r="J59" s="1"/>
      <c r="K59" s="1"/>
      <c r="L59" s="1"/>
      <c r="M59" s="45"/>
      <c r="N59" s="45"/>
      <c r="O59" s="45"/>
      <c r="P59" s="69"/>
      <c r="Q59" s="1"/>
      <c r="R59" s="1"/>
      <c r="S59" s="1"/>
      <c r="T59" s="1"/>
      <c r="U59" s="1"/>
      <c r="V59" s="1"/>
      <c r="W59" s="1"/>
      <c r="X59" s="45"/>
      <c r="Y59" s="45"/>
      <c r="Z59" s="45"/>
      <c r="AA59" s="45"/>
      <c r="AB59" s="45"/>
    </row>
    <row r="60">
      <c r="F60" s="67"/>
      <c r="G60" s="1"/>
      <c r="H60" s="1"/>
      <c r="I60" s="1"/>
      <c r="J60" s="1"/>
      <c r="K60" s="1"/>
      <c r="L60" s="1"/>
      <c r="M60" s="45"/>
      <c r="N60" s="45"/>
      <c r="O60" s="45"/>
      <c r="P60" s="69"/>
      <c r="Q60" s="1"/>
      <c r="R60" s="1"/>
      <c r="S60" s="1"/>
      <c r="T60" s="1"/>
      <c r="U60" s="1"/>
      <c r="V60" s="1"/>
      <c r="W60" s="1"/>
      <c r="X60" s="45"/>
      <c r="Y60" s="45"/>
      <c r="Z60" s="45"/>
      <c r="AA60" s="45"/>
      <c r="AB60" s="45"/>
    </row>
    <row r="61">
      <c r="F61" s="67"/>
      <c r="G61" s="1"/>
      <c r="H61" s="1"/>
      <c r="I61" s="1"/>
      <c r="J61" s="1"/>
      <c r="K61" s="1"/>
      <c r="L61" s="1"/>
      <c r="M61" s="45"/>
      <c r="N61" s="45"/>
      <c r="O61" s="45"/>
      <c r="P61" s="69"/>
      <c r="Q61" s="1"/>
      <c r="R61" s="1"/>
      <c r="S61" s="1"/>
      <c r="T61" s="1"/>
      <c r="U61" s="1"/>
      <c r="V61" s="1"/>
      <c r="W61" s="1"/>
      <c r="X61" s="45"/>
      <c r="Y61" s="45"/>
      <c r="Z61" s="45"/>
      <c r="AA61" s="45"/>
      <c r="AB61" s="45"/>
    </row>
    <row r="62">
      <c r="F62" s="67"/>
      <c r="G62" s="1"/>
      <c r="H62" s="1"/>
      <c r="I62" s="1"/>
      <c r="J62" s="1"/>
      <c r="K62" s="1"/>
      <c r="L62" s="1"/>
      <c r="M62" s="45"/>
      <c r="N62" s="45"/>
      <c r="O62" s="45"/>
      <c r="P62" s="69"/>
      <c r="Q62" s="1"/>
      <c r="R62" s="1"/>
      <c r="S62" s="1"/>
      <c r="T62" s="1"/>
      <c r="U62" s="1"/>
      <c r="V62" s="1"/>
      <c r="W62" s="1"/>
      <c r="X62" s="45"/>
      <c r="Y62" s="45"/>
      <c r="Z62" s="45"/>
      <c r="AA62" s="45"/>
      <c r="AB62" s="45"/>
    </row>
    <row r="63">
      <c r="F63" s="67"/>
      <c r="G63" s="1"/>
      <c r="H63" s="1"/>
      <c r="I63" s="1"/>
      <c r="J63" s="1"/>
      <c r="K63" s="1"/>
      <c r="L63" s="1"/>
      <c r="M63" s="45"/>
      <c r="N63" s="45"/>
      <c r="O63" s="45"/>
      <c r="P63" s="69"/>
      <c r="Q63" s="1"/>
      <c r="R63" s="1"/>
      <c r="S63" s="1"/>
      <c r="T63" s="1"/>
      <c r="U63" s="1"/>
      <c r="V63" s="1"/>
      <c r="W63" s="1"/>
      <c r="X63" s="44"/>
    </row>
    <row r="64">
      <c r="F64" s="67"/>
      <c r="G64" s="1"/>
      <c r="H64" s="1"/>
      <c r="I64" s="1"/>
      <c r="J64" s="1"/>
      <c r="K64" s="1"/>
      <c r="L64" s="1"/>
      <c r="M64" s="45"/>
      <c r="N64" s="45"/>
      <c r="O64" s="45"/>
      <c r="P64" s="69"/>
      <c r="Q64" s="1"/>
      <c r="R64" s="1"/>
      <c r="S64" s="1"/>
      <c r="T64" s="1"/>
      <c r="U64" s="1"/>
      <c r="V64" s="1"/>
      <c r="W64" s="1"/>
      <c r="X64" s="44"/>
    </row>
    <row r="65">
      <c r="F65" s="67"/>
      <c r="G65" s="1"/>
      <c r="H65" s="1"/>
      <c r="I65" s="1"/>
      <c r="J65" s="1"/>
      <c r="K65" s="1"/>
      <c r="L65" s="1"/>
      <c r="M65" s="45"/>
      <c r="N65" s="45"/>
      <c r="O65" s="45"/>
      <c r="P65" s="69"/>
      <c r="Q65" s="1"/>
      <c r="R65" s="1"/>
      <c r="S65" s="1"/>
      <c r="T65" s="1"/>
      <c r="U65" s="1"/>
      <c r="V65" s="1"/>
      <c r="W65" s="1"/>
      <c r="X65" s="44"/>
    </row>
    <row r="66">
      <c r="F66" s="67"/>
      <c r="G66" s="1"/>
      <c r="H66" s="1"/>
      <c r="I66" s="1"/>
      <c r="J66" s="1"/>
      <c r="K66" s="1"/>
      <c r="L66" s="1"/>
      <c r="M66" s="45"/>
      <c r="N66" s="45"/>
      <c r="O66" s="45"/>
      <c r="P66" s="69"/>
      <c r="Q66" s="1"/>
      <c r="R66" s="1"/>
      <c r="S66" s="1"/>
      <c r="T66" s="1"/>
      <c r="U66" s="1"/>
      <c r="V66" s="1"/>
      <c r="W66" s="1"/>
      <c r="X66" s="44"/>
    </row>
    <row r="67">
      <c r="F67" s="67"/>
      <c r="G67" s="1"/>
      <c r="H67" s="1"/>
      <c r="I67" s="1"/>
      <c r="J67" s="1"/>
      <c r="K67" s="1"/>
      <c r="L67" s="1"/>
      <c r="M67" s="45"/>
      <c r="N67" s="45"/>
      <c r="O67" s="45"/>
      <c r="P67" s="69"/>
      <c r="Q67" s="1"/>
      <c r="R67" s="1"/>
      <c r="S67" s="1"/>
      <c r="T67" s="1"/>
      <c r="U67" s="1"/>
      <c r="V67" s="1"/>
      <c r="W67" s="1"/>
      <c r="X67" s="44"/>
    </row>
    <row r="68">
      <c r="F68" s="67"/>
      <c r="G68" s="1"/>
      <c r="H68" s="1"/>
      <c r="I68" s="1"/>
      <c r="J68" s="1"/>
      <c r="K68" s="1"/>
      <c r="L68" s="1"/>
      <c r="M68" s="45"/>
      <c r="N68" s="45"/>
      <c r="O68" s="45"/>
      <c r="P68" s="69"/>
      <c r="Q68" s="1"/>
      <c r="R68" s="1"/>
      <c r="S68" s="1"/>
      <c r="T68" s="1"/>
      <c r="U68" s="1"/>
      <c r="V68" s="1"/>
      <c r="W68" s="1"/>
      <c r="X68" s="44"/>
    </row>
    <row r="69">
      <c r="F69" s="67"/>
      <c r="G69" s="1"/>
      <c r="H69" s="1"/>
      <c r="I69" s="1"/>
      <c r="J69" s="1"/>
      <c r="K69" s="1"/>
      <c r="L69" s="1"/>
      <c r="M69" s="45"/>
      <c r="N69" s="45"/>
      <c r="O69" s="45"/>
      <c r="P69" s="69"/>
      <c r="Q69" s="1"/>
      <c r="R69" s="1"/>
      <c r="S69" s="1"/>
      <c r="T69" s="1"/>
      <c r="U69" s="1"/>
      <c r="V69" s="1"/>
      <c r="W69" s="1"/>
      <c r="X69" s="44"/>
    </row>
    <row r="70">
      <c r="F70" s="67"/>
      <c r="G70" s="1"/>
      <c r="H70" s="1"/>
      <c r="I70" s="1"/>
      <c r="J70" s="1"/>
      <c r="K70" s="1"/>
      <c r="L70" s="1"/>
      <c r="M70" s="45"/>
      <c r="N70" s="45"/>
      <c r="O70" s="45"/>
      <c r="P70" s="69"/>
      <c r="Q70" s="1"/>
      <c r="R70" s="1"/>
      <c r="S70" s="1"/>
      <c r="T70" s="1"/>
      <c r="U70" s="1"/>
      <c r="V70" s="1"/>
      <c r="W70" s="1"/>
      <c r="X70" s="44"/>
    </row>
    <row r="71">
      <c r="F71" s="67"/>
      <c r="G71" s="1"/>
      <c r="H71" s="1"/>
      <c r="I71" s="1"/>
      <c r="J71" s="1"/>
      <c r="K71" s="1"/>
      <c r="L71" s="1"/>
      <c r="M71" s="45"/>
      <c r="N71" s="45"/>
      <c r="O71" s="45"/>
      <c r="P71" s="69"/>
      <c r="Q71" s="1"/>
      <c r="R71" s="1"/>
      <c r="S71" s="1"/>
      <c r="T71" s="1"/>
      <c r="U71" s="1"/>
      <c r="V71" s="1"/>
      <c r="W71" s="1"/>
      <c r="X71" s="44"/>
    </row>
    <row r="72">
      <c r="F72" s="67"/>
      <c r="G72" s="1"/>
      <c r="H72" s="1"/>
      <c r="I72" s="1"/>
      <c r="J72" s="1"/>
      <c r="K72" s="1"/>
      <c r="L72" s="1"/>
      <c r="M72" s="45"/>
      <c r="N72" s="45"/>
      <c r="O72" s="45"/>
      <c r="P72" s="69"/>
      <c r="Q72" s="1"/>
      <c r="R72" s="1"/>
      <c r="S72" s="1"/>
      <c r="T72" s="1"/>
      <c r="U72" s="1"/>
      <c r="V72" s="1"/>
      <c r="W72" s="1"/>
      <c r="X72" s="44"/>
    </row>
    <row r="73">
      <c r="F73" s="67"/>
      <c r="G73" s="1"/>
      <c r="H73" s="1"/>
      <c r="I73" s="1"/>
      <c r="J73" s="1"/>
      <c r="K73" s="1"/>
      <c r="L73" s="1"/>
      <c r="M73" s="45"/>
      <c r="N73" s="45"/>
      <c r="O73" s="45"/>
      <c r="P73" s="69"/>
      <c r="Q73" s="1"/>
      <c r="R73" s="1"/>
      <c r="S73" s="1"/>
      <c r="T73" s="1"/>
      <c r="U73" s="1"/>
      <c r="V73" s="1"/>
      <c r="W73" s="1"/>
      <c r="X73" s="44"/>
    </row>
    <row r="74">
      <c r="F74" s="67"/>
      <c r="G74" s="1"/>
      <c r="H74" s="1"/>
      <c r="I74" s="1"/>
      <c r="J74" s="1"/>
      <c r="K74" s="1"/>
      <c r="L74" s="1"/>
      <c r="M74" s="45"/>
      <c r="N74" s="45"/>
      <c r="O74" s="45"/>
      <c r="P74" s="69"/>
      <c r="Q74" s="1"/>
      <c r="R74" s="1"/>
      <c r="S74" s="1"/>
      <c r="T74" s="1"/>
      <c r="U74" s="1"/>
      <c r="V74" s="1"/>
      <c r="W74" s="1"/>
      <c r="X74" s="44"/>
    </row>
    <row r="75">
      <c r="F75" s="67"/>
      <c r="G75" s="1"/>
      <c r="H75" s="1"/>
      <c r="I75" s="1"/>
      <c r="J75" s="1"/>
      <c r="K75" s="1"/>
      <c r="L75" s="1"/>
      <c r="M75" s="45"/>
      <c r="N75" s="45"/>
      <c r="O75" s="45"/>
      <c r="P75" s="69"/>
      <c r="Q75" s="1"/>
      <c r="R75" s="1"/>
      <c r="S75" s="1"/>
      <c r="T75" s="1"/>
      <c r="U75" s="1"/>
      <c r="V75" s="1"/>
      <c r="W75" s="1"/>
      <c r="X75" s="44"/>
    </row>
    <row r="76">
      <c r="F76" s="67"/>
      <c r="G76" s="1"/>
      <c r="H76" s="1"/>
      <c r="I76" s="1"/>
      <c r="J76" s="1"/>
      <c r="K76" s="1"/>
      <c r="L76" s="1"/>
      <c r="M76" s="45"/>
      <c r="N76" s="45"/>
      <c r="O76" s="45"/>
      <c r="P76" s="69"/>
      <c r="Q76" s="1"/>
      <c r="R76" s="1"/>
      <c r="S76" s="1"/>
      <c r="T76" s="1"/>
      <c r="U76" s="1"/>
      <c r="V76" s="1"/>
      <c r="W76" s="1"/>
      <c r="X76" s="44"/>
    </row>
    <row r="77">
      <c r="F77" s="67"/>
      <c r="G77" s="1"/>
      <c r="H77" s="1"/>
      <c r="I77" s="1"/>
      <c r="J77" s="1"/>
      <c r="K77" s="1"/>
      <c r="L77" s="1"/>
      <c r="M77" s="45"/>
      <c r="N77" s="45"/>
      <c r="O77" s="45"/>
      <c r="P77" s="69"/>
      <c r="Q77" s="1"/>
      <c r="R77" s="1"/>
      <c r="S77" s="1"/>
      <c r="T77" s="1"/>
      <c r="U77" s="1"/>
      <c r="V77" s="1"/>
      <c r="W77" s="1"/>
      <c r="X77" s="44"/>
    </row>
    <row r="78">
      <c r="F78" s="67"/>
      <c r="G78" s="1"/>
      <c r="H78" s="1"/>
      <c r="I78" s="1"/>
      <c r="J78" s="1"/>
      <c r="K78" s="1"/>
      <c r="L78" s="1"/>
      <c r="M78" s="45"/>
      <c r="N78" s="45"/>
      <c r="O78" s="45"/>
      <c r="P78" s="69"/>
      <c r="Q78" s="1"/>
      <c r="R78" s="1"/>
      <c r="S78" s="1"/>
      <c r="T78" s="1"/>
      <c r="U78" s="1"/>
      <c r="V78" s="1"/>
      <c r="W78" s="1"/>
      <c r="X78" s="44"/>
    </row>
    <row r="79">
      <c r="F79" s="67"/>
      <c r="G79" s="1"/>
      <c r="H79" s="1"/>
      <c r="I79" s="1"/>
      <c r="J79" s="1"/>
      <c r="K79" s="1"/>
      <c r="L79" s="1"/>
      <c r="M79" s="45"/>
      <c r="N79" s="45"/>
      <c r="O79" s="45"/>
      <c r="P79" s="69"/>
      <c r="Q79" s="1"/>
      <c r="R79" s="1"/>
      <c r="S79" s="1"/>
      <c r="T79" s="1"/>
      <c r="U79" s="1"/>
      <c r="V79" s="1"/>
      <c r="W79" s="1"/>
      <c r="X79" s="44"/>
    </row>
    <row r="80">
      <c r="F80" s="67"/>
      <c r="G80" s="1"/>
      <c r="H80" s="1"/>
      <c r="I80" s="1"/>
      <c r="J80" s="1"/>
      <c r="K80" s="1"/>
      <c r="L80" s="1"/>
      <c r="M80" s="45"/>
      <c r="N80" s="45"/>
      <c r="O80" s="45"/>
      <c r="P80" s="69"/>
      <c r="Q80" s="1"/>
      <c r="R80" s="1"/>
      <c r="S80" s="1"/>
      <c r="T80" s="1"/>
      <c r="U80" s="1"/>
      <c r="V80" s="1"/>
      <c r="W80" s="1"/>
      <c r="X80" s="44"/>
    </row>
    <row r="81">
      <c r="F81" s="67"/>
      <c r="G81" s="1"/>
      <c r="H81" s="1"/>
      <c r="I81" s="1"/>
      <c r="J81" s="1"/>
      <c r="K81" s="1"/>
      <c r="L81" s="1"/>
      <c r="M81" s="45"/>
      <c r="N81" s="45"/>
      <c r="O81" s="45"/>
      <c r="P81" s="69"/>
      <c r="Q81" s="1"/>
      <c r="R81" s="1"/>
      <c r="S81" s="1"/>
      <c r="T81" s="1"/>
      <c r="U81" s="1"/>
      <c r="V81" s="1"/>
      <c r="W81" s="1"/>
      <c r="X81" s="44"/>
    </row>
    <row r="82">
      <c r="F82" s="67"/>
      <c r="G82" s="1"/>
      <c r="H82" s="1"/>
      <c r="I82" s="1"/>
      <c r="J82" s="1"/>
      <c r="K82" s="1"/>
      <c r="L82" s="1"/>
      <c r="M82" s="45"/>
      <c r="N82" s="45"/>
      <c r="O82" s="45"/>
      <c r="P82" s="69"/>
      <c r="Q82" s="1"/>
      <c r="R82" s="1"/>
      <c r="S82" s="1"/>
      <c r="T82" s="1"/>
      <c r="U82" s="1"/>
      <c r="V82" s="1"/>
      <c r="W82" s="1"/>
      <c r="X82" s="44"/>
    </row>
    <row r="83">
      <c r="F83" s="67"/>
      <c r="G83" s="1"/>
      <c r="H83" s="1"/>
      <c r="I83" s="1"/>
      <c r="J83" s="1"/>
      <c r="K83" s="1"/>
      <c r="L83" s="1"/>
      <c r="M83" s="45"/>
      <c r="N83" s="45"/>
      <c r="O83" s="45"/>
      <c r="P83" s="69"/>
      <c r="Q83" s="1"/>
      <c r="R83" s="1"/>
      <c r="S83" s="1"/>
      <c r="T83" s="1"/>
      <c r="U83" s="1"/>
      <c r="V83" s="1"/>
      <c r="W83" s="1"/>
      <c r="X83" s="44"/>
    </row>
    <row r="84">
      <c r="F84" s="67"/>
      <c r="G84" s="1"/>
      <c r="H84" s="1"/>
      <c r="I84" s="1"/>
      <c r="J84" s="1"/>
      <c r="K84" s="1"/>
      <c r="L84" s="1"/>
      <c r="M84" s="45"/>
      <c r="N84" s="45"/>
      <c r="O84" s="45"/>
      <c r="P84" s="69"/>
      <c r="Q84" s="1"/>
      <c r="R84" s="1"/>
      <c r="S84" s="1"/>
      <c r="T84" s="1"/>
      <c r="U84" s="1"/>
      <c r="V84" s="1"/>
      <c r="W84" s="1"/>
      <c r="X84" s="44"/>
    </row>
    <row r="85">
      <c r="F85" s="67"/>
      <c r="G85" s="1"/>
      <c r="H85" s="1"/>
      <c r="I85" s="1"/>
      <c r="J85" s="1"/>
      <c r="K85" s="1"/>
      <c r="L85" s="1"/>
      <c r="M85" s="45"/>
      <c r="N85" s="45"/>
      <c r="O85" s="45"/>
      <c r="P85" s="69"/>
      <c r="Q85" s="1"/>
      <c r="R85" s="1"/>
      <c r="S85" s="1"/>
      <c r="T85" s="1"/>
      <c r="U85" s="1"/>
      <c r="V85" s="1"/>
      <c r="W85" s="1"/>
      <c r="X85" s="44"/>
    </row>
    <row r="86">
      <c r="F86" s="67"/>
      <c r="G86" s="1"/>
      <c r="H86" s="1"/>
      <c r="I86" s="1"/>
      <c r="J86" s="1"/>
      <c r="K86" s="1"/>
      <c r="L86" s="1"/>
      <c r="M86" s="45"/>
      <c r="N86" s="45"/>
      <c r="O86" s="45"/>
      <c r="P86" s="69"/>
      <c r="Q86" s="1"/>
      <c r="R86" s="1"/>
      <c r="S86" s="1"/>
      <c r="T86" s="1"/>
      <c r="U86" s="1"/>
      <c r="V86" s="1"/>
      <c r="W86" s="1"/>
      <c r="X86" s="44"/>
    </row>
    <row r="87">
      <c r="F87" s="67"/>
      <c r="G87" s="1"/>
      <c r="H87" s="1"/>
      <c r="I87" s="1"/>
      <c r="J87" s="1"/>
      <c r="K87" s="1"/>
      <c r="L87" s="1"/>
      <c r="M87" s="45"/>
      <c r="N87" s="45"/>
      <c r="O87" s="45"/>
      <c r="P87" s="69"/>
      <c r="Q87" s="1"/>
      <c r="R87" s="1"/>
      <c r="S87" s="1"/>
      <c r="T87" s="1"/>
      <c r="U87" s="1"/>
      <c r="V87" s="1"/>
      <c r="W87" s="1"/>
      <c r="X87" s="44"/>
    </row>
    <row r="88">
      <c r="F88" s="67"/>
      <c r="G88" s="1"/>
      <c r="H88" s="1"/>
      <c r="I88" s="1"/>
      <c r="J88" s="1"/>
      <c r="K88" s="1"/>
      <c r="L88" s="1"/>
      <c r="M88" s="45"/>
      <c r="N88" s="45"/>
      <c r="O88" s="45"/>
      <c r="P88" s="69"/>
      <c r="Q88" s="1"/>
      <c r="R88" s="1"/>
      <c r="S88" s="1"/>
      <c r="T88" s="1"/>
      <c r="U88" s="1"/>
      <c r="V88" s="1"/>
      <c r="W88" s="1"/>
      <c r="X88" s="44"/>
    </row>
    <row r="89">
      <c r="F89" s="67"/>
      <c r="G89" s="1"/>
      <c r="H89" s="1"/>
      <c r="I89" s="1"/>
      <c r="J89" s="1"/>
      <c r="K89" s="1"/>
      <c r="L89" s="1"/>
      <c r="M89" s="45"/>
      <c r="N89" s="45"/>
      <c r="O89" s="45"/>
      <c r="P89" s="69"/>
      <c r="Q89" s="1"/>
      <c r="R89" s="1"/>
      <c r="S89" s="1"/>
      <c r="T89" s="1"/>
      <c r="U89" s="1"/>
      <c r="V89" s="1"/>
      <c r="W89" s="1"/>
      <c r="X89" s="44"/>
    </row>
    <row r="90">
      <c r="F90" s="67"/>
      <c r="G90" s="1"/>
      <c r="H90" s="1"/>
      <c r="I90" s="1"/>
      <c r="J90" s="1"/>
      <c r="K90" s="1"/>
      <c r="L90" s="1"/>
      <c r="M90" s="45"/>
      <c r="N90" s="45"/>
      <c r="O90" s="45"/>
      <c r="P90" s="69"/>
      <c r="Q90" s="1"/>
      <c r="R90" s="1"/>
      <c r="S90" s="1"/>
      <c r="T90" s="1"/>
      <c r="U90" s="1"/>
      <c r="V90" s="1"/>
      <c r="W90" s="1"/>
      <c r="X90" s="44"/>
    </row>
    <row r="91">
      <c r="F91" s="67"/>
      <c r="G91" s="1"/>
      <c r="H91" s="1"/>
      <c r="I91" s="1"/>
      <c r="J91" s="1"/>
      <c r="K91" s="1"/>
      <c r="L91" s="1"/>
      <c r="M91" s="45"/>
      <c r="N91" s="45"/>
      <c r="O91" s="45"/>
      <c r="P91" s="69"/>
      <c r="Q91" s="1"/>
      <c r="R91" s="1"/>
      <c r="S91" s="1"/>
      <c r="T91" s="1"/>
      <c r="U91" s="1"/>
      <c r="V91" s="1"/>
      <c r="W91" s="1"/>
      <c r="X91" s="44"/>
    </row>
    <row r="92">
      <c r="F92" s="67"/>
      <c r="G92" s="1"/>
      <c r="H92" s="1"/>
      <c r="I92" s="1"/>
      <c r="J92" s="1"/>
      <c r="K92" s="1"/>
      <c r="L92" s="1"/>
      <c r="M92" s="45"/>
      <c r="N92" s="45"/>
      <c r="O92" s="45"/>
      <c r="P92" s="69"/>
      <c r="Q92" s="1"/>
      <c r="R92" s="1"/>
      <c r="S92" s="1"/>
      <c r="T92" s="1"/>
      <c r="U92" s="1"/>
      <c r="V92" s="1"/>
      <c r="W92" s="1"/>
      <c r="X92" s="44"/>
    </row>
    <row r="93">
      <c r="F93" s="67"/>
      <c r="G93" s="1"/>
      <c r="H93" s="1"/>
      <c r="I93" s="1"/>
      <c r="J93" s="1"/>
      <c r="K93" s="1"/>
      <c r="L93" s="1"/>
      <c r="M93" s="45"/>
      <c r="N93" s="45"/>
      <c r="O93" s="45"/>
      <c r="P93" s="69"/>
      <c r="Q93" s="1"/>
      <c r="R93" s="1"/>
      <c r="S93" s="1"/>
      <c r="T93" s="1"/>
      <c r="U93" s="1"/>
      <c r="V93" s="1"/>
      <c r="W93" s="1"/>
      <c r="X93" s="44"/>
    </row>
    <row r="94">
      <c r="F94" s="67"/>
      <c r="G94" s="1"/>
      <c r="H94" s="1"/>
      <c r="I94" s="1"/>
      <c r="J94" s="1"/>
      <c r="K94" s="1"/>
      <c r="L94" s="1"/>
      <c r="M94" s="45"/>
      <c r="N94" s="45"/>
      <c r="O94" s="45"/>
      <c r="P94" s="69"/>
      <c r="Q94" s="1"/>
      <c r="R94" s="1"/>
      <c r="S94" s="1"/>
      <c r="T94" s="1"/>
      <c r="U94" s="1"/>
      <c r="V94" s="1"/>
      <c r="W94" s="1"/>
      <c r="X94" s="44"/>
    </row>
    <row r="95">
      <c r="F95" s="67"/>
      <c r="G95" s="1"/>
      <c r="H95" s="1"/>
      <c r="I95" s="1"/>
      <c r="J95" s="1"/>
      <c r="K95" s="1"/>
      <c r="L95" s="1"/>
      <c r="M95" s="45"/>
      <c r="N95" s="45"/>
      <c r="O95" s="45"/>
      <c r="P95" s="69"/>
      <c r="Q95" s="1"/>
      <c r="R95" s="1"/>
      <c r="S95" s="1"/>
      <c r="T95" s="1"/>
      <c r="U95" s="1"/>
      <c r="V95" s="1"/>
      <c r="W95" s="1"/>
      <c r="X95" s="44"/>
    </row>
    <row r="96">
      <c r="F96" s="67"/>
      <c r="G96" s="1"/>
      <c r="H96" s="1"/>
      <c r="I96" s="1"/>
      <c r="J96" s="1"/>
      <c r="K96" s="1"/>
      <c r="L96" s="1"/>
      <c r="M96" s="45"/>
      <c r="N96" s="45"/>
      <c r="O96" s="45"/>
      <c r="P96" s="69"/>
      <c r="Q96" s="1"/>
      <c r="R96" s="1"/>
      <c r="S96" s="1"/>
      <c r="T96" s="1"/>
      <c r="U96" s="1"/>
      <c r="V96" s="1"/>
      <c r="W96" s="1"/>
      <c r="X96" s="44"/>
    </row>
    <row r="97">
      <c r="F97" s="67"/>
      <c r="G97" s="1"/>
      <c r="H97" s="1"/>
      <c r="I97" s="1"/>
      <c r="J97" s="1"/>
      <c r="K97" s="1"/>
      <c r="L97" s="1"/>
      <c r="M97" s="45"/>
      <c r="N97" s="45"/>
      <c r="O97" s="45"/>
      <c r="P97" s="69"/>
      <c r="Q97" s="1"/>
      <c r="R97" s="1"/>
      <c r="S97" s="1"/>
      <c r="T97" s="1"/>
      <c r="U97" s="1"/>
      <c r="V97" s="1"/>
      <c r="W97" s="1"/>
      <c r="X97" s="44"/>
    </row>
    <row r="98">
      <c r="F98" s="67"/>
      <c r="G98" s="1"/>
      <c r="H98" s="1"/>
      <c r="I98" s="1"/>
      <c r="J98" s="1"/>
      <c r="K98" s="1"/>
      <c r="L98" s="1"/>
      <c r="M98" s="45"/>
      <c r="N98" s="45"/>
      <c r="O98" s="45"/>
      <c r="P98" s="69"/>
      <c r="Q98" s="1"/>
      <c r="R98" s="1"/>
      <c r="S98" s="1"/>
      <c r="T98" s="1"/>
      <c r="U98" s="1"/>
      <c r="V98" s="1"/>
      <c r="W98" s="1"/>
      <c r="X98" s="44"/>
    </row>
    <row r="99">
      <c r="F99" s="67"/>
      <c r="G99" s="1"/>
      <c r="H99" s="1"/>
      <c r="I99" s="1"/>
      <c r="J99" s="1"/>
      <c r="K99" s="1"/>
      <c r="L99" s="1"/>
      <c r="M99" s="45"/>
      <c r="N99" s="45"/>
      <c r="O99" s="45"/>
      <c r="P99" s="69"/>
      <c r="Q99" s="1"/>
      <c r="R99" s="1"/>
      <c r="S99" s="1"/>
      <c r="T99" s="1"/>
      <c r="U99" s="1"/>
      <c r="V99" s="1"/>
      <c r="W99" s="1"/>
      <c r="X99" s="44"/>
    </row>
    <row r="100">
      <c r="F100" s="67"/>
      <c r="G100" s="1"/>
      <c r="H100" s="1"/>
      <c r="I100" s="1"/>
      <c r="J100" s="1"/>
      <c r="K100" s="1"/>
      <c r="L100" s="1"/>
      <c r="M100" s="45"/>
      <c r="N100" s="45"/>
      <c r="O100" s="45"/>
      <c r="P100" s="69"/>
      <c r="Q100" s="1"/>
      <c r="R100" s="1"/>
      <c r="S100" s="1"/>
      <c r="T100" s="1"/>
      <c r="U100" s="1"/>
      <c r="V100" s="1"/>
      <c r="W100" s="1"/>
      <c r="X100" s="44"/>
    </row>
    <row r="101">
      <c r="F101" s="67"/>
      <c r="G101" s="1"/>
      <c r="H101" s="1"/>
      <c r="I101" s="1"/>
      <c r="J101" s="1"/>
      <c r="K101" s="1"/>
      <c r="L101" s="1"/>
      <c r="M101" s="45"/>
      <c r="N101" s="45"/>
      <c r="O101" s="45"/>
      <c r="P101" s="69"/>
      <c r="Q101" s="1"/>
      <c r="R101" s="1"/>
      <c r="S101" s="1"/>
      <c r="T101" s="1"/>
      <c r="U101" s="1"/>
      <c r="V101" s="1"/>
      <c r="W101" s="1"/>
      <c r="X101" s="44"/>
    </row>
    <row r="102">
      <c r="F102" s="67"/>
      <c r="G102" s="1"/>
      <c r="H102" s="1"/>
      <c r="I102" s="1"/>
      <c r="J102" s="1"/>
      <c r="K102" s="1"/>
      <c r="L102" s="1"/>
      <c r="M102" s="45"/>
      <c r="N102" s="45"/>
      <c r="O102" s="45"/>
      <c r="P102" s="69"/>
      <c r="Q102" s="1"/>
      <c r="R102" s="1"/>
      <c r="S102" s="1"/>
      <c r="T102" s="1"/>
      <c r="U102" s="1"/>
      <c r="V102" s="1"/>
      <c r="W102" s="1"/>
      <c r="X102" s="44"/>
    </row>
    <row r="103">
      <c r="F103" s="67"/>
      <c r="G103" s="1"/>
      <c r="H103" s="1"/>
      <c r="I103" s="1"/>
      <c r="J103" s="1"/>
      <c r="K103" s="1"/>
      <c r="L103" s="1"/>
      <c r="M103" s="45"/>
      <c r="N103" s="45"/>
      <c r="O103" s="45"/>
      <c r="P103" s="69"/>
      <c r="Q103" s="1"/>
      <c r="R103" s="1"/>
      <c r="S103" s="1"/>
      <c r="T103" s="1"/>
      <c r="U103" s="1"/>
      <c r="V103" s="1"/>
      <c r="W103" s="1"/>
      <c r="X103" s="44"/>
    </row>
    <row r="104">
      <c r="F104" s="67"/>
      <c r="G104" s="1"/>
      <c r="H104" s="1"/>
      <c r="I104" s="1"/>
      <c r="J104" s="1"/>
      <c r="K104" s="1"/>
      <c r="L104" s="1"/>
      <c r="M104" s="45"/>
      <c r="N104" s="45"/>
      <c r="O104" s="45"/>
      <c r="P104" s="69"/>
      <c r="Q104" s="1"/>
      <c r="R104" s="1"/>
      <c r="S104" s="1"/>
      <c r="T104" s="1"/>
      <c r="U104" s="1"/>
      <c r="V104" s="1"/>
      <c r="W104" s="1"/>
      <c r="X104" s="44"/>
    </row>
    <row r="105">
      <c r="F105" s="67"/>
      <c r="G105" s="1"/>
      <c r="H105" s="1"/>
      <c r="I105" s="1"/>
      <c r="J105" s="1"/>
      <c r="K105" s="1"/>
      <c r="L105" s="1"/>
      <c r="M105" s="45"/>
      <c r="N105" s="45"/>
      <c r="O105" s="45"/>
      <c r="P105" s="69"/>
      <c r="Q105" s="1"/>
      <c r="R105" s="1"/>
      <c r="S105" s="1"/>
      <c r="T105" s="1"/>
      <c r="U105" s="1"/>
      <c r="V105" s="1"/>
      <c r="W105" s="1"/>
      <c r="X105" s="44"/>
    </row>
    <row r="106">
      <c r="F106" s="67"/>
      <c r="G106" s="1"/>
      <c r="H106" s="1"/>
      <c r="I106" s="1"/>
      <c r="J106" s="1"/>
      <c r="K106" s="1"/>
      <c r="L106" s="1"/>
      <c r="M106" s="45"/>
      <c r="N106" s="45"/>
      <c r="O106" s="45"/>
      <c r="P106" s="69"/>
      <c r="Q106" s="1"/>
      <c r="R106" s="1"/>
      <c r="S106" s="1"/>
      <c r="T106" s="1"/>
      <c r="U106" s="1"/>
      <c r="V106" s="1"/>
      <c r="W106" s="1"/>
      <c r="X106" s="44"/>
    </row>
    <row r="107">
      <c r="F107" s="67"/>
      <c r="G107" s="1"/>
      <c r="H107" s="1"/>
      <c r="I107" s="1"/>
      <c r="J107" s="1"/>
      <c r="K107" s="1"/>
      <c r="L107" s="1"/>
      <c r="M107" s="45"/>
      <c r="N107" s="45"/>
      <c r="O107" s="45"/>
      <c r="P107" s="69"/>
      <c r="Q107" s="1"/>
      <c r="R107" s="1"/>
      <c r="S107" s="1"/>
      <c r="T107" s="1"/>
      <c r="U107" s="1"/>
      <c r="V107" s="1"/>
      <c r="W107" s="1"/>
      <c r="X107" s="44"/>
    </row>
    <row r="108">
      <c r="F108" s="67"/>
      <c r="G108" s="1"/>
      <c r="H108" s="1"/>
      <c r="I108" s="1"/>
      <c r="J108" s="1"/>
      <c r="K108" s="1"/>
      <c r="L108" s="1"/>
      <c r="M108" s="45"/>
      <c r="N108" s="45"/>
      <c r="O108" s="45"/>
      <c r="P108" s="69"/>
      <c r="Q108" s="1"/>
      <c r="R108" s="1"/>
      <c r="S108" s="1"/>
      <c r="T108" s="1"/>
      <c r="U108" s="1"/>
      <c r="V108" s="1"/>
      <c r="W108" s="1"/>
      <c r="X108" s="44"/>
    </row>
    <row r="109">
      <c r="F109" s="67"/>
      <c r="G109" s="1"/>
      <c r="H109" s="1"/>
      <c r="I109" s="1"/>
      <c r="J109" s="1"/>
      <c r="K109" s="1"/>
      <c r="L109" s="1"/>
      <c r="M109" s="45"/>
      <c r="N109" s="45"/>
      <c r="O109" s="45"/>
      <c r="P109" s="69"/>
      <c r="Q109" s="1"/>
      <c r="R109" s="1"/>
      <c r="S109" s="1"/>
      <c r="T109" s="1"/>
      <c r="U109" s="1"/>
      <c r="V109" s="1"/>
      <c r="W109" s="1"/>
      <c r="X109" s="44"/>
    </row>
    <row r="110">
      <c r="F110" s="67"/>
      <c r="G110" s="1"/>
      <c r="H110" s="1"/>
      <c r="I110" s="1"/>
      <c r="J110" s="1"/>
      <c r="K110" s="1"/>
      <c r="L110" s="1"/>
      <c r="M110" s="45"/>
      <c r="N110" s="45"/>
      <c r="O110" s="45"/>
      <c r="P110" s="69"/>
      <c r="Q110" s="1"/>
      <c r="R110" s="1"/>
      <c r="S110" s="1"/>
      <c r="T110" s="1"/>
      <c r="U110" s="1"/>
      <c r="V110" s="1"/>
      <c r="W110" s="1"/>
      <c r="X110" s="44"/>
    </row>
    <row r="111">
      <c r="F111" s="67"/>
      <c r="G111" s="1"/>
      <c r="H111" s="1"/>
      <c r="I111" s="1"/>
      <c r="J111" s="1"/>
      <c r="K111" s="1"/>
      <c r="L111" s="1"/>
      <c r="M111" s="45"/>
      <c r="N111" s="45"/>
      <c r="O111" s="45"/>
      <c r="P111" s="69"/>
      <c r="Q111" s="1"/>
      <c r="R111" s="1"/>
      <c r="S111" s="1"/>
      <c r="T111" s="1"/>
      <c r="U111" s="1"/>
      <c r="V111" s="1"/>
      <c r="W111" s="1"/>
      <c r="X111" s="44"/>
    </row>
    <row r="112">
      <c r="F112" s="67"/>
      <c r="G112" s="1"/>
      <c r="H112" s="1"/>
      <c r="I112" s="1"/>
      <c r="J112" s="1"/>
      <c r="K112" s="1"/>
      <c r="L112" s="1"/>
      <c r="M112" s="45"/>
      <c r="N112" s="45"/>
      <c r="O112" s="45"/>
      <c r="P112" s="69"/>
      <c r="Q112" s="1"/>
      <c r="R112" s="1"/>
      <c r="S112" s="1"/>
      <c r="T112" s="1"/>
      <c r="U112" s="1"/>
      <c r="V112" s="1"/>
      <c r="W112" s="1"/>
      <c r="X112" s="44"/>
    </row>
    <row r="113">
      <c r="F113" s="67"/>
      <c r="G113" s="1"/>
      <c r="H113" s="1"/>
      <c r="I113" s="1"/>
      <c r="J113" s="1"/>
      <c r="K113" s="1"/>
      <c r="L113" s="1"/>
      <c r="M113" s="45"/>
      <c r="N113" s="45"/>
      <c r="O113" s="45"/>
      <c r="P113" s="69"/>
      <c r="Q113" s="1"/>
      <c r="R113" s="1"/>
      <c r="S113" s="1"/>
      <c r="T113" s="1"/>
      <c r="U113" s="1"/>
      <c r="V113" s="1"/>
      <c r="W113" s="1"/>
      <c r="X113" s="44"/>
    </row>
    <row r="114">
      <c r="F114" s="67"/>
      <c r="G114" s="1"/>
      <c r="H114" s="1"/>
      <c r="I114" s="1"/>
      <c r="J114" s="1"/>
      <c r="K114" s="1"/>
      <c r="L114" s="1"/>
      <c r="M114" s="45"/>
      <c r="N114" s="45"/>
      <c r="O114" s="45"/>
      <c r="P114" s="69"/>
      <c r="Q114" s="1"/>
      <c r="R114" s="1"/>
      <c r="S114" s="1"/>
      <c r="T114" s="1"/>
      <c r="U114" s="1"/>
      <c r="V114" s="1"/>
      <c r="W114" s="1"/>
      <c r="X114" s="44"/>
    </row>
    <row r="115">
      <c r="F115" s="67"/>
      <c r="G115" s="1"/>
      <c r="H115" s="1"/>
      <c r="I115" s="1"/>
      <c r="J115" s="1"/>
      <c r="K115" s="1"/>
      <c r="L115" s="1"/>
      <c r="M115" s="45"/>
      <c r="N115" s="45"/>
      <c r="O115" s="45"/>
      <c r="P115" s="69"/>
      <c r="Q115" s="1"/>
      <c r="R115" s="1"/>
      <c r="S115" s="1"/>
      <c r="T115" s="1"/>
      <c r="U115" s="1"/>
      <c r="V115" s="1"/>
      <c r="W115" s="1"/>
      <c r="X115" s="44"/>
    </row>
    <row r="116">
      <c r="F116" s="67"/>
      <c r="G116" s="1"/>
      <c r="H116" s="1"/>
      <c r="I116" s="1"/>
      <c r="J116" s="1"/>
      <c r="K116" s="1"/>
      <c r="L116" s="1"/>
      <c r="M116" s="45"/>
      <c r="N116" s="45"/>
      <c r="O116" s="45"/>
      <c r="P116" s="69"/>
      <c r="Q116" s="1"/>
      <c r="R116" s="1"/>
      <c r="S116" s="1"/>
      <c r="T116" s="1"/>
      <c r="U116" s="1"/>
      <c r="V116" s="1"/>
      <c r="W116" s="1"/>
      <c r="X116" s="44"/>
    </row>
    <row r="117">
      <c r="F117" s="67"/>
      <c r="G117" s="1"/>
      <c r="H117" s="1"/>
      <c r="I117" s="1"/>
      <c r="J117" s="1"/>
      <c r="K117" s="1"/>
      <c r="L117" s="1"/>
      <c r="M117" s="45"/>
      <c r="N117" s="45"/>
      <c r="O117" s="45"/>
      <c r="P117" s="69"/>
      <c r="Q117" s="1"/>
      <c r="R117" s="1"/>
      <c r="S117" s="1"/>
      <c r="T117" s="1"/>
      <c r="U117" s="1"/>
      <c r="V117" s="1"/>
      <c r="W117" s="1"/>
      <c r="X117" s="44"/>
    </row>
    <row r="118">
      <c r="F118" s="67"/>
      <c r="G118" s="1"/>
      <c r="H118" s="1"/>
      <c r="I118" s="1"/>
      <c r="J118" s="1"/>
      <c r="K118" s="1"/>
      <c r="L118" s="1"/>
      <c r="M118" s="45"/>
      <c r="N118" s="45"/>
      <c r="O118" s="45"/>
      <c r="P118" s="69"/>
      <c r="Q118" s="1"/>
      <c r="R118" s="1"/>
      <c r="S118" s="1"/>
      <c r="T118" s="1"/>
      <c r="U118" s="1"/>
      <c r="V118" s="1"/>
      <c r="W118" s="1"/>
      <c r="X118" s="44"/>
    </row>
    <row r="119">
      <c r="F119" s="67"/>
      <c r="G119" s="1"/>
      <c r="H119" s="1"/>
      <c r="I119" s="1"/>
      <c r="J119" s="1"/>
      <c r="K119" s="1"/>
      <c r="L119" s="1"/>
      <c r="M119" s="45"/>
      <c r="N119" s="45"/>
      <c r="O119" s="45"/>
      <c r="P119" s="69"/>
      <c r="Q119" s="1"/>
      <c r="R119" s="1"/>
      <c r="S119" s="1"/>
      <c r="T119" s="1"/>
      <c r="U119" s="1"/>
      <c r="V119" s="1"/>
      <c r="W119" s="1"/>
      <c r="X119" s="44"/>
    </row>
    <row r="120">
      <c r="F120" s="67"/>
      <c r="G120" s="1"/>
      <c r="H120" s="1"/>
      <c r="I120" s="1"/>
      <c r="J120" s="1"/>
      <c r="K120" s="1"/>
      <c r="L120" s="1"/>
      <c r="M120" s="45"/>
      <c r="N120" s="45"/>
      <c r="O120" s="45"/>
      <c r="P120" s="69"/>
      <c r="Q120" s="1"/>
      <c r="R120" s="1"/>
      <c r="S120" s="1"/>
      <c r="T120" s="1"/>
      <c r="U120" s="1"/>
      <c r="V120" s="1"/>
      <c r="W120" s="1"/>
      <c r="X120" s="44"/>
    </row>
    <row r="121">
      <c r="F121" s="67"/>
      <c r="G121" s="1"/>
      <c r="H121" s="1"/>
      <c r="I121" s="1"/>
      <c r="J121" s="1"/>
      <c r="K121" s="1"/>
      <c r="L121" s="1"/>
      <c r="M121" s="45"/>
      <c r="N121" s="45"/>
      <c r="O121" s="45"/>
      <c r="P121" s="69"/>
      <c r="Q121" s="1"/>
      <c r="R121" s="1"/>
      <c r="S121" s="1"/>
      <c r="T121" s="1"/>
      <c r="U121" s="1"/>
      <c r="V121" s="1"/>
      <c r="W121" s="1"/>
      <c r="X121" s="44"/>
    </row>
    <row r="122">
      <c r="F122" s="67"/>
      <c r="G122" s="1"/>
      <c r="H122" s="1"/>
      <c r="I122" s="1"/>
      <c r="J122" s="1"/>
      <c r="K122" s="1"/>
      <c r="L122" s="1"/>
      <c r="M122" s="45"/>
      <c r="N122" s="45"/>
      <c r="O122" s="45"/>
      <c r="P122" s="69"/>
      <c r="Q122" s="1"/>
      <c r="R122" s="1"/>
      <c r="S122" s="1"/>
      <c r="T122" s="1"/>
      <c r="U122" s="1"/>
      <c r="V122" s="1"/>
      <c r="W122" s="1"/>
      <c r="X122" s="44"/>
    </row>
    <row r="123">
      <c r="F123" s="67"/>
      <c r="G123" s="1"/>
      <c r="H123" s="1"/>
      <c r="I123" s="1"/>
      <c r="J123" s="1"/>
      <c r="K123" s="1"/>
      <c r="L123" s="1"/>
      <c r="M123" s="45"/>
      <c r="N123" s="45"/>
      <c r="O123" s="45"/>
      <c r="P123" s="69"/>
      <c r="Q123" s="1"/>
      <c r="R123" s="1"/>
      <c r="S123" s="1"/>
      <c r="T123" s="1"/>
      <c r="U123" s="1"/>
      <c r="V123" s="1"/>
      <c r="W123" s="1"/>
      <c r="X123" s="44"/>
    </row>
    <row r="124">
      <c r="F124" s="67"/>
      <c r="G124" s="1"/>
      <c r="H124" s="1"/>
      <c r="I124" s="1"/>
      <c r="J124" s="1"/>
      <c r="K124" s="1"/>
      <c r="L124" s="1"/>
      <c r="M124" s="45"/>
      <c r="N124" s="45"/>
      <c r="O124" s="45"/>
      <c r="P124" s="69"/>
      <c r="Q124" s="1"/>
      <c r="R124" s="1"/>
      <c r="S124" s="1"/>
      <c r="T124" s="1"/>
      <c r="U124" s="1"/>
      <c r="V124" s="1"/>
      <c r="W124" s="1"/>
      <c r="X124" s="44"/>
    </row>
    <row r="125">
      <c r="F125" s="67"/>
      <c r="G125" s="1"/>
      <c r="H125" s="1"/>
      <c r="I125" s="1"/>
      <c r="J125" s="1"/>
      <c r="K125" s="1"/>
      <c r="L125" s="1"/>
      <c r="M125" s="45"/>
      <c r="N125" s="45"/>
      <c r="O125" s="45"/>
      <c r="P125" s="69"/>
      <c r="Q125" s="1"/>
      <c r="R125" s="1"/>
      <c r="S125" s="1"/>
      <c r="T125" s="1"/>
      <c r="U125" s="1"/>
      <c r="V125" s="1"/>
      <c r="W125" s="1"/>
      <c r="X125" s="44"/>
    </row>
    <row r="126">
      <c r="F126" s="67"/>
      <c r="G126" s="1"/>
      <c r="H126" s="1"/>
      <c r="I126" s="1"/>
      <c r="J126" s="1"/>
      <c r="K126" s="1"/>
      <c r="L126" s="1"/>
      <c r="M126" s="45"/>
      <c r="N126" s="45"/>
      <c r="O126" s="45"/>
      <c r="P126" s="69"/>
      <c r="Q126" s="1"/>
      <c r="R126" s="1"/>
      <c r="S126" s="1"/>
      <c r="T126" s="1"/>
      <c r="U126" s="1"/>
      <c r="V126" s="1"/>
      <c r="W126" s="1"/>
      <c r="X126" s="44"/>
    </row>
    <row r="127">
      <c r="F127" s="67"/>
      <c r="G127" s="1"/>
      <c r="H127" s="1"/>
      <c r="I127" s="1"/>
      <c r="J127" s="1"/>
      <c r="K127" s="1"/>
      <c r="L127" s="1"/>
      <c r="M127" s="45"/>
      <c r="N127" s="45"/>
      <c r="O127" s="45"/>
      <c r="P127" s="69"/>
      <c r="Q127" s="1"/>
      <c r="R127" s="1"/>
      <c r="S127" s="1"/>
      <c r="T127" s="1"/>
      <c r="U127" s="1"/>
      <c r="V127" s="1"/>
      <c r="W127" s="1"/>
      <c r="X127" s="44"/>
    </row>
    <row r="128">
      <c r="F128" s="67"/>
      <c r="G128" s="1"/>
      <c r="H128" s="1"/>
      <c r="I128" s="1"/>
      <c r="J128" s="1"/>
      <c r="K128" s="1"/>
      <c r="L128" s="1"/>
      <c r="M128" s="45"/>
      <c r="N128" s="45"/>
      <c r="O128" s="45"/>
      <c r="P128" s="69"/>
      <c r="Q128" s="1"/>
      <c r="R128" s="1"/>
      <c r="S128" s="1"/>
      <c r="T128" s="1"/>
      <c r="U128" s="1"/>
      <c r="V128" s="1"/>
      <c r="W128" s="1"/>
      <c r="X128" s="44"/>
    </row>
    <row r="129">
      <c r="F129" s="67"/>
      <c r="G129" s="1"/>
      <c r="H129" s="1"/>
      <c r="I129" s="1"/>
      <c r="J129" s="1"/>
      <c r="K129" s="1"/>
      <c r="L129" s="1"/>
      <c r="M129" s="45"/>
      <c r="N129" s="45"/>
      <c r="O129" s="45"/>
      <c r="P129" s="69"/>
      <c r="Q129" s="1"/>
      <c r="R129" s="1"/>
      <c r="S129" s="1"/>
      <c r="T129" s="1"/>
      <c r="U129" s="1"/>
      <c r="V129" s="1"/>
      <c r="W129" s="1"/>
      <c r="X129" s="44"/>
    </row>
    <row r="130">
      <c r="F130" s="67"/>
      <c r="G130" s="1"/>
      <c r="H130" s="1"/>
      <c r="I130" s="1"/>
      <c r="J130" s="1"/>
      <c r="K130" s="1"/>
      <c r="L130" s="1"/>
      <c r="M130" s="45"/>
      <c r="N130" s="45"/>
      <c r="O130" s="45"/>
      <c r="P130" s="69"/>
      <c r="Q130" s="1"/>
      <c r="R130" s="1"/>
      <c r="S130" s="1"/>
      <c r="T130" s="1"/>
      <c r="U130" s="1"/>
      <c r="V130" s="1"/>
      <c r="W130" s="1"/>
      <c r="X130" s="44"/>
    </row>
    <row r="131">
      <c r="F131" s="67"/>
      <c r="G131" s="1"/>
      <c r="H131" s="1"/>
      <c r="I131" s="1"/>
      <c r="J131" s="1"/>
      <c r="K131" s="1"/>
      <c r="L131" s="1"/>
      <c r="M131" s="45"/>
      <c r="N131" s="45"/>
      <c r="O131" s="45"/>
      <c r="P131" s="69"/>
      <c r="Q131" s="1"/>
      <c r="R131" s="1"/>
      <c r="S131" s="1"/>
      <c r="T131" s="1"/>
      <c r="U131" s="1"/>
      <c r="V131" s="1"/>
      <c r="W131" s="1"/>
      <c r="X131" s="44"/>
    </row>
    <row r="132">
      <c r="F132" s="67"/>
      <c r="G132" s="1"/>
      <c r="H132" s="1"/>
      <c r="I132" s="1"/>
      <c r="J132" s="1"/>
      <c r="K132" s="1"/>
      <c r="L132" s="1"/>
      <c r="M132" s="45"/>
      <c r="N132" s="45"/>
      <c r="O132" s="45"/>
      <c r="P132" s="69"/>
      <c r="Q132" s="1"/>
      <c r="R132" s="1"/>
      <c r="S132" s="1"/>
      <c r="T132" s="1"/>
      <c r="U132" s="1"/>
      <c r="V132" s="1"/>
      <c r="W132" s="1"/>
      <c r="X132" s="44"/>
    </row>
    <row r="133">
      <c r="F133" s="67"/>
      <c r="G133" s="1"/>
      <c r="H133" s="1"/>
      <c r="I133" s="1"/>
      <c r="J133" s="1"/>
      <c r="K133" s="1"/>
      <c r="L133" s="1"/>
      <c r="M133" s="45"/>
      <c r="N133" s="45"/>
      <c r="O133" s="45"/>
      <c r="P133" s="69"/>
      <c r="Q133" s="1"/>
      <c r="R133" s="1"/>
      <c r="S133" s="1"/>
      <c r="T133" s="1"/>
      <c r="U133" s="1"/>
      <c r="V133" s="1"/>
      <c r="W133" s="1"/>
      <c r="X133" s="44"/>
    </row>
    <row r="134">
      <c r="F134" s="67"/>
      <c r="G134" s="1"/>
      <c r="H134" s="1"/>
      <c r="I134" s="1"/>
      <c r="J134" s="1"/>
      <c r="K134" s="1"/>
      <c r="L134" s="1"/>
      <c r="M134" s="45"/>
      <c r="N134" s="45"/>
      <c r="O134" s="45"/>
      <c r="P134" s="69"/>
      <c r="Q134" s="1"/>
      <c r="R134" s="1"/>
      <c r="S134" s="1"/>
      <c r="T134" s="1"/>
      <c r="U134" s="1"/>
      <c r="V134" s="1"/>
      <c r="W134" s="1"/>
      <c r="X134" s="44"/>
    </row>
    <row r="135">
      <c r="F135" s="67"/>
      <c r="G135" s="1"/>
      <c r="H135" s="1"/>
      <c r="I135" s="1"/>
      <c r="J135" s="1"/>
      <c r="K135" s="1"/>
      <c r="L135" s="1"/>
      <c r="M135" s="45"/>
      <c r="N135" s="45"/>
      <c r="O135" s="45"/>
      <c r="P135" s="69"/>
      <c r="Q135" s="1"/>
      <c r="R135" s="1"/>
      <c r="S135" s="1"/>
      <c r="T135" s="1"/>
      <c r="U135" s="1"/>
      <c r="V135" s="1"/>
      <c r="W135" s="1"/>
      <c r="X135" s="44"/>
    </row>
    <row r="136">
      <c r="F136" s="67"/>
      <c r="G136" s="1"/>
      <c r="H136" s="1"/>
      <c r="I136" s="1"/>
      <c r="J136" s="1"/>
      <c r="K136" s="1"/>
      <c r="L136" s="1"/>
      <c r="M136" s="45"/>
      <c r="N136" s="45"/>
      <c r="O136" s="45"/>
      <c r="P136" s="69"/>
      <c r="Q136" s="1"/>
      <c r="R136" s="1"/>
      <c r="S136" s="1"/>
      <c r="T136" s="1"/>
      <c r="U136" s="1"/>
      <c r="V136" s="1"/>
      <c r="W136" s="1"/>
      <c r="X136" s="44"/>
    </row>
    <row r="137">
      <c r="F137" s="67"/>
      <c r="G137" s="1"/>
      <c r="H137" s="1"/>
      <c r="I137" s="1"/>
      <c r="J137" s="1"/>
      <c r="K137" s="1"/>
      <c r="L137" s="1"/>
      <c r="M137" s="45"/>
      <c r="N137" s="45"/>
      <c r="O137" s="45"/>
      <c r="P137" s="69"/>
      <c r="Q137" s="1"/>
      <c r="R137" s="1"/>
      <c r="S137" s="1"/>
      <c r="T137" s="1"/>
      <c r="U137" s="1"/>
      <c r="V137" s="1"/>
      <c r="W137" s="1"/>
      <c r="X137" s="44"/>
    </row>
    <row r="138">
      <c r="F138" s="67"/>
      <c r="G138" s="1"/>
      <c r="H138" s="1"/>
      <c r="I138" s="1"/>
      <c r="J138" s="1"/>
      <c r="K138" s="1"/>
      <c r="L138" s="1"/>
      <c r="M138" s="45"/>
      <c r="N138" s="45"/>
      <c r="O138" s="45"/>
      <c r="P138" s="69"/>
      <c r="Q138" s="1"/>
      <c r="R138" s="1"/>
      <c r="S138" s="1"/>
      <c r="T138" s="1"/>
      <c r="U138" s="1"/>
      <c r="V138" s="1"/>
      <c r="W138" s="1"/>
      <c r="X138" s="44"/>
    </row>
    <row r="139">
      <c r="F139" s="67"/>
      <c r="G139" s="1"/>
      <c r="H139" s="1"/>
      <c r="I139" s="1"/>
      <c r="J139" s="1"/>
      <c r="K139" s="1"/>
      <c r="L139" s="1"/>
      <c r="M139" s="45"/>
      <c r="N139" s="45"/>
      <c r="O139" s="45"/>
      <c r="P139" s="69"/>
      <c r="Q139" s="1"/>
      <c r="R139" s="1"/>
      <c r="S139" s="1"/>
      <c r="T139" s="1"/>
      <c r="U139" s="1"/>
      <c r="V139" s="1"/>
      <c r="W139" s="1"/>
      <c r="X139" s="44"/>
    </row>
    <row r="140">
      <c r="F140" s="67"/>
      <c r="G140" s="1"/>
      <c r="H140" s="1"/>
      <c r="I140" s="1"/>
      <c r="J140" s="1"/>
      <c r="K140" s="1"/>
      <c r="L140" s="1"/>
      <c r="M140" s="45"/>
      <c r="N140" s="45"/>
      <c r="O140" s="45"/>
      <c r="P140" s="69"/>
      <c r="Q140" s="1"/>
      <c r="R140" s="1"/>
      <c r="S140" s="1"/>
      <c r="T140" s="1"/>
      <c r="U140" s="1"/>
      <c r="V140" s="1"/>
      <c r="W140" s="1"/>
      <c r="X140" s="44"/>
    </row>
    <row r="141">
      <c r="F141" s="67"/>
      <c r="G141" s="1"/>
      <c r="H141" s="1"/>
      <c r="I141" s="1"/>
      <c r="J141" s="1"/>
      <c r="K141" s="1"/>
      <c r="L141" s="1"/>
      <c r="M141" s="45"/>
      <c r="N141" s="45"/>
      <c r="O141" s="45"/>
      <c r="P141" s="69"/>
      <c r="Q141" s="1"/>
      <c r="R141" s="1"/>
      <c r="S141" s="1"/>
      <c r="T141" s="1"/>
      <c r="U141" s="1"/>
      <c r="V141" s="1"/>
      <c r="W141" s="1"/>
      <c r="X141" s="44"/>
    </row>
    <row r="142">
      <c r="F142" s="67"/>
      <c r="G142" s="1"/>
      <c r="H142" s="1"/>
      <c r="I142" s="1"/>
      <c r="J142" s="1"/>
      <c r="K142" s="1"/>
      <c r="L142" s="1"/>
      <c r="M142" s="45"/>
      <c r="N142" s="45"/>
      <c r="O142" s="45"/>
      <c r="P142" s="69"/>
      <c r="Q142" s="1"/>
      <c r="R142" s="1"/>
      <c r="S142" s="1"/>
      <c r="T142" s="1"/>
      <c r="U142" s="1"/>
      <c r="V142" s="1"/>
      <c r="W142" s="1"/>
      <c r="X142" s="44"/>
    </row>
    <row r="143">
      <c r="F143" s="67"/>
      <c r="G143" s="1"/>
      <c r="H143" s="1"/>
      <c r="I143" s="1"/>
      <c r="J143" s="1"/>
      <c r="K143" s="1"/>
      <c r="L143" s="1"/>
      <c r="M143" s="45"/>
      <c r="N143" s="45"/>
      <c r="O143" s="45"/>
      <c r="P143" s="69"/>
      <c r="Q143" s="1"/>
      <c r="R143" s="1"/>
      <c r="S143" s="1"/>
      <c r="T143" s="1"/>
      <c r="U143" s="1"/>
      <c r="V143" s="1"/>
      <c r="W143" s="1"/>
      <c r="X143" s="44"/>
    </row>
    <row r="144">
      <c r="F144" s="67"/>
      <c r="G144" s="1"/>
      <c r="H144" s="1"/>
      <c r="I144" s="1"/>
      <c r="J144" s="1"/>
      <c r="K144" s="1"/>
      <c r="L144" s="1"/>
      <c r="M144" s="45"/>
      <c r="N144" s="45"/>
      <c r="O144" s="45"/>
      <c r="P144" s="69"/>
      <c r="Q144" s="1"/>
      <c r="R144" s="1"/>
      <c r="S144" s="1"/>
      <c r="T144" s="1"/>
      <c r="U144" s="1"/>
      <c r="V144" s="1"/>
      <c r="W144" s="1"/>
      <c r="X144" s="44"/>
    </row>
    <row r="145">
      <c r="F145" s="67"/>
      <c r="G145" s="1"/>
      <c r="H145" s="1"/>
      <c r="I145" s="1"/>
      <c r="J145" s="1"/>
      <c r="K145" s="1"/>
      <c r="L145" s="1"/>
      <c r="M145" s="45"/>
      <c r="N145" s="45"/>
      <c r="O145" s="45"/>
      <c r="P145" s="69"/>
      <c r="Q145" s="1"/>
      <c r="R145" s="1"/>
      <c r="S145" s="1"/>
      <c r="T145" s="1"/>
      <c r="U145" s="1"/>
      <c r="V145" s="1"/>
      <c r="W145" s="1"/>
      <c r="X145" s="44"/>
    </row>
    <row r="146">
      <c r="F146" s="67"/>
      <c r="G146" s="1"/>
      <c r="H146" s="1"/>
      <c r="I146" s="1"/>
      <c r="J146" s="1"/>
      <c r="K146" s="1"/>
      <c r="L146" s="1"/>
      <c r="M146" s="45"/>
      <c r="N146" s="45"/>
      <c r="O146" s="45"/>
      <c r="P146" s="69"/>
      <c r="Q146" s="1"/>
      <c r="R146" s="1"/>
      <c r="S146" s="1"/>
      <c r="T146" s="1"/>
      <c r="U146" s="1"/>
      <c r="V146" s="1"/>
      <c r="W146" s="1"/>
      <c r="X146" s="44"/>
    </row>
    <row r="147">
      <c r="F147" s="67"/>
      <c r="G147" s="1"/>
      <c r="H147" s="1"/>
      <c r="I147" s="1"/>
      <c r="J147" s="1"/>
      <c r="K147" s="1"/>
      <c r="L147" s="1"/>
      <c r="M147" s="45"/>
      <c r="N147" s="45"/>
      <c r="O147" s="45"/>
      <c r="P147" s="69"/>
      <c r="Q147" s="1"/>
      <c r="R147" s="1"/>
      <c r="S147" s="1"/>
      <c r="T147" s="1"/>
      <c r="U147" s="1"/>
      <c r="V147" s="1"/>
      <c r="W147" s="1"/>
      <c r="X147" s="44"/>
    </row>
    <row r="148">
      <c r="F148" s="67"/>
      <c r="G148" s="1"/>
      <c r="H148" s="1"/>
      <c r="I148" s="1"/>
      <c r="J148" s="1"/>
      <c r="K148" s="1"/>
      <c r="L148" s="1"/>
      <c r="M148" s="45"/>
      <c r="N148" s="45"/>
      <c r="O148" s="45"/>
      <c r="P148" s="69"/>
      <c r="Q148" s="1"/>
      <c r="R148" s="1"/>
      <c r="S148" s="1"/>
      <c r="T148" s="1"/>
      <c r="U148" s="1"/>
      <c r="V148" s="1"/>
      <c r="W148" s="1"/>
      <c r="X148" s="44"/>
    </row>
    <row r="149">
      <c r="F149" s="67"/>
      <c r="G149" s="1"/>
      <c r="H149" s="1"/>
      <c r="I149" s="1"/>
      <c r="J149" s="1"/>
      <c r="K149" s="1"/>
      <c r="L149" s="1"/>
      <c r="M149" s="45"/>
      <c r="N149" s="45"/>
      <c r="O149" s="45"/>
      <c r="P149" s="69"/>
      <c r="Q149" s="1"/>
      <c r="R149" s="1"/>
      <c r="S149" s="1"/>
      <c r="T149" s="1"/>
      <c r="U149" s="1"/>
      <c r="V149" s="1"/>
      <c r="W149" s="1"/>
      <c r="X149" s="44"/>
    </row>
    <row r="150">
      <c r="F150" s="67"/>
      <c r="G150" s="1"/>
      <c r="H150" s="1"/>
      <c r="I150" s="1"/>
      <c r="J150" s="1"/>
      <c r="K150" s="1"/>
      <c r="L150" s="1"/>
      <c r="M150" s="45"/>
      <c r="N150" s="45"/>
      <c r="O150" s="45"/>
      <c r="P150" s="69"/>
      <c r="Q150" s="1"/>
      <c r="R150" s="1"/>
      <c r="S150" s="1"/>
      <c r="T150" s="1"/>
      <c r="U150" s="1"/>
      <c r="V150" s="1"/>
      <c r="W150" s="1"/>
      <c r="X150" s="44"/>
    </row>
    <row r="151">
      <c r="F151" s="67"/>
      <c r="G151" s="1"/>
      <c r="H151" s="1"/>
      <c r="I151" s="1"/>
      <c r="J151" s="1"/>
      <c r="K151" s="1"/>
      <c r="L151" s="1"/>
      <c r="M151" s="45"/>
      <c r="N151" s="45"/>
      <c r="O151" s="45"/>
      <c r="P151" s="69"/>
      <c r="Q151" s="1"/>
      <c r="R151" s="1"/>
      <c r="S151" s="1"/>
      <c r="T151" s="1"/>
      <c r="U151" s="1"/>
      <c r="V151" s="1"/>
      <c r="W151" s="1"/>
      <c r="X151" s="44"/>
    </row>
    <row r="152">
      <c r="F152" s="67"/>
      <c r="G152" s="1"/>
      <c r="H152" s="1"/>
      <c r="I152" s="1"/>
      <c r="J152" s="1"/>
      <c r="K152" s="1"/>
      <c r="L152" s="1"/>
      <c r="M152" s="45"/>
      <c r="N152" s="45"/>
      <c r="O152" s="45"/>
      <c r="P152" s="69"/>
      <c r="Q152" s="1"/>
      <c r="R152" s="1"/>
      <c r="S152" s="1"/>
      <c r="T152" s="1"/>
      <c r="U152" s="1"/>
      <c r="V152" s="1"/>
      <c r="W152" s="1"/>
      <c r="X152" s="44"/>
    </row>
    <row r="153">
      <c r="F153" s="67"/>
      <c r="G153" s="1"/>
      <c r="H153" s="1"/>
      <c r="I153" s="1"/>
      <c r="J153" s="1"/>
      <c r="K153" s="1"/>
      <c r="L153" s="1"/>
      <c r="M153" s="45"/>
      <c r="N153" s="45"/>
      <c r="O153" s="45"/>
      <c r="P153" s="69"/>
      <c r="Q153" s="1"/>
      <c r="R153" s="1"/>
      <c r="S153" s="1"/>
      <c r="T153" s="1"/>
      <c r="U153" s="1"/>
      <c r="V153" s="1"/>
      <c r="W153" s="1"/>
      <c r="X153" s="44"/>
    </row>
    <row r="154">
      <c r="F154" s="67"/>
      <c r="G154" s="1"/>
      <c r="H154" s="1"/>
      <c r="I154" s="1"/>
      <c r="J154" s="1"/>
      <c r="K154" s="1"/>
      <c r="L154" s="1"/>
      <c r="M154" s="45"/>
      <c r="N154" s="45"/>
      <c r="O154" s="45"/>
      <c r="P154" s="69"/>
      <c r="Q154" s="1"/>
      <c r="R154" s="1"/>
      <c r="S154" s="1"/>
      <c r="T154" s="1"/>
      <c r="U154" s="1"/>
      <c r="V154" s="1"/>
      <c r="W154" s="1"/>
      <c r="X154" s="44"/>
    </row>
    <row r="155">
      <c r="F155" s="67"/>
      <c r="G155" s="1"/>
      <c r="H155" s="1"/>
      <c r="I155" s="1"/>
      <c r="J155" s="1"/>
      <c r="K155" s="1"/>
      <c r="L155" s="1"/>
      <c r="M155" s="45"/>
      <c r="N155" s="45"/>
      <c r="O155" s="45"/>
      <c r="P155" s="69"/>
      <c r="Q155" s="1"/>
      <c r="R155" s="1"/>
      <c r="S155" s="1"/>
      <c r="T155" s="1"/>
      <c r="U155" s="1"/>
      <c r="V155" s="1"/>
      <c r="W155" s="1"/>
      <c r="X155" s="44"/>
    </row>
    <row r="156">
      <c r="F156" s="67"/>
      <c r="G156" s="1"/>
      <c r="H156" s="1"/>
      <c r="I156" s="1"/>
      <c r="J156" s="1"/>
      <c r="K156" s="1"/>
      <c r="L156" s="1"/>
      <c r="M156" s="45"/>
      <c r="N156" s="45"/>
      <c r="O156" s="45"/>
      <c r="P156" s="69"/>
      <c r="Q156" s="1"/>
      <c r="R156" s="1"/>
      <c r="S156" s="1"/>
      <c r="T156" s="1"/>
      <c r="U156" s="1"/>
      <c r="V156" s="1"/>
      <c r="W156" s="1"/>
      <c r="X156" s="44"/>
    </row>
    <row r="157">
      <c r="F157" s="67"/>
      <c r="G157" s="1"/>
      <c r="H157" s="1"/>
      <c r="I157" s="1"/>
      <c r="J157" s="1"/>
      <c r="K157" s="1"/>
      <c r="L157" s="1"/>
      <c r="M157" s="45"/>
      <c r="N157" s="45"/>
      <c r="O157" s="45"/>
      <c r="P157" s="69"/>
      <c r="Q157" s="1"/>
      <c r="R157" s="1"/>
      <c r="S157" s="1"/>
      <c r="T157" s="1"/>
      <c r="U157" s="1"/>
      <c r="V157" s="1"/>
      <c r="W157" s="1"/>
      <c r="X157" s="44"/>
    </row>
    <row r="158">
      <c r="F158" s="67"/>
      <c r="G158" s="1"/>
      <c r="H158" s="1"/>
      <c r="I158" s="1"/>
      <c r="J158" s="1"/>
      <c r="K158" s="1"/>
      <c r="L158" s="1"/>
      <c r="M158" s="45"/>
      <c r="N158" s="45"/>
      <c r="O158" s="45"/>
      <c r="P158" s="69"/>
      <c r="Q158" s="1"/>
      <c r="R158" s="1"/>
      <c r="S158" s="1"/>
      <c r="T158" s="1"/>
      <c r="U158" s="1"/>
      <c r="V158" s="1"/>
      <c r="W158" s="1"/>
      <c r="X158" s="44"/>
    </row>
    <row r="159">
      <c r="F159" s="67"/>
      <c r="G159" s="1"/>
      <c r="H159" s="1"/>
      <c r="I159" s="1"/>
      <c r="J159" s="1"/>
      <c r="K159" s="1"/>
      <c r="L159" s="1"/>
      <c r="M159" s="45"/>
      <c r="N159" s="45"/>
      <c r="O159" s="45"/>
      <c r="P159" s="69"/>
      <c r="Q159" s="1"/>
      <c r="R159" s="1"/>
      <c r="S159" s="1"/>
      <c r="T159" s="1"/>
      <c r="U159" s="1"/>
      <c r="V159" s="1"/>
      <c r="W159" s="1"/>
      <c r="X159" s="44"/>
    </row>
    <row r="160">
      <c r="F160" s="67"/>
      <c r="G160" s="1"/>
      <c r="H160" s="1"/>
      <c r="I160" s="1"/>
      <c r="J160" s="1"/>
      <c r="K160" s="1"/>
      <c r="L160" s="1"/>
      <c r="M160" s="45"/>
      <c r="N160" s="45"/>
      <c r="O160" s="45"/>
      <c r="P160" s="69"/>
      <c r="Q160" s="1"/>
      <c r="R160" s="1"/>
      <c r="S160" s="1"/>
      <c r="T160" s="1"/>
      <c r="U160" s="1"/>
      <c r="V160" s="1"/>
      <c r="W160" s="1"/>
      <c r="X160" s="44"/>
    </row>
    <row r="161">
      <c r="F161" s="67"/>
      <c r="G161" s="1"/>
      <c r="H161" s="1"/>
      <c r="I161" s="1"/>
      <c r="J161" s="1"/>
      <c r="K161" s="1"/>
      <c r="L161" s="1"/>
      <c r="M161" s="45"/>
      <c r="N161" s="45"/>
      <c r="O161" s="45"/>
      <c r="P161" s="69"/>
      <c r="Q161" s="1"/>
      <c r="R161" s="1"/>
      <c r="S161" s="1"/>
      <c r="T161" s="1"/>
      <c r="U161" s="1"/>
      <c r="V161" s="1"/>
      <c r="W161" s="1"/>
      <c r="X161" s="44"/>
    </row>
    <row r="162">
      <c r="F162" s="67"/>
      <c r="G162" s="1"/>
      <c r="H162" s="1"/>
      <c r="I162" s="1"/>
      <c r="J162" s="1"/>
      <c r="K162" s="1"/>
      <c r="L162" s="1"/>
      <c r="M162" s="45"/>
      <c r="N162" s="45"/>
      <c r="O162" s="45"/>
      <c r="P162" s="69"/>
      <c r="Q162" s="1"/>
      <c r="R162" s="1"/>
      <c r="S162" s="1"/>
      <c r="T162" s="1"/>
      <c r="U162" s="1"/>
      <c r="V162" s="1"/>
      <c r="W162" s="1"/>
      <c r="X162" s="44"/>
    </row>
    <row r="163">
      <c r="F163" s="67"/>
      <c r="G163" s="1"/>
      <c r="H163" s="1"/>
      <c r="I163" s="1"/>
      <c r="J163" s="1"/>
      <c r="K163" s="1"/>
      <c r="L163" s="1"/>
      <c r="M163" s="45"/>
      <c r="N163" s="45"/>
      <c r="O163" s="45"/>
      <c r="P163" s="69"/>
      <c r="Q163" s="1"/>
      <c r="R163" s="1"/>
      <c r="S163" s="1"/>
      <c r="T163" s="1"/>
      <c r="U163" s="1"/>
      <c r="V163" s="1"/>
      <c r="W163" s="1"/>
      <c r="X163" s="44"/>
    </row>
    <row r="164">
      <c r="F164" s="67"/>
      <c r="G164" s="1"/>
      <c r="H164" s="1"/>
      <c r="I164" s="1"/>
      <c r="J164" s="1"/>
      <c r="K164" s="1"/>
      <c r="L164" s="1"/>
      <c r="M164" s="45"/>
      <c r="N164" s="45"/>
      <c r="O164" s="45"/>
      <c r="P164" s="69"/>
      <c r="Q164" s="1"/>
      <c r="R164" s="1"/>
      <c r="S164" s="1"/>
      <c r="T164" s="1"/>
      <c r="U164" s="1"/>
      <c r="V164" s="1"/>
      <c r="W164" s="1"/>
      <c r="X164" s="44"/>
    </row>
    <row r="165">
      <c r="F165" s="67"/>
      <c r="G165" s="1"/>
      <c r="H165" s="1"/>
      <c r="I165" s="1"/>
      <c r="J165" s="1"/>
      <c r="K165" s="1"/>
      <c r="L165" s="1"/>
      <c r="M165" s="45"/>
      <c r="N165" s="45"/>
      <c r="O165" s="45"/>
      <c r="P165" s="69"/>
      <c r="Q165" s="1"/>
      <c r="R165" s="1"/>
      <c r="S165" s="1"/>
      <c r="T165" s="1"/>
      <c r="U165" s="1"/>
      <c r="V165" s="1"/>
      <c r="W165" s="1"/>
      <c r="X165" s="44"/>
    </row>
    <row r="166">
      <c r="F166" s="67"/>
      <c r="G166" s="1"/>
      <c r="H166" s="1"/>
      <c r="I166" s="1"/>
      <c r="J166" s="1"/>
      <c r="K166" s="1"/>
      <c r="L166" s="1"/>
      <c r="M166" s="45"/>
      <c r="N166" s="45"/>
      <c r="O166" s="45"/>
      <c r="P166" s="69"/>
      <c r="Q166" s="1"/>
      <c r="R166" s="1"/>
      <c r="S166" s="1"/>
      <c r="T166" s="1"/>
      <c r="U166" s="1"/>
      <c r="V166" s="1"/>
      <c r="W166" s="1"/>
      <c r="X166" s="44"/>
    </row>
    <row r="167">
      <c r="F167" s="67"/>
      <c r="G167" s="1"/>
      <c r="H167" s="1"/>
      <c r="I167" s="1"/>
      <c r="J167" s="1"/>
      <c r="K167" s="1"/>
      <c r="L167" s="1"/>
      <c r="M167" s="45"/>
      <c r="N167" s="45"/>
      <c r="O167" s="45"/>
      <c r="P167" s="69"/>
      <c r="Q167" s="1"/>
      <c r="R167" s="1"/>
      <c r="S167" s="1"/>
      <c r="T167" s="1"/>
      <c r="U167" s="1"/>
      <c r="V167" s="1"/>
      <c r="W167" s="1"/>
      <c r="X167" s="44"/>
    </row>
    <row r="168">
      <c r="F168" s="67"/>
      <c r="G168" s="1"/>
      <c r="H168" s="1"/>
      <c r="I168" s="1"/>
      <c r="J168" s="1"/>
      <c r="K168" s="1"/>
      <c r="L168" s="1"/>
      <c r="M168" s="45"/>
      <c r="N168" s="45"/>
      <c r="O168" s="45"/>
      <c r="P168" s="69"/>
      <c r="Q168" s="1"/>
      <c r="R168" s="1"/>
      <c r="S168" s="1"/>
      <c r="T168" s="1"/>
      <c r="U168" s="1"/>
      <c r="V168" s="1"/>
      <c r="W168" s="1"/>
      <c r="X168" s="44"/>
    </row>
    <row r="169">
      <c r="F169" s="67"/>
      <c r="G169" s="1"/>
      <c r="H169" s="1"/>
      <c r="I169" s="1"/>
      <c r="J169" s="1"/>
      <c r="K169" s="1"/>
      <c r="L169" s="1"/>
      <c r="M169" s="45"/>
      <c r="N169" s="45"/>
      <c r="O169" s="45"/>
      <c r="P169" s="69"/>
      <c r="Q169" s="1"/>
      <c r="R169" s="1"/>
      <c r="S169" s="1"/>
      <c r="T169" s="1"/>
      <c r="U169" s="1"/>
      <c r="V169" s="1"/>
      <c r="W169" s="1"/>
      <c r="X169" s="44"/>
    </row>
    <row r="170">
      <c r="F170" s="67"/>
      <c r="G170" s="1"/>
      <c r="H170" s="1"/>
      <c r="I170" s="1"/>
      <c r="J170" s="1"/>
      <c r="K170" s="1"/>
      <c r="L170" s="1"/>
      <c r="M170" s="45"/>
      <c r="N170" s="45"/>
      <c r="O170" s="45"/>
      <c r="P170" s="69"/>
      <c r="Q170" s="1"/>
      <c r="R170" s="1"/>
      <c r="S170" s="1"/>
      <c r="T170" s="1"/>
      <c r="U170" s="1"/>
      <c r="V170" s="1"/>
      <c r="W170" s="1"/>
      <c r="X170" s="44"/>
    </row>
    <row r="171">
      <c r="F171" s="67"/>
      <c r="G171" s="1"/>
      <c r="H171" s="1"/>
      <c r="I171" s="1"/>
      <c r="J171" s="1"/>
      <c r="K171" s="1"/>
      <c r="L171" s="1"/>
      <c r="M171" s="45"/>
      <c r="N171" s="45"/>
      <c r="O171" s="45"/>
      <c r="P171" s="69"/>
      <c r="Q171" s="1"/>
      <c r="R171" s="1"/>
      <c r="S171" s="1"/>
      <c r="T171" s="1"/>
      <c r="U171" s="1"/>
      <c r="V171" s="1"/>
      <c r="W171" s="1"/>
      <c r="X171" s="44"/>
    </row>
    <row r="172">
      <c r="F172" s="67"/>
      <c r="G172" s="1"/>
      <c r="H172" s="1"/>
      <c r="I172" s="1"/>
      <c r="J172" s="1"/>
      <c r="K172" s="1"/>
      <c r="L172" s="1"/>
      <c r="M172" s="45"/>
      <c r="N172" s="45"/>
      <c r="O172" s="45"/>
      <c r="P172" s="69"/>
      <c r="Q172" s="1"/>
      <c r="R172" s="1"/>
      <c r="S172" s="1"/>
      <c r="T172" s="1"/>
      <c r="U172" s="1"/>
      <c r="V172" s="1"/>
      <c r="W172" s="1"/>
      <c r="X172" s="44"/>
    </row>
    <row r="173">
      <c r="F173" s="67"/>
      <c r="G173" s="1"/>
      <c r="H173" s="1"/>
      <c r="I173" s="1"/>
      <c r="J173" s="1"/>
      <c r="K173" s="1"/>
      <c r="L173" s="1"/>
      <c r="M173" s="45"/>
      <c r="N173" s="45"/>
      <c r="O173" s="45"/>
      <c r="P173" s="69"/>
      <c r="Q173" s="1"/>
      <c r="R173" s="1"/>
      <c r="S173" s="1"/>
      <c r="T173" s="1"/>
      <c r="U173" s="1"/>
      <c r="V173" s="1"/>
      <c r="W173" s="1"/>
      <c r="X173" s="44"/>
    </row>
    <row r="174">
      <c r="F174" s="67"/>
      <c r="G174" s="1"/>
      <c r="H174" s="1"/>
      <c r="I174" s="1"/>
      <c r="J174" s="1"/>
      <c r="K174" s="1"/>
      <c r="L174" s="1"/>
      <c r="M174" s="45"/>
      <c r="N174" s="45"/>
      <c r="O174" s="45"/>
      <c r="P174" s="69"/>
      <c r="Q174" s="1"/>
      <c r="R174" s="1"/>
      <c r="S174" s="1"/>
      <c r="T174" s="1"/>
      <c r="U174" s="1"/>
      <c r="V174" s="1"/>
      <c r="W174" s="1"/>
      <c r="X174" s="44"/>
    </row>
    <row r="175">
      <c r="F175" s="67"/>
      <c r="G175" s="1"/>
      <c r="H175" s="1"/>
      <c r="I175" s="1"/>
      <c r="J175" s="1"/>
      <c r="K175" s="1"/>
      <c r="L175" s="1"/>
      <c r="M175" s="45"/>
      <c r="N175" s="45"/>
      <c r="O175" s="45"/>
      <c r="P175" s="69"/>
      <c r="Q175" s="1"/>
      <c r="R175" s="1"/>
      <c r="S175" s="1"/>
      <c r="T175" s="1"/>
      <c r="U175" s="1"/>
      <c r="V175" s="1"/>
      <c r="W175" s="1"/>
      <c r="X175" s="44"/>
    </row>
    <row r="176">
      <c r="F176" s="67"/>
      <c r="G176" s="1"/>
      <c r="H176" s="1"/>
      <c r="I176" s="1"/>
      <c r="J176" s="1"/>
      <c r="K176" s="1"/>
      <c r="L176" s="1"/>
      <c r="M176" s="45"/>
      <c r="N176" s="45"/>
      <c r="O176" s="45"/>
      <c r="P176" s="69"/>
      <c r="Q176" s="1"/>
      <c r="R176" s="1"/>
      <c r="S176" s="1"/>
      <c r="T176" s="1"/>
      <c r="U176" s="1"/>
      <c r="V176" s="1"/>
      <c r="W176" s="1"/>
      <c r="X176" s="44"/>
    </row>
    <row r="177">
      <c r="F177" s="67"/>
      <c r="G177" s="1"/>
      <c r="H177" s="1"/>
      <c r="I177" s="1"/>
      <c r="J177" s="1"/>
      <c r="K177" s="1"/>
      <c r="L177" s="1"/>
      <c r="M177" s="45"/>
      <c r="N177" s="45"/>
      <c r="O177" s="45"/>
      <c r="P177" s="69"/>
      <c r="Q177" s="1"/>
      <c r="R177" s="1"/>
      <c r="S177" s="1"/>
      <c r="T177" s="1"/>
      <c r="U177" s="1"/>
      <c r="V177" s="1"/>
      <c r="W177" s="1"/>
      <c r="X177" s="44"/>
    </row>
    <row r="178">
      <c r="F178" s="67"/>
      <c r="G178" s="1"/>
      <c r="H178" s="1"/>
      <c r="I178" s="1"/>
      <c r="J178" s="1"/>
      <c r="K178" s="1"/>
      <c r="L178" s="1"/>
      <c r="M178" s="45"/>
      <c r="N178" s="45"/>
      <c r="O178" s="45"/>
      <c r="P178" s="69"/>
      <c r="Q178" s="1"/>
      <c r="R178" s="1"/>
      <c r="S178" s="1"/>
      <c r="T178" s="1"/>
      <c r="U178" s="1"/>
      <c r="V178" s="1"/>
      <c r="W178" s="1"/>
      <c r="X178" s="44"/>
    </row>
    <row r="179">
      <c r="F179" s="67"/>
      <c r="G179" s="1"/>
      <c r="H179" s="1"/>
      <c r="I179" s="1"/>
      <c r="J179" s="1"/>
      <c r="K179" s="1"/>
      <c r="L179" s="1"/>
      <c r="M179" s="45"/>
      <c r="N179" s="45"/>
      <c r="O179" s="45"/>
      <c r="P179" s="69"/>
      <c r="Q179" s="1"/>
      <c r="R179" s="1"/>
      <c r="S179" s="1"/>
      <c r="T179" s="1"/>
      <c r="U179" s="1"/>
      <c r="V179" s="1"/>
      <c r="W179" s="1"/>
      <c r="X179" s="44"/>
    </row>
    <row r="180">
      <c r="F180" s="67"/>
      <c r="G180" s="1"/>
      <c r="H180" s="1"/>
      <c r="I180" s="1"/>
      <c r="J180" s="1"/>
      <c r="K180" s="1"/>
      <c r="L180" s="1"/>
      <c r="M180" s="45"/>
      <c r="N180" s="45"/>
      <c r="O180" s="45"/>
      <c r="P180" s="69"/>
      <c r="Q180" s="1"/>
      <c r="R180" s="1"/>
      <c r="S180" s="1"/>
      <c r="T180" s="1"/>
      <c r="U180" s="1"/>
      <c r="V180" s="1"/>
      <c r="W180" s="1"/>
      <c r="X180" s="44"/>
    </row>
    <row r="181">
      <c r="F181" s="67"/>
      <c r="G181" s="1"/>
      <c r="H181" s="1"/>
      <c r="I181" s="1"/>
      <c r="J181" s="1"/>
      <c r="K181" s="1"/>
      <c r="L181" s="1"/>
      <c r="M181" s="45"/>
      <c r="N181" s="45"/>
      <c r="O181" s="45"/>
      <c r="P181" s="69"/>
      <c r="Q181" s="1"/>
      <c r="R181" s="1"/>
      <c r="S181" s="1"/>
      <c r="T181" s="1"/>
      <c r="U181" s="1"/>
      <c r="V181" s="1"/>
      <c r="W181" s="1"/>
      <c r="X181" s="44"/>
    </row>
    <row r="182">
      <c r="F182" s="67"/>
      <c r="G182" s="1"/>
      <c r="H182" s="1"/>
      <c r="I182" s="1"/>
      <c r="J182" s="1"/>
      <c r="K182" s="1"/>
      <c r="L182" s="1"/>
      <c r="M182" s="45"/>
      <c r="N182" s="45"/>
      <c r="O182" s="45"/>
      <c r="P182" s="69"/>
      <c r="Q182" s="1"/>
      <c r="R182" s="1"/>
      <c r="S182" s="1"/>
      <c r="T182" s="1"/>
      <c r="U182" s="1"/>
      <c r="V182" s="1"/>
      <c r="W182" s="1"/>
      <c r="X182" s="44"/>
    </row>
    <row r="183">
      <c r="F183" s="67"/>
      <c r="G183" s="1"/>
      <c r="H183" s="1"/>
      <c r="I183" s="1"/>
      <c r="J183" s="1"/>
      <c r="K183" s="1"/>
      <c r="L183" s="1"/>
      <c r="M183" s="45"/>
      <c r="N183" s="45"/>
      <c r="O183" s="45"/>
      <c r="P183" s="69"/>
      <c r="Q183" s="1"/>
      <c r="R183" s="1"/>
      <c r="S183" s="1"/>
      <c r="T183" s="1"/>
      <c r="U183" s="1"/>
      <c r="V183" s="1"/>
      <c r="W183" s="1"/>
      <c r="X183" s="44"/>
    </row>
    <row r="184">
      <c r="F184" s="67"/>
      <c r="G184" s="1"/>
      <c r="H184" s="1"/>
      <c r="I184" s="1"/>
      <c r="J184" s="1"/>
      <c r="K184" s="1"/>
      <c r="L184" s="1"/>
      <c r="M184" s="45"/>
      <c r="N184" s="45"/>
      <c r="O184" s="45"/>
      <c r="P184" s="69"/>
      <c r="Q184" s="1"/>
      <c r="R184" s="1"/>
      <c r="S184" s="1"/>
      <c r="T184" s="1"/>
      <c r="U184" s="1"/>
      <c r="V184" s="1"/>
      <c r="W184" s="1"/>
      <c r="X184" s="44"/>
    </row>
    <row r="185">
      <c r="F185" s="67"/>
      <c r="G185" s="1"/>
      <c r="H185" s="1"/>
      <c r="I185" s="1"/>
      <c r="J185" s="1"/>
      <c r="K185" s="1"/>
      <c r="L185" s="1"/>
      <c r="M185" s="45"/>
      <c r="N185" s="45"/>
      <c r="O185" s="45"/>
      <c r="P185" s="69"/>
      <c r="Q185" s="1"/>
      <c r="R185" s="1"/>
      <c r="S185" s="1"/>
      <c r="T185" s="1"/>
      <c r="U185" s="1"/>
      <c r="V185" s="1"/>
      <c r="W185" s="1"/>
      <c r="X185" s="44"/>
    </row>
    <row r="186">
      <c r="F186" s="67"/>
      <c r="G186" s="1"/>
      <c r="H186" s="1"/>
      <c r="I186" s="1"/>
      <c r="J186" s="1"/>
      <c r="K186" s="1"/>
      <c r="L186" s="1"/>
      <c r="M186" s="45"/>
      <c r="N186" s="45"/>
      <c r="O186" s="45"/>
      <c r="P186" s="69"/>
      <c r="Q186" s="1"/>
      <c r="R186" s="1"/>
      <c r="S186" s="1"/>
      <c r="T186" s="1"/>
      <c r="U186" s="1"/>
      <c r="V186" s="1"/>
      <c r="W186" s="1"/>
      <c r="X186" s="44"/>
    </row>
    <row r="187">
      <c r="F187" s="67"/>
      <c r="G187" s="1"/>
      <c r="H187" s="1"/>
      <c r="I187" s="1"/>
      <c r="J187" s="1"/>
      <c r="K187" s="1"/>
      <c r="L187" s="1"/>
      <c r="M187" s="45"/>
      <c r="N187" s="45"/>
      <c r="O187" s="45"/>
      <c r="P187" s="69"/>
      <c r="Q187" s="1"/>
      <c r="R187" s="1"/>
      <c r="S187" s="1"/>
      <c r="T187" s="1"/>
      <c r="U187" s="1"/>
      <c r="V187" s="1"/>
      <c r="W187" s="1"/>
      <c r="X187" s="44"/>
    </row>
    <row r="188">
      <c r="F188" s="67"/>
      <c r="G188" s="1"/>
      <c r="H188" s="1"/>
      <c r="I188" s="1"/>
      <c r="J188" s="1"/>
      <c r="K188" s="1"/>
      <c r="L188" s="1"/>
      <c r="M188" s="45"/>
      <c r="N188" s="45"/>
      <c r="O188" s="45"/>
      <c r="P188" s="69"/>
      <c r="Q188" s="1"/>
      <c r="R188" s="1"/>
      <c r="S188" s="1"/>
      <c r="T188" s="1"/>
      <c r="U188" s="1"/>
      <c r="V188" s="1"/>
      <c r="W188" s="1"/>
      <c r="X188" s="44"/>
    </row>
    <row r="189">
      <c r="F189" s="67"/>
      <c r="G189" s="1"/>
      <c r="H189" s="1"/>
      <c r="I189" s="1"/>
      <c r="J189" s="1"/>
      <c r="K189" s="1"/>
      <c r="L189" s="1"/>
      <c r="M189" s="45"/>
      <c r="N189" s="45"/>
      <c r="O189" s="45"/>
      <c r="P189" s="69"/>
      <c r="Q189" s="1"/>
      <c r="R189" s="1"/>
      <c r="S189" s="1"/>
      <c r="T189" s="1"/>
      <c r="U189" s="1"/>
      <c r="V189" s="1"/>
      <c r="W189" s="1"/>
      <c r="X189" s="44"/>
    </row>
    <row r="190">
      <c r="F190" s="67"/>
      <c r="G190" s="1"/>
      <c r="H190" s="1"/>
      <c r="I190" s="1"/>
      <c r="J190" s="1"/>
      <c r="K190" s="1"/>
      <c r="L190" s="1"/>
      <c r="M190" s="45"/>
      <c r="N190" s="45"/>
      <c r="O190" s="45"/>
      <c r="P190" s="69"/>
      <c r="Q190" s="1"/>
      <c r="R190" s="1"/>
      <c r="S190" s="1"/>
      <c r="T190" s="1"/>
      <c r="U190" s="1"/>
      <c r="V190" s="1"/>
      <c r="W190" s="1"/>
      <c r="X190" s="44"/>
    </row>
    <row r="191">
      <c r="F191" s="67"/>
      <c r="G191" s="1"/>
      <c r="H191" s="1"/>
      <c r="I191" s="1"/>
      <c r="J191" s="1"/>
      <c r="K191" s="1"/>
      <c r="L191" s="1"/>
      <c r="M191" s="45"/>
      <c r="N191" s="45"/>
      <c r="O191" s="45"/>
      <c r="P191" s="69"/>
      <c r="Q191" s="1"/>
      <c r="R191" s="1"/>
      <c r="S191" s="1"/>
      <c r="T191" s="1"/>
      <c r="U191" s="1"/>
      <c r="V191" s="1"/>
      <c r="W191" s="1"/>
      <c r="X191" s="44"/>
    </row>
    <row r="192">
      <c r="F192" s="67"/>
      <c r="G192" s="1"/>
      <c r="H192" s="1"/>
      <c r="I192" s="1"/>
      <c r="J192" s="1"/>
      <c r="K192" s="1"/>
      <c r="L192" s="1"/>
      <c r="M192" s="45"/>
      <c r="N192" s="45"/>
      <c r="O192" s="45"/>
      <c r="P192" s="69"/>
      <c r="Q192" s="1"/>
      <c r="R192" s="1"/>
      <c r="S192" s="1"/>
      <c r="T192" s="1"/>
      <c r="U192" s="1"/>
      <c r="V192" s="1"/>
      <c r="W192" s="1"/>
      <c r="X192" s="44"/>
    </row>
    <row r="193">
      <c r="F193" s="67"/>
      <c r="G193" s="1"/>
      <c r="H193" s="1"/>
      <c r="I193" s="1"/>
      <c r="J193" s="1"/>
      <c r="K193" s="1"/>
      <c r="L193" s="1"/>
      <c r="M193" s="45"/>
      <c r="N193" s="45"/>
      <c r="O193" s="45"/>
      <c r="P193" s="69"/>
      <c r="Q193" s="1"/>
      <c r="R193" s="1"/>
      <c r="S193" s="1"/>
      <c r="T193" s="1"/>
      <c r="U193" s="1"/>
      <c r="V193" s="1"/>
      <c r="W193" s="1"/>
      <c r="X193" s="44"/>
    </row>
    <row r="194">
      <c r="F194" s="67"/>
      <c r="G194" s="1"/>
      <c r="H194" s="1"/>
      <c r="I194" s="1"/>
      <c r="J194" s="1"/>
      <c r="K194" s="1"/>
      <c r="L194" s="1"/>
      <c r="M194" s="45"/>
      <c r="N194" s="45"/>
      <c r="O194" s="45"/>
      <c r="P194" s="69"/>
      <c r="Q194" s="1"/>
      <c r="R194" s="1"/>
      <c r="S194" s="1"/>
      <c r="T194" s="1"/>
      <c r="U194" s="1"/>
      <c r="V194" s="1"/>
      <c r="W194" s="1"/>
      <c r="X194" s="44"/>
    </row>
    <row r="195">
      <c r="F195" s="67"/>
      <c r="G195" s="1"/>
      <c r="H195" s="1"/>
      <c r="I195" s="1"/>
      <c r="J195" s="1"/>
      <c r="K195" s="1"/>
      <c r="L195" s="1"/>
      <c r="M195" s="45"/>
      <c r="N195" s="45"/>
      <c r="O195" s="45"/>
      <c r="P195" s="69"/>
      <c r="Q195" s="1"/>
      <c r="R195" s="1"/>
      <c r="S195" s="1"/>
      <c r="T195" s="1"/>
      <c r="U195" s="1"/>
      <c r="V195" s="1"/>
      <c r="W195" s="1"/>
      <c r="X195" s="44"/>
    </row>
    <row r="196">
      <c r="F196" s="67"/>
      <c r="G196" s="1"/>
      <c r="H196" s="1"/>
      <c r="I196" s="1"/>
      <c r="J196" s="1"/>
      <c r="K196" s="1"/>
      <c r="L196" s="1"/>
      <c r="M196" s="45"/>
      <c r="N196" s="45"/>
      <c r="O196" s="45"/>
      <c r="P196" s="69"/>
      <c r="Q196" s="1"/>
      <c r="R196" s="1"/>
      <c r="S196" s="1"/>
      <c r="T196" s="1"/>
      <c r="U196" s="1"/>
      <c r="V196" s="1"/>
      <c r="W196" s="1"/>
      <c r="X196" s="44"/>
    </row>
    <row r="197">
      <c r="F197" s="67"/>
      <c r="G197" s="1"/>
      <c r="H197" s="1"/>
      <c r="I197" s="1"/>
      <c r="J197" s="1"/>
      <c r="K197" s="1"/>
      <c r="L197" s="1"/>
      <c r="M197" s="45"/>
      <c r="N197" s="45"/>
      <c r="O197" s="45"/>
      <c r="P197" s="69"/>
      <c r="Q197" s="1"/>
      <c r="R197" s="1"/>
      <c r="S197" s="1"/>
      <c r="T197" s="1"/>
      <c r="U197" s="1"/>
      <c r="V197" s="1"/>
      <c r="W197" s="1"/>
      <c r="X197" s="44"/>
    </row>
    <row r="198">
      <c r="F198" s="67"/>
      <c r="G198" s="1"/>
      <c r="H198" s="1"/>
      <c r="I198" s="1"/>
      <c r="J198" s="1"/>
      <c r="K198" s="1"/>
      <c r="L198" s="1"/>
      <c r="M198" s="45"/>
      <c r="N198" s="45"/>
      <c r="O198" s="45"/>
      <c r="P198" s="69"/>
      <c r="Q198" s="1"/>
      <c r="R198" s="1"/>
      <c r="S198" s="1"/>
      <c r="T198" s="1"/>
      <c r="U198" s="1"/>
      <c r="V198" s="1"/>
      <c r="W198" s="1"/>
      <c r="X198" s="44"/>
    </row>
    <row r="199">
      <c r="F199" s="67"/>
      <c r="G199" s="1"/>
      <c r="H199" s="1"/>
      <c r="I199" s="1"/>
      <c r="J199" s="1"/>
      <c r="K199" s="1"/>
      <c r="L199" s="1"/>
      <c r="M199" s="45"/>
      <c r="N199" s="45"/>
      <c r="O199" s="45"/>
      <c r="P199" s="69"/>
      <c r="Q199" s="1"/>
      <c r="R199" s="1"/>
      <c r="S199" s="1"/>
      <c r="T199" s="1"/>
      <c r="U199" s="1"/>
      <c r="V199" s="1"/>
      <c r="W199" s="1"/>
      <c r="X199" s="44"/>
    </row>
    <row r="200">
      <c r="F200" s="67"/>
      <c r="G200" s="1"/>
      <c r="H200" s="1"/>
      <c r="I200" s="1"/>
      <c r="J200" s="1"/>
      <c r="K200" s="1"/>
      <c r="L200" s="1"/>
      <c r="M200" s="45"/>
      <c r="N200" s="45"/>
      <c r="O200" s="45"/>
      <c r="P200" s="69"/>
      <c r="Q200" s="1"/>
      <c r="R200" s="1"/>
      <c r="S200" s="1"/>
      <c r="T200" s="1"/>
      <c r="U200" s="1"/>
      <c r="V200" s="1"/>
      <c r="W200" s="1"/>
      <c r="X200" s="44"/>
    </row>
    <row r="201">
      <c r="F201" s="67"/>
      <c r="G201" s="1"/>
      <c r="H201" s="1"/>
      <c r="I201" s="1"/>
      <c r="J201" s="1"/>
      <c r="K201" s="1"/>
      <c r="L201" s="1"/>
      <c r="M201" s="45"/>
      <c r="N201" s="45"/>
      <c r="O201" s="45"/>
      <c r="P201" s="69"/>
      <c r="Q201" s="1"/>
      <c r="R201" s="1"/>
      <c r="S201" s="1"/>
      <c r="T201" s="1"/>
      <c r="U201" s="1"/>
      <c r="V201" s="1"/>
      <c r="W201" s="1"/>
      <c r="X201" s="44"/>
    </row>
    <row r="202">
      <c r="F202" s="67"/>
      <c r="G202" s="1"/>
      <c r="H202" s="1"/>
      <c r="I202" s="1"/>
      <c r="J202" s="1"/>
      <c r="K202" s="1"/>
      <c r="L202" s="1"/>
      <c r="M202" s="45"/>
      <c r="N202" s="45"/>
      <c r="O202" s="45"/>
      <c r="P202" s="69"/>
      <c r="Q202" s="1"/>
      <c r="R202" s="1"/>
      <c r="S202" s="1"/>
      <c r="T202" s="1"/>
      <c r="U202" s="1"/>
      <c r="V202" s="1"/>
      <c r="W202" s="1"/>
      <c r="X202" s="44"/>
    </row>
    <row r="203">
      <c r="F203" s="67"/>
      <c r="G203" s="1"/>
      <c r="H203" s="1"/>
      <c r="I203" s="1"/>
      <c r="J203" s="1"/>
      <c r="K203" s="1"/>
      <c r="L203" s="1"/>
      <c r="M203" s="45"/>
      <c r="N203" s="45"/>
      <c r="O203" s="45"/>
      <c r="P203" s="69"/>
      <c r="Q203" s="1"/>
      <c r="R203" s="1"/>
      <c r="S203" s="1"/>
      <c r="T203" s="1"/>
      <c r="U203" s="1"/>
      <c r="V203" s="1"/>
      <c r="W203" s="1"/>
      <c r="X203" s="44"/>
    </row>
    <row r="204">
      <c r="F204" s="67"/>
      <c r="G204" s="1"/>
      <c r="H204" s="1"/>
      <c r="I204" s="1"/>
      <c r="J204" s="1"/>
      <c r="K204" s="1"/>
      <c r="L204" s="1"/>
      <c r="M204" s="45"/>
      <c r="N204" s="45"/>
      <c r="O204" s="45"/>
      <c r="P204" s="69"/>
      <c r="Q204" s="1"/>
      <c r="R204" s="1"/>
      <c r="S204" s="1"/>
      <c r="T204" s="1"/>
      <c r="U204" s="1"/>
      <c r="V204" s="1"/>
      <c r="W204" s="1"/>
      <c r="X204" s="44"/>
    </row>
    <row r="205">
      <c r="F205" s="67"/>
      <c r="G205" s="1"/>
      <c r="H205" s="1"/>
      <c r="I205" s="1"/>
      <c r="J205" s="1"/>
      <c r="K205" s="1"/>
      <c r="L205" s="1"/>
      <c r="M205" s="45"/>
      <c r="N205" s="45"/>
      <c r="O205" s="45"/>
      <c r="P205" s="69"/>
      <c r="Q205" s="1"/>
      <c r="R205" s="1"/>
      <c r="S205" s="1"/>
      <c r="T205" s="1"/>
      <c r="U205" s="1"/>
      <c r="V205" s="1"/>
      <c r="W205" s="1"/>
      <c r="X205" s="44"/>
    </row>
    <row r="206">
      <c r="F206" s="67"/>
      <c r="G206" s="1"/>
      <c r="H206" s="1"/>
      <c r="I206" s="1"/>
      <c r="J206" s="1"/>
      <c r="K206" s="1"/>
      <c r="L206" s="1"/>
      <c r="M206" s="45"/>
      <c r="N206" s="45"/>
      <c r="O206" s="45"/>
      <c r="P206" s="69"/>
      <c r="Q206" s="1"/>
      <c r="R206" s="1"/>
      <c r="S206" s="1"/>
      <c r="T206" s="1"/>
      <c r="U206" s="1"/>
      <c r="V206" s="1"/>
      <c r="W206" s="1"/>
      <c r="X206" s="44"/>
    </row>
    <row r="207">
      <c r="F207" s="67"/>
      <c r="G207" s="1"/>
      <c r="H207" s="1"/>
      <c r="I207" s="1"/>
      <c r="J207" s="1"/>
      <c r="K207" s="1"/>
      <c r="L207" s="1"/>
      <c r="M207" s="45"/>
      <c r="N207" s="45"/>
      <c r="O207" s="45"/>
      <c r="P207" s="69"/>
      <c r="Q207" s="1"/>
      <c r="R207" s="1"/>
      <c r="S207" s="1"/>
      <c r="T207" s="1"/>
      <c r="U207" s="1"/>
      <c r="V207" s="1"/>
      <c r="W207" s="1"/>
      <c r="X207" s="44"/>
    </row>
    <row r="208">
      <c r="F208" s="67"/>
      <c r="G208" s="1"/>
      <c r="H208" s="1"/>
      <c r="I208" s="1"/>
      <c r="J208" s="1"/>
      <c r="K208" s="1"/>
      <c r="L208" s="1"/>
      <c r="M208" s="45"/>
      <c r="N208" s="45"/>
      <c r="O208" s="45"/>
      <c r="P208" s="69"/>
      <c r="Q208" s="1"/>
      <c r="R208" s="1"/>
      <c r="S208" s="1"/>
      <c r="T208" s="1"/>
      <c r="U208" s="1"/>
      <c r="V208" s="1"/>
      <c r="W208" s="1"/>
      <c r="X208" s="44"/>
    </row>
    <row r="209">
      <c r="F209" s="67"/>
      <c r="G209" s="1"/>
      <c r="H209" s="1"/>
      <c r="I209" s="1"/>
      <c r="J209" s="1"/>
      <c r="K209" s="1"/>
      <c r="L209" s="1"/>
      <c r="M209" s="45"/>
      <c r="N209" s="45"/>
      <c r="O209" s="45"/>
      <c r="P209" s="69"/>
      <c r="Q209" s="1"/>
      <c r="R209" s="1"/>
      <c r="S209" s="1"/>
      <c r="T209" s="1"/>
      <c r="U209" s="1"/>
      <c r="V209" s="1"/>
      <c r="W209" s="1"/>
      <c r="X209" s="44"/>
    </row>
    <row r="210">
      <c r="F210" s="67"/>
      <c r="G210" s="1"/>
      <c r="H210" s="1"/>
      <c r="I210" s="1"/>
      <c r="J210" s="1"/>
      <c r="K210" s="1"/>
      <c r="L210" s="1"/>
      <c r="M210" s="45"/>
      <c r="N210" s="45"/>
      <c r="O210" s="45"/>
      <c r="P210" s="69"/>
      <c r="Q210" s="1"/>
      <c r="R210" s="1"/>
      <c r="S210" s="1"/>
      <c r="T210" s="1"/>
      <c r="U210" s="1"/>
      <c r="V210" s="1"/>
      <c r="W210" s="1"/>
      <c r="X210" s="44"/>
    </row>
    <row r="211">
      <c r="F211" s="67"/>
      <c r="G211" s="1"/>
      <c r="H211" s="1"/>
      <c r="I211" s="1"/>
      <c r="J211" s="1"/>
      <c r="K211" s="1"/>
      <c r="L211" s="1"/>
      <c r="M211" s="45"/>
      <c r="N211" s="45"/>
      <c r="O211" s="45"/>
      <c r="P211" s="69"/>
      <c r="Q211" s="1"/>
      <c r="R211" s="1"/>
      <c r="S211" s="1"/>
      <c r="T211" s="1"/>
      <c r="U211" s="1"/>
      <c r="V211" s="1"/>
      <c r="W211" s="1"/>
      <c r="X211" s="44"/>
    </row>
    <row r="212">
      <c r="F212" s="67"/>
      <c r="G212" s="1"/>
      <c r="H212" s="1"/>
      <c r="I212" s="1"/>
      <c r="J212" s="1"/>
      <c r="K212" s="1"/>
      <c r="L212" s="1"/>
      <c r="M212" s="45"/>
      <c r="N212" s="45"/>
      <c r="O212" s="45"/>
      <c r="P212" s="69"/>
      <c r="Q212" s="1"/>
      <c r="R212" s="1"/>
      <c r="S212" s="1"/>
      <c r="T212" s="1"/>
      <c r="U212" s="1"/>
      <c r="V212" s="1"/>
      <c r="W212" s="1"/>
      <c r="X212" s="44"/>
    </row>
    <row r="213">
      <c r="F213" s="67"/>
      <c r="G213" s="1"/>
      <c r="H213" s="1"/>
      <c r="I213" s="1"/>
      <c r="J213" s="1"/>
      <c r="K213" s="1"/>
      <c r="L213" s="1"/>
      <c r="M213" s="45"/>
      <c r="N213" s="45"/>
      <c r="O213" s="45"/>
      <c r="P213" s="69"/>
      <c r="Q213" s="1"/>
      <c r="R213" s="1"/>
      <c r="S213" s="1"/>
      <c r="T213" s="1"/>
      <c r="U213" s="1"/>
      <c r="V213" s="1"/>
      <c r="W213" s="1"/>
      <c r="X213" s="44"/>
    </row>
    <row r="214">
      <c r="F214" s="67"/>
      <c r="G214" s="1"/>
      <c r="H214" s="1"/>
      <c r="I214" s="1"/>
      <c r="J214" s="1"/>
      <c r="K214" s="1"/>
      <c r="L214" s="1"/>
      <c r="M214" s="45"/>
      <c r="N214" s="45"/>
      <c r="O214" s="45"/>
      <c r="P214" s="69"/>
      <c r="Q214" s="1"/>
      <c r="R214" s="1"/>
      <c r="S214" s="1"/>
      <c r="T214" s="1"/>
      <c r="U214" s="1"/>
      <c r="V214" s="1"/>
      <c r="W214" s="1"/>
      <c r="X214" s="44"/>
    </row>
    <row r="215">
      <c r="F215" s="67"/>
      <c r="G215" s="1"/>
      <c r="H215" s="1"/>
      <c r="I215" s="1"/>
      <c r="J215" s="1"/>
      <c r="K215" s="1"/>
      <c r="L215" s="1"/>
      <c r="M215" s="45"/>
      <c r="N215" s="45"/>
      <c r="O215" s="45"/>
      <c r="P215" s="69"/>
      <c r="Q215" s="1"/>
      <c r="R215" s="1"/>
      <c r="S215" s="1"/>
      <c r="T215" s="1"/>
      <c r="U215" s="1"/>
      <c r="V215" s="1"/>
      <c r="W215" s="1"/>
      <c r="X215" s="44"/>
    </row>
    <row r="216">
      <c r="F216" s="67"/>
      <c r="G216" s="1"/>
      <c r="H216" s="1"/>
      <c r="I216" s="1"/>
      <c r="J216" s="1"/>
      <c r="K216" s="1"/>
      <c r="L216" s="1"/>
      <c r="M216" s="45"/>
      <c r="N216" s="45"/>
      <c r="O216" s="45"/>
      <c r="P216" s="69"/>
      <c r="Q216" s="1"/>
      <c r="R216" s="1"/>
      <c r="S216" s="1"/>
      <c r="T216" s="1"/>
      <c r="U216" s="1"/>
      <c r="V216" s="1"/>
      <c r="W216" s="1"/>
      <c r="X216" s="44"/>
    </row>
    <row r="217">
      <c r="F217" s="67"/>
      <c r="G217" s="1"/>
      <c r="H217" s="1"/>
      <c r="I217" s="1"/>
      <c r="J217" s="1"/>
      <c r="K217" s="1"/>
      <c r="L217" s="1"/>
      <c r="M217" s="45"/>
      <c r="N217" s="45"/>
      <c r="O217" s="45"/>
      <c r="P217" s="69"/>
      <c r="Q217" s="1"/>
      <c r="R217" s="1"/>
      <c r="S217" s="1"/>
      <c r="T217" s="1"/>
      <c r="U217" s="1"/>
      <c r="V217" s="1"/>
      <c r="W217" s="1"/>
      <c r="X217" s="44"/>
    </row>
    <row r="218">
      <c r="F218" s="67"/>
      <c r="G218" s="1"/>
      <c r="H218" s="1"/>
      <c r="I218" s="1"/>
      <c r="J218" s="1"/>
      <c r="K218" s="1"/>
      <c r="L218" s="1"/>
      <c r="M218" s="45"/>
      <c r="N218" s="45"/>
      <c r="O218" s="45"/>
      <c r="P218" s="69"/>
      <c r="Q218" s="1"/>
      <c r="R218" s="1"/>
      <c r="S218" s="1"/>
      <c r="T218" s="1"/>
      <c r="U218" s="1"/>
      <c r="V218" s="1"/>
      <c r="W218" s="1"/>
      <c r="X218" s="44"/>
    </row>
    <row r="219">
      <c r="F219" s="67"/>
      <c r="G219" s="1"/>
      <c r="H219" s="1"/>
      <c r="I219" s="1"/>
      <c r="J219" s="1"/>
      <c r="K219" s="1"/>
      <c r="L219" s="1"/>
      <c r="M219" s="45"/>
      <c r="N219" s="45"/>
      <c r="O219" s="45"/>
      <c r="P219" s="69"/>
      <c r="Q219" s="1"/>
      <c r="R219" s="1"/>
      <c r="S219" s="1"/>
      <c r="T219" s="1"/>
      <c r="U219" s="1"/>
      <c r="V219" s="1"/>
      <c r="W219" s="1"/>
      <c r="X219" s="44"/>
    </row>
    <row r="220">
      <c r="F220" s="67"/>
      <c r="G220" s="1"/>
      <c r="H220" s="1"/>
      <c r="I220" s="1"/>
      <c r="J220" s="1"/>
      <c r="K220" s="1"/>
      <c r="L220" s="1"/>
      <c r="M220" s="45"/>
      <c r="N220" s="45"/>
      <c r="O220" s="45"/>
      <c r="P220" s="69"/>
      <c r="Q220" s="1"/>
      <c r="R220" s="1"/>
      <c r="S220" s="1"/>
      <c r="T220" s="1"/>
      <c r="U220" s="1"/>
      <c r="V220" s="1"/>
      <c r="W220" s="1"/>
      <c r="X220" s="44"/>
    </row>
    <row r="221">
      <c r="F221" s="67"/>
      <c r="G221" s="1"/>
      <c r="H221" s="1"/>
      <c r="I221" s="1"/>
      <c r="J221" s="1"/>
      <c r="K221" s="1"/>
      <c r="L221" s="1"/>
      <c r="M221" s="45"/>
      <c r="N221" s="45"/>
      <c r="O221" s="45"/>
      <c r="P221" s="69"/>
      <c r="Q221" s="1"/>
      <c r="R221" s="1"/>
      <c r="S221" s="1"/>
      <c r="T221" s="1"/>
      <c r="U221" s="1"/>
      <c r="V221" s="1"/>
      <c r="W221" s="1"/>
      <c r="X221" s="44"/>
    </row>
    <row r="222">
      <c r="F222" s="67"/>
      <c r="G222" s="1"/>
      <c r="H222" s="1"/>
      <c r="I222" s="1"/>
      <c r="J222" s="1"/>
      <c r="K222" s="1"/>
      <c r="L222" s="1"/>
      <c r="M222" s="45"/>
      <c r="N222" s="45"/>
      <c r="O222" s="45"/>
      <c r="P222" s="69"/>
      <c r="Q222" s="1"/>
      <c r="R222" s="1"/>
      <c r="S222" s="1"/>
      <c r="T222" s="1"/>
      <c r="U222" s="1"/>
      <c r="V222" s="1"/>
      <c r="W222" s="1"/>
      <c r="X222" s="44"/>
    </row>
    <row r="223">
      <c r="F223" s="67"/>
      <c r="G223" s="1"/>
      <c r="H223" s="1"/>
      <c r="I223" s="1"/>
      <c r="J223" s="1"/>
      <c r="K223" s="1"/>
      <c r="L223" s="1"/>
      <c r="M223" s="45"/>
      <c r="N223" s="45"/>
      <c r="O223" s="45"/>
      <c r="P223" s="69"/>
      <c r="Q223" s="1"/>
      <c r="R223" s="1"/>
      <c r="S223" s="1"/>
      <c r="T223" s="1"/>
      <c r="U223" s="1"/>
      <c r="V223" s="1"/>
      <c r="W223" s="1"/>
      <c r="X223" s="44"/>
    </row>
    <row r="224">
      <c r="F224" s="67"/>
      <c r="G224" s="1"/>
      <c r="H224" s="1"/>
      <c r="I224" s="1"/>
      <c r="J224" s="1"/>
      <c r="K224" s="1"/>
      <c r="L224" s="1"/>
      <c r="M224" s="45"/>
      <c r="N224" s="45"/>
      <c r="O224" s="45"/>
      <c r="P224" s="69"/>
      <c r="Q224" s="1"/>
      <c r="R224" s="1"/>
      <c r="S224" s="1"/>
      <c r="T224" s="1"/>
      <c r="U224" s="1"/>
      <c r="V224" s="1"/>
      <c r="W224" s="1"/>
      <c r="X224" s="44"/>
    </row>
    <row r="225">
      <c r="F225" s="67"/>
      <c r="G225" s="1"/>
      <c r="H225" s="1"/>
      <c r="I225" s="1"/>
      <c r="J225" s="1"/>
      <c r="K225" s="1"/>
      <c r="L225" s="1"/>
      <c r="M225" s="45"/>
      <c r="N225" s="45"/>
      <c r="O225" s="45"/>
      <c r="P225" s="69"/>
      <c r="Q225" s="1"/>
      <c r="R225" s="1"/>
      <c r="S225" s="1"/>
      <c r="T225" s="1"/>
      <c r="U225" s="1"/>
      <c r="V225" s="1"/>
      <c r="W225" s="1"/>
      <c r="X225" s="44"/>
    </row>
    <row r="226">
      <c r="F226" s="67"/>
      <c r="G226" s="1"/>
      <c r="H226" s="1"/>
      <c r="I226" s="1"/>
      <c r="J226" s="1"/>
      <c r="K226" s="1"/>
      <c r="L226" s="1"/>
      <c r="M226" s="45"/>
      <c r="N226" s="45"/>
      <c r="O226" s="45"/>
      <c r="P226" s="69"/>
      <c r="Q226" s="1"/>
      <c r="R226" s="1"/>
      <c r="S226" s="1"/>
      <c r="T226" s="1"/>
      <c r="U226" s="1"/>
      <c r="V226" s="1"/>
      <c r="W226" s="1"/>
      <c r="X226" s="44"/>
    </row>
    <row r="227">
      <c r="F227" s="67"/>
      <c r="G227" s="1"/>
      <c r="H227" s="1"/>
      <c r="I227" s="1"/>
      <c r="J227" s="1"/>
      <c r="K227" s="1"/>
      <c r="L227" s="1"/>
      <c r="M227" s="45"/>
      <c r="N227" s="45"/>
      <c r="O227" s="45"/>
      <c r="P227" s="69"/>
      <c r="Q227" s="1"/>
      <c r="R227" s="1"/>
      <c r="S227" s="1"/>
      <c r="T227" s="1"/>
      <c r="U227" s="1"/>
      <c r="V227" s="1"/>
      <c r="W227" s="1"/>
      <c r="X227" s="44"/>
    </row>
    <row r="228">
      <c r="F228" s="67"/>
      <c r="G228" s="1"/>
      <c r="H228" s="1"/>
      <c r="I228" s="1"/>
      <c r="J228" s="1"/>
      <c r="K228" s="1"/>
      <c r="L228" s="1"/>
      <c r="M228" s="45"/>
      <c r="N228" s="45"/>
      <c r="O228" s="45"/>
      <c r="P228" s="69"/>
      <c r="Q228" s="1"/>
      <c r="R228" s="1"/>
      <c r="S228" s="1"/>
      <c r="T228" s="1"/>
      <c r="U228" s="1"/>
      <c r="V228" s="1"/>
      <c r="W228" s="1"/>
      <c r="X228" s="44"/>
    </row>
    <row r="229">
      <c r="F229" s="67"/>
      <c r="G229" s="1"/>
      <c r="H229" s="1"/>
      <c r="I229" s="1"/>
      <c r="J229" s="1"/>
      <c r="K229" s="1"/>
      <c r="L229" s="1"/>
      <c r="M229" s="45"/>
      <c r="N229" s="45"/>
      <c r="O229" s="45"/>
      <c r="P229" s="69"/>
      <c r="Q229" s="1"/>
      <c r="R229" s="1"/>
      <c r="S229" s="1"/>
      <c r="T229" s="1"/>
      <c r="U229" s="1"/>
      <c r="V229" s="1"/>
      <c r="W229" s="1"/>
      <c r="X229" s="44"/>
    </row>
    <row r="230">
      <c r="F230" s="67"/>
      <c r="G230" s="1"/>
      <c r="H230" s="1"/>
      <c r="I230" s="1"/>
      <c r="J230" s="1"/>
      <c r="K230" s="1"/>
      <c r="L230" s="1"/>
      <c r="M230" s="45"/>
      <c r="N230" s="45"/>
      <c r="O230" s="45"/>
      <c r="P230" s="69"/>
      <c r="Q230" s="1"/>
      <c r="R230" s="1"/>
      <c r="S230" s="1"/>
      <c r="T230" s="1"/>
      <c r="U230" s="1"/>
      <c r="V230" s="1"/>
      <c r="W230" s="1"/>
      <c r="X230" s="44"/>
    </row>
    <row r="231">
      <c r="F231" s="67"/>
      <c r="G231" s="1"/>
      <c r="H231" s="1"/>
      <c r="I231" s="1"/>
      <c r="J231" s="1"/>
      <c r="K231" s="1"/>
      <c r="L231" s="1"/>
      <c r="M231" s="45"/>
      <c r="N231" s="45"/>
      <c r="O231" s="45"/>
      <c r="P231" s="69"/>
      <c r="Q231" s="1"/>
      <c r="R231" s="1"/>
      <c r="S231" s="1"/>
      <c r="T231" s="1"/>
      <c r="U231" s="1"/>
      <c r="V231" s="1"/>
      <c r="W231" s="1"/>
      <c r="X231" s="44"/>
    </row>
    <row r="232">
      <c r="F232" s="67"/>
      <c r="G232" s="1"/>
      <c r="H232" s="1"/>
      <c r="I232" s="1"/>
      <c r="J232" s="1"/>
      <c r="K232" s="1"/>
      <c r="L232" s="1"/>
      <c r="M232" s="45"/>
      <c r="N232" s="45"/>
      <c r="O232" s="45"/>
      <c r="P232" s="69"/>
      <c r="Q232" s="1"/>
      <c r="R232" s="1"/>
      <c r="S232" s="1"/>
      <c r="T232" s="1"/>
      <c r="U232" s="1"/>
      <c r="V232" s="1"/>
      <c r="W232" s="1"/>
      <c r="X232" s="44"/>
    </row>
    <row r="233">
      <c r="F233" s="67"/>
      <c r="G233" s="1"/>
      <c r="H233" s="1"/>
      <c r="I233" s="1"/>
      <c r="J233" s="1"/>
      <c r="K233" s="1"/>
      <c r="L233" s="1"/>
      <c r="M233" s="45"/>
      <c r="N233" s="45"/>
      <c r="O233" s="45"/>
      <c r="P233" s="69"/>
      <c r="Q233" s="1"/>
      <c r="R233" s="1"/>
      <c r="S233" s="1"/>
      <c r="T233" s="1"/>
      <c r="U233" s="1"/>
      <c r="V233" s="1"/>
      <c r="W233" s="1"/>
      <c r="X233" s="44"/>
    </row>
    <row r="234">
      <c r="F234" s="67"/>
      <c r="G234" s="1"/>
      <c r="H234" s="1"/>
      <c r="I234" s="1"/>
      <c r="J234" s="1"/>
      <c r="K234" s="1"/>
      <c r="L234" s="1"/>
      <c r="M234" s="45"/>
      <c r="N234" s="45"/>
      <c r="O234" s="45"/>
      <c r="P234" s="69"/>
      <c r="Q234" s="1"/>
      <c r="R234" s="1"/>
      <c r="S234" s="1"/>
      <c r="T234" s="1"/>
      <c r="U234" s="1"/>
      <c r="V234" s="1"/>
      <c r="W234" s="1"/>
      <c r="X234" s="44"/>
    </row>
    <row r="235">
      <c r="F235" s="67"/>
      <c r="G235" s="1"/>
      <c r="H235" s="1"/>
      <c r="I235" s="1"/>
      <c r="J235" s="1"/>
      <c r="K235" s="1"/>
      <c r="L235" s="1"/>
      <c r="M235" s="45"/>
      <c r="N235" s="45"/>
      <c r="O235" s="45"/>
      <c r="P235" s="69"/>
      <c r="Q235" s="1"/>
      <c r="R235" s="1"/>
      <c r="S235" s="1"/>
      <c r="T235" s="1"/>
      <c r="U235" s="1"/>
      <c r="V235" s="1"/>
      <c r="W235" s="1"/>
      <c r="X235" s="44"/>
    </row>
    <row r="236">
      <c r="F236" s="67"/>
      <c r="G236" s="1"/>
      <c r="H236" s="1"/>
      <c r="I236" s="1"/>
      <c r="J236" s="1"/>
      <c r="K236" s="1"/>
      <c r="L236" s="1"/>
      <c r="M236" s="45"/>
      <c r="N236" s="45"/>
      <c r="O236" s="45"/>
      <c r="P236" s="69"/>
      <c r="Q236" s="1"/>
      <c r="R236" s="1"/>
      <c r="S236" s="1"/>
      <c r="T236" s="1"/>
      <c r="U236" s="1"/>
      <c r="V236" s="1"/>
      <c r="W236" s="1"/>
      <c r="X236" s="44"/>
    </row>
    <row r="237">
      <c r="F237" s="67"/>
      <c r="G237" s="1"/>
      <c r="H237" s="1"/>
      <c r="I237" s="1"/>
      <c r="J237" s="1"/>
      <c r="K237" s="1"/>
      <c r="L237" s="1"/>
      <c r="M237" s="45"/>
      <c r="N237" s="45"/>
      <c r="O237" s="45"/>
      <c r="P237" s="69"/>
      <c r="Q237" s="1"/>
      <c r="R237" s="1"/>
      <c r="S237" s="1"/>
      <c r="T237" s="1"/>
      <c r="U237" s="1"/>
      <c r="V237" s="1"/>
      <c r="W237" s="1"/>
      <c r="X237" s="44"/>
    </row>
    <row r="238">
      <c r="F238" s="67"/>
      <c r="G238" s="1"/>
      <c r="H238" s="1"/>
      <c r="I238" s="1"/>
      <c r="J238" s="1"/>
      <c r="K238" s="1"/>
      <c r="L238" s="1"/>
      <c r="M238" s="45"/>
      <c r="N238" s="45"/>
      <c r="O238" s="45"/>
      <c r="P238" s="69"/>
      <c r="Q238" s="1"/>
      <c r="R238" s="1"/>
      <c r="S238" s="1"/>
      <c r="T238" s="1"/>
      <c r="U238" s="1"/>
      <c r="V238" s="1"/>
      <c r="W238" s="1"/>
      <c r="X238" s="44"/>
    </row>
    <row r="239">
      <c r="F239" s="67"/>
      <c r="G239" s="1"/>
      <c r="H239" s="1"/>
      <c r="I239" s="1"/>
      <c r="J239" s="1"/>
      <c r="K239" s="1"/>
      <c r="L239" s="1"/>
      <c r="M239" s="45"/>
      <c r="N239" s="45"/>
      <c r="O239" s="45"/>
      <c r="P239" s="69"/>
      <c r="Q239" s="1"/>
      <c r="R239" s="1"/>
      <c r="S239" s="1"/>
      <c r="T239" s="1"/>
      <c r="U239" s="1"/>
      <c r="V239" s="1"/>
      <c r="W239" s="1"/>
      <c r="X239" s="44"/>
    </row>
    <row r="240">
      <c r="F240" s="67"/>
      <c r="G240" s="1"/>
      <c r="H240" s="1"/>
      <c r="I240" s="1"/>
      <c r="J240" s="1"/>
      <c r="K240" s="1"/>
      <c r="L240" s="1"/>
      <c r="M240" s="45"/>
      <c r="N240" s="45"/>
      <c r="O240" s="45"/>
      <c r="P240" s="69"/>
      <c r="Q240" s="1"/>
      <c r="R240" s="1"/>
      <c r="S240" s="1"/>
      <c r="T240" s="1"/>
      <c r="U240" s="1"/>
      <c r="V240" s="1"/>
      <c r="W240" s="1"/>
      <c r="X240" s="44"/>
    </row>
    <row r="241">
      <c r="F241" s="67"/>
      <c r="G241" s="1"/>
      <c r="H241" s="1"/>
      <c r="I241" s="1"/>
      <c r="J241" s="1"/>
      <c r="K241" s="1"/>
      <c r="L241" s="1"/>
      <c r="M241" s="45"/>
      <c r="N241" s="45"/>
      <c r="O241" s="45"/>
      <c r="P241" s="69"/>
      <c r="Q241" s="1"/>
      <c r="R241" s="1"/>
      <c r="S241" s="1"/>
      <c r="T241" s="1"/>
      <c r="U241" s="1"/>
      <c r="V241" s="1"/>
      <c r="W241" s="1"/>
      <c r="X241" s="44"/>
    </row>
    <row r="242">
      <c r="F242" s="67"/>
      <c r="G242" s="1"/>
      <c r="H242" s="1"/>
      <c r="I242" s="1"/>
      <c r="J242" s="1"/>
      <c r="K242" s="1"/>
      <c r="L242" s="1"/>
      <c r="M242" s="45"/>
      <c r="N242" s="45"/>
      <c r="O242" s="45"/>
      <c r="P242" s="69"/>
      <c r="Q242" s="1"/>
      <c r="R242" s="1"/>
      <c r="S242" s="1"/>
      <c r="T242" s="1"/>
      <c r="U242" s="1"/>
      <c r="V242" s="1"/>
      <c r="W242" s="1"/>
      <c r="X242" s="44"/>
    </row>
    <row r="243">
      <c r="F243" s="67"/>
      <c r="G243" s="1"/>
      <c r="H243" s="1"/>
      <c r="I243" s="1"/>
      <c r="J243" s="1"/>
      <c r="K243" s="1"/>
      <c r="L243" s="1"/>
      <c r="M243" s="45"/>
      <c r="N243" s="45"/>
      <c r="O243" s="45"/>
      <c r="P243" s="69"/>
      <c r="Q243" s="1"/>
      <c r="R243" s="1"/>
      <c r="S243" s="1"/>
      <c r="T243" s="1"/>
      <c r="U243" s="1"/>
      <c r="V243" s="1"/>
      <c r="W243" s="1"/>
      <c r="X243" s="44"/>
    </row>
    <row r="244">
      <c r="F244" s="67"/>
      <c r="G244" s="1"/>
      <c r="H244" s="1"/>
      <c r="I244" s="1"/>
      <c r="J244" s="1"/>
      <c r="K244" s="1"/>
      <c r="L244" s="1"/>
      <c r="M244" s="45"/>
      <c r="N244" s="45"/>
      <c r="O244" s="45"/>
      <c r="P244" s="69"/>
      <c r="Q244" s="1"/>
      <c r="R244" s="1"/>
      <c r="S244" s="1"/>
      <c r="T244" s="1"/>
      <c r="U244" s="1"/>
      <c r="V244" s="1"/>
      <c r="W244" s="1"/>
      <c r="X244" s="44"/>
    </row>
    <row r="245">
      <c r="F245" s="67"/>
      <c r="G245" s="1"/>
      <c r="H245" s="1"/>
      <c r="I245" s="1"/>
      <c r="J245" s="1"/>
      <c r="K245" s="1"/>
      <c r="L245" s="1"/>
      <c r="M245" s="45"/>
      <c r="N245" s="45"/>
      <c r="O245" s="45"/>
      <c r="P245" s="69"/>
      <c r="Q245" s="1"/>
      <c r="R245" s="1"/>
      <c r="S245" s="1"/>
      <c r="T245" s="1"/>
      <c r="U245" s="1"/>
      <c r="V245" s="1"/>
      <c r="W245" s="1"/>
      <c r="X245" s="44"/>
    </row>
    <row r="246">
      <c r="F246" s="67"/>
      <c r="G246" s="1"/>
      <c r="H246" s="1"/>
      <c r="I246" s="1"/>
      <c r="J246" s="1"/>
      <c r="K246" s="1"/>
      <c r="L246" s="1"/>
      <c r="M246" s="45"/>
      <c r="N246" s="45"/>
      <c r="O246" s="45"/>
      <c r="P246" s="69"/>
      <c r="Q246" s="1"/>
      <c r="R246" s="1"/>
      <c r="S246" s="1"/>
      <c r="T246" s="1"/>
      <c r="U246" s="1"/>
      <c r="V246" s="1"/>
      <c r="W246" s="1"/>
      <c r="X246" s="44"/>
    </row>
    <row r="247">
      <c r="F247" s="67"/>
      <c r="G247" s="1"/>
      <c r="H247" s="1"/>
      <c r="I247" s="1"/>
      <c r="J247" s="1"/>
      <c r="K247" s="1"/>
      <c r="L247" s="1"/>
      <c r="M247" s="45"/>
      <c r="N247" s="45"/>
      <c r="O247" s="45"/>
      <c r="P247" s="69"/>
      <c r="Q247" s="1"/>
      <c r="R247" s="1"/>
      <c r="S247" s="1"/>
      <c r="T247" s="1"/>
      <c r="U247" s="1"/>
      <c r="V247" s="1"/>
      <c r="W247" s="1"/>
      <c r="X247" s="44"/>
    </row>
    <row r="248">
      <c r="F248" s="67"/>
      <c r="G248" s="1"/>
      <c r="H248" s="1"/>
      <c r="I248" s="1"/>
      <c r="J248" s="1"/>
      <c r="K248" s="1"/>
      <c r="L248" s="1"/>
      <c r="M248" s="45"/>
      <c r="N248" s="45"/>
      <c r="O248" s="45"/>
      <c r="P248" s="69"/>
      <c r="Q248" s="1"/>
      <c r="R248" s="1"/>
      <c r="S248" s="1"/>
      <c r="T248" s="1"/>
      <c r="U248" s="1"/>
      <c r="V248" s="1"/>
      <c r="W248" s="1"/>
      <c r="X248" s="44"/>
    </row>
    <row r="249">
      <c r="F249" s="67"/>
      <c r="G249" s="1"/>
      <c r="H249" s="1"/>
      <c r="I249" s="1"/>
      <c r="J249" s="1"/>
      <c r="K249" s="1"/>
      <c r="L249" s="1"/>
      <c r="M249" s="45"/>
      <c r="N249" s="45"/>
      <c r="O249" s="45"/>
      <c r="P249" s="69"/>
      <c r="Q249" s="1"/>
      <c r="R249" s="1"/>
      <c r="S249" s="1"/>
      <c r="T249" s="1"/>
      <c r="U249" s="1"/>
      <c r="V249" s="1"/>
      <c r="W249" s="1"/>
      <c r="X249" s="44"/>
    </row>
    <row r="250">
      <c r="F250" s="67"/>
      <c r="G250" s="1"/>
      <c r="H250" s="1"/>
      <c r="I250" s="1"/>
      <c r="J250" s="1"/>
      <c r="K250" s="1"/>
      <c r="L250" s="1"/>
      <c r="M250" s="45"/>
      <c r="N250" s="45"/>
      <c r="O250" s="45"/>
      <c r="P250" s="69"/>
      <c r="Q250" s="1"/>
      <c r="R250" s="1"/>
      <c r="S250" s="1"/>
      <c r="T250" s="1"/>
      <c r="U250" s="1"/>
      <c r="V250" s="1"/>
      <c r="W250" s="1"/>
      <c r="X250" s="44"/>
    </row>
    <row r="251">
      <c r="F251" s="67"/>
      <c r="G251" s="1"/>
      <c r="H251" s="1"/>
      <c r="I251" s="1"/>
      <c r="J251" s="1"/>
      <c r="K251" s="1"/>
      <c r="L251" s="1"/>
      <c r="M251" s="45"/>
      <c r="N251" s="45"/>
      <c r="O251" s="45"/>
      <c r="P251" s="69"/>
      <c r="Q251" s="1"/>
      <c r="R251" s="1"/>
      <c r="S251" s="1"/>
      <c r="T251" s="1"/>
      <c r="U251" s="1"/>
      <c r="V251" s="1"/>
      <c r="W251" s="1"/>
      <c r="X251" s="44"/>
    </row>
    <row r="252">
      <c r="F252" s="67"/>
      <c r="G252" s="1"/>
      <c r="H252" s="1"/>
      <c r="I252" s="1"/>
      <c r="J252" s="1"/>
      <c r="K252" s="1"/>
      <c r="L252" s="1"/>
      <c r="M252" s="45"/>
      <c r="N252" s="45"/>
      <c r="O252" s="45"/>
      <c r="P252" s="69"/>
      <c r="Q252" s="1"/>
      <c r="R252" s="1"/>
      <c r="S252" s="1"/>
      <c r="T252" s="1"/>
      <c r="U252" s="1"/>
      <c r="V252" s="1"/>
      <c r="W252" s="1"/>
      <c r="X252" s="44"/>
    </row>
    <row r="253">
      <c r="F253" s="67"/>
      <c r="G253" s="1"/>
      <c r="H253" s="1"/>
      <c r="I253" s="1"/>
      <c r="J253" s="1"/>
      <c r="K253" s="1"/>
      <c r="L253" s="1"/>
      <c r="M253" s="45"/>
      <c r="N253" s="45"/>
      <c r="O253" s="45"/>
      <c r="P253" s="69"/>
      <c r="Q253" s="1"/>
      <c r="R253" s="1"/>
      <c r="S253" s="1"/>
      <c r="T253" s="1"/>
      <c r="U253" s="1"/>
      <c r="V253" s="1"/>
      <c r="W253" s="1"/>
      <c r="X253" s="44"/>
    </row>
    <row r="254">
      <c r="F254" s="67"/>
      <c r="G254" s="1"/>
      <c r="H254" s="1"/>
      <c r="I254" s="1"/>
      <c r="J254" s="1"/>
      <c r="K254" s="1"/>
      <c r="L254" s="1"/>
      <c r="M254" s="45"/>
      <c r="N254" s="45"/>
      <c r="O254" s="45"/>
      <c r="P254" s="69"/>
      <c r="Q254" s="1"/>
      <c r="R254" s="1"/>
      <c r="S254" s="1"/>
      <c r="T254" s="1"/>
      <c r="U254" s="1"/>
      <c r="V254" s="1"/>
      <c r="W254" s="1"/>
      <c r="X254" s="44"/>
    </row>
    <row r="255">
      <c r="F255" s="67"/>
      <c r="G255" s="1"/>
      <c r="H255" s="1"/>
      <c r="I255" s="1"/>
      <c r="J255" s="1"/>
      <c r="K255" s="1"/>
      <c r="L255" s="1"/>
      <c r="M255" s="45"/>
      <c r="N255" s="45"/>
      <c r="O255" s="45"/>
      <c r="P255" s="69"/>
      <c r="Q255" s="1"/>
      <c r="R255" s="1"/>
      <c r="S255" s="1"/>
      <c r="T255" s="1"/>
      <c r="U255" s="1"/>
      <c r="V255" s="1"/>
      <c r="W255" s="1"/>
      <c r="X255" s="44"/>
    </row>
    <row r="256">
      <c r="F256" s="67"/>
      <c r="G256" s="1"/>
      <c r="H256" s="1"/>
      <c r="I256" s="1"/>
      <c r="J256" s="1"/>
      <c r="K256" s="1"/>
      <c r="L256" s="1"/>
      <c r="M256" s="45"/>
      <c r="N256" s="45"/>
      <c r="O256" s="45"/>
      <c r="P256" s="69"/>
      <c r="Q256" s="1"/>
      <c r="R256" s="1"/>
      <c r="S256" s="1"/>
      <c r="T256" s="1"/>
      <c r="U256" s="1"/>
      <c r="V256" s="1"/>
      <c r="W256" s="1"/>
      <c r="X256" s="44"/>
    </row>
    <row r="257">
      <c r="F257" s="67"/>
      <c r="G257" s="1"/>
      <c r="H257" s="1"/>
      <c r="I257" s="1"/>
      <c r="J257" s="1"/>
      <c r="K257" s="1"/>
      <c r="L257" s="1"/>
      <c r="M257" s="45"/>
      <c r="N257" s="45"/>
      <c r="O257" s="45"/>
      <c r="P257" s="69"/>
      <c r="Q257" s="1"/>
      <c r="R257" s="1"/>
      <c r="S257" s="1"/>
      <c r="T257" s="1"/>
      <c r="U257" s="1"/>
      <c r="V257" s="1"/>
      <c r="W257" s="1"/>
      <c r="X257" s="44"/>
    </row>
    <row r="258">
      <c r="F258" s="67"/>
      <c r="G258" s="1"/>
      <c r="H258" s="1"/>
      <c r="I258" s="1"/>
      <c r="J258" s="1"/>
      <c r="K258" s="1"/>
      <c r="L258" s="1"/>
      <c r="M258" s="45"/>
      <c r="N258" s="45"/>
      <c r="O258" s="45"/>
      <c r="P258" s="69"/>
      <c r="Q258" s="1"/>
      <c r="R258" s="1"/>
      <c r="S258" s="1"/>
      <c r="T258" s="1"/>
      <c r="U258" s="1"/>
      <c r="V258" s="1"/>
      <c r="W258" s="1"/>
      <c r="X258" s="44"/>
    </row>
    <row r="259">
      <c r="F259" s="67"/>
      <c r="G259" s="1"/>
      <c r="H259" s="1"/>
      <c r="I259" s="1"/>
      <c r="J259" s="1"/>
      <c r="K259" s="1"/>
      <c r="L259" s="1"/>
      <c r="M259" s="45"/>
      <c r="N259" s="45"/>
      <c r="O259" s="45"/>
      <c r="P259" s="69"/>
      <c r="Q259" s="1"/>
      <c r="R259" s="1"/>
      <c r="S259" s="1"/>
      <c r="T259" s="1"/>
      <c r="U259" s="1"/>
      <c r="V259" s="1"/>
      <c r="W259" s="1"/>
      <c r="X259" s="44"/>
    </row>
    <row r="260">
      <c r="F260" s="67"/>
      <c r="G260" s="1"/>
      <c r="H260" s="1"/>
      <c r="I260" s="1"/>
      <c r="J260" s="1"/>
      <c r="K260" s="1"/>
      <c r="L260" s="1"/>
      <c r="M260" s="45"/>
      <c r="N260" s="45"/>
      <c r="O260" s="45"/>
      <c r="P260" s="69"/>
      <c r="Q260" s="1"/>
      <c r="R260" s="1"/>
      <c r="S260" s="1"/>
      <c r="T260" s="1"/>
      <c r="U260" s="1"/>
      <c r="V260" s="1"/>
      <c r="W260" s="1"/>
      <c r="X260" s="44"/>
    </row>
    <row r="261">
      <c r="F261" s="67"/>
      <c r="G261" s="1"/>
      <c r="H261" s="1"/>
      <c r="I261" s="1"/>
      <c r="J261" s="1"/>
      <c r="K261" s="1"/>
      <c r="L261" s="1"/>
      <c r="M261" s="45"/>
      <c r="N261" s="45"/>
      <c r="O261" s="45"/>
      <c r="P261" s="69"/>
      <c r="Q261" s="1"/>
      <c r="R261" s="1"/>
      <c r="S261" s="1"/>
      <c r="T261" s="1"/>
      <c r="U261" s="1"/>
      <c r="V261" s="1"/>
      <c r="W261" s="1"/>
      <c r="X261" s="44"/>
    </row>
    <row r="262">
      <c r="F262" s="67"/>
      <c r="G262" s="1"/>
      <c r="H262" s="1"/>
      <c r="I262" s="1"/>
      <c r="J262" s="1"/>
      <c r="K262" s="1"/>
      <c r="L262" s="1"/>
      <c r="M262" s="45"/>
      <c r="N262" s="45"/>
      <c r="O262" s="45"/>
      <c r="P262" s="69"/>
      <c r="Q262" s="1"/>
      <c r="R262" s="1"/>
      <c r="S262" s="1"/>
      <c r="T262" s="1"/>
      <c r="U262" s="1"/>
      <c r="V262" s="1"/>
      <c r="W262" s="1"/>
      <c r="X262" s="44"/>
    </row>
    <row r="263">
      <c r="F263" s="67"/>
      <c r="G263" s="1"/>
      <c r="H263" s="1"/>
      <c r="I263" s="1"/>
      <c r="J263" s="1"/>
      <c r="K263" s="1"/>
      <c r="L263" s="1"/>
      <c r="M263" s="45"/>
      <c r="N263" s="45"/>
      <c r="O263" s="45"/>
      <c r="P263" s="69"/>
      <c r="Q263" s="1"/>
      <c r="R263" s="1"/>
      <c r="S263" s="1"/>
      <c r="T263" s="1"/>
      <c r="U263" s="1"/>
      <c r="V263" s="1"/>
      <c r="W263" s="1"/>
      <c r="X263" s="44"/>
    </row>
    <row r="264">
      <c r="F264" s="67"/>
      <c r="G264" s="1"/>
      <c r="H264" s="1"/>
      <c r="I264" s="1"/>
      <c r="J264" s="1"/>
      <c r="K264" s="1"/>
      <c r="L264" s="1"/>
      <c r="M264" s="45"/>
      <c r="N264" s="45"/>
      <c r="O264" s="45"/>
      <c r="P264" s="69"/>
      <c r="Q264" s="1"/>
      <c r="R264" s="1"/>
      <c r="S264" s="1"/>
      <c r="T264" s="1"/>
      <c r="U264" s="1"/>
      <c r="V264" s="1"/>
      <c r="W264" s="1"/>
      <c r="X264" s="44"/>
    </row>
    <row r="265">
      <c r="F265" s="67"/>
      <c r="G265" s="1"/>
      <c r="H265" s="1"/>
      <c r="I265" s="1"/>
      <c r="J265" s="1"/>
      <c r="K265" s="1"/>
      <c r="L265" s="1"/>
      <c r="M265" s="45"/>
      <c r="N265" s="45"/>
      <c r="O265" s="45"/>
      <c r="P265" s="69"/>
      <c r="Q265" s="1"/>
      <c r="R265" s="1"/>
      <c r="S265" s="1"/>
      <c r="T265" s="1"/>
      <c r="U265" s="1"/>
      <c r="V265" s="1"/>
      <c r="W265" s="1"/>
      <c r="X265" s="44"/>
    </row>
    <row r="266">
      <c r="F266" s="67"/>
      <c r="G266" s="1"/>
      <c r="H266" s="1"/>
      <c r="I266" s="1"/>
      <c r="J266" s="1"/>
      <c r="K266" s="1"/>
      <c r="L266" s="1"/>
      <c r="M266" s="45"/>
      <c r="N266" s="45"/>
      <c r="O266" s="45"/>
      <c r="P266" s="69"/>
      <c r="Q266" s="1"/>
      <c r="R266" s="1"/>
      <c r="S266" s="1"/>
      <c r="T266" s="1"/>
      <c r="U266" s="1"/>
      <c r="V266" s="1"/>
      <c r="W266" s="1"/>
      <c r="X266" s="44"/>
    </row>
    <row r="267">
      <c r="F267" s="67"/>
      <c r="G267" s="1"/>
      <c r="H267" s="1"/>
      <c r="I267" s="1"/>
      <c r="J267" s="1"/>
      <c r="K267" s="1"/>
      <c r="L267" s="1"/>
      <c r="M267" s="45"/>
      <c r="N267" s="45"/>
      <c r="O267" s="45"/>
      <c r="P267" s="69"/>
      <c r="Q267" s="1"/>
      <c r="R267" s="1"/>
      <c r="S267" s="1"/>
      <c r="T267" s="1"/>
      <c r="U267" s="1"/>
      <c r="V267" s="1"/>
      <c r="W267" s="1"/>
      <c r="X267" s="44"/>
    </row>
    <row r="268">
      <c r="F268" s="67"/>
      <c r="G268" s="1"/>
      <c r="H268" s="1"/>
      <c r="I268" s="1"/>
      <c r="J268" s="1"/>
      <c r="K268" s="1"/>
      <c r="L268" s="1"/>
      <c r="M268" s="45"/>
      <c r="N268" s="45"/>
      <c r="O268" s="45"/>
      <c r="P268" s="69"/>
      <c r="Q268" s="1"/>
      <c r="R268" s="1"/>
      <c r="S268" s="1"/>
      <c r="T268" s="1"/>
      <c r="U268" s="1"/>
      <c r="V268" s="1"/>
      <c r="W268" s="1"/>
      <c r="X268" s="44"/>
    </row>
    <row r="269">
      <c r="F269" s="67"/>
      <c r="G269" s="1"/>
      <c r="H269" s="1"/>
      <c r="I269" s="1"/>
      <c r="J269" s="1"/>
      <c r="K269" s="1"/>
      <c r="L269" s="1"/>
      <c r="M269" s="45"/>
      <c r="N269" s="45"/>
      <c r="O269" s="45"/>
      <c r="P269" s="69"/>
      <c r="Q269" s="1"/>
      <c r="R269" s="1"/>
      <c r="S269" s="1"/>
      <c r="T269" s="1"/>
      <c r="U269" s="1"/>
      <c r="V269" s="1"/>
      <c r="W269" s="1"/>
      <c r="X269" s="44"/>
    </row>
    <row r="270">
      <c r="F270" s="67"/>
      <c r="G270" s="1"/>
      <c r="H270" s="1"/>
      <c r="I270" s="1"/>
      <c r="J270" s="1"/>
      <c r="K270" s="1"/>
      <c r="L270" s="1"/>
      <c r="M270" s="45"/>
      <c r="N270" s="45"/>
      <c r="O270" s="45"/>
      <c r="P270" s="69"/>
      <c r="Q270" s="1"/>
      <c r="R270" s="1"/>
      <c r="S270" s="1"/>
      <c r="T270" s="1"/>
      <c r="U270" s="1"/>
      <c r="V270" s="1"/>
      <c r="W270" s="1"/>
      <c r="X270" s="44"/>
    </row>
    <row r="271">
      <c r="F271" s="67"/>
      <c r="G271" s="1"/>
      <c r="H271" s="1"/>
      <c r="I271" s="1"/>
      <c r="J271" s="1"/>
      <c r="K271" s="1"/>
      <c r="L271" s="1"/>
      <c r="M271" s="45"/>
      <c r="N271" s="45"/>
      <c r="O271" s="45"/>
      <c r="P271" s="69"/>
      <c r="Q271" s="1"/>
      <c r="R271" s="1"/>
      <c r="S271" s="1"/>
      <c r="T271" s="1"/>
      <c r="U271" s="1"/>
      <c r="V271" s="1"/>
      <c r="W271" s="1"/>
      <c r="X271" s="44"/>
    </row>
    <row r="272">
      <c r="F272" s="67"/>
      <c r="G272" s="1"/>
      <c r="H272" s="1"/>
      <c r="I272" s="1"/>
      <c r="J272" s="1"/>
      <c r="K272" s="1"/>
      <c r="L272" s="1"/>
      <c r="M272" s="45"/>
      <c r="N272" s="45"/>
      <c r="O272" s="45"/>
      <c r="P272" s="69"/>
      <c r="Q272" s="1"/>
      <c r="R272" s="1"/>
      <c r="S272" s="1"/>
      <c r="T272" s="1"/>
      <c r="U272" s="1"/>
      <c r="V272" s="1"/>
      <c r="W272" s="1"/>
      <c r="X272" s="44"/>
    </row>
    <row r="273">
      <c r="F273" s="67"/>
      <c r="G273" s="1"/>
      <c r="H273" s="1"/>
      <c r="I273" s="1"/>
      <c r="J273" s="1"/>
      <c r="K273" s="1"/>
      <c r="L273" s="1"/>
      <c r="M273" s="45"/>
      <c r="N273" s="45"/>
      <c r="O273" s="45"/>
      <c r="P273" s="69"/>
      <c r="Q273" s="1"/>
      <c r="R273" s="1"/>
      <c r="S273" s="1"/>
      <c r="T273" s="1"/>
      <c r="U273" s="1"/>
      <c r="V273" s="1"/>
      <c r="W273" s="1"/>
      <c r="X273" s="44"/>
    </row>
    <row r="274">
      <c r="F274" s="67"/>
      <c r="G274" s="1"/>
      <c r="H274" s="1"/>
      <c r="I274" s="1"/>
      <c r="J274" s="1"/>
      <c r="K274" s="1"/>
      <c r="L274" s="1"/>
      <c r="M274" s="45"/>
      <c r="N274" s="45"/>
      <c r="O274" s="45"/>
      <c r="P274" s="69"/>
      <c r="Q274" s="1"/>
      <c r="R274" s="1"/>
      <c r="S274" s="1"/>
      <c r="T274" s="1"/>
      <c r="U274" s="1"/>
      <c r="V274" s="1"/>
      <c r="W274" s="1"/>
      <c r="X274" s="44"/>
    </row>
    <row r="275">
      <c r="F275" s="67"/>
      <c r="G275" s="1"/>
      <c r="H275" s="1"/>
      <c r="I275" s="1"/>
      <c r="J275" s="1"/>
      <c r="K275" s="1"/>
      <c r="L275" s="1"/>
      <c r="M275" s="45"/>
      <c r="N275" s="45"/>
      <c r="O275" s="45"/>
      <c r="P275" s="69"/>
      <c r="Q275" s="1"/>
      <c r="R275" s="1"/>
      <c r="S275" s="1"/>
      <c r="T275" s="1"/>
      <c r="U275" s="1"/>
      <c r="V275" s="1"/>
      <c r="W275" s="1"/>
      <c r="X275" s="44"/>
    </row>
    <row r="276" ht="15">
      <c r="F276" s="73"/>
      <c r="G276" s="74"/>
      <c r="H276" s="74"/>
      <c r="I276" s="74"/>
      <c r="J276" s="74"/>
      <c r="K276" s="74"/>
      <c r="L276" s="74"/>
      <c r="M276" s="45"/>
      <c r="N276" s="45"/>
      <c r="O276" s="45"/>
      <c r="P276" s="75"/>
      <c r="Q276" s="1"/>
      <c r="R276" s="1"/>
      <c r="S276" s="1"/>
      <c r="T276" s="1"/>
      <c r="U276" s="1"/>
      <c r="V276" s="1"/>
      <c r="W276" s="1"/>
      <c r="X276" s="44"/>
    </row>
    <row r="277">
      <c r="F277" s="1"/>
      <c r="G277" s="1"/>
      <c r="H277" s="1"/>
      <c r="I277" s="1"/>
      <c r="J277" s="1"/>
      <c r="K277" s="1"/>
      <c r="L277" s="1"/>
      <c r="M277" s="45"/>
      <c r="N277" s="45"/>
      <c r="O277" s="45"/>
      <c r="P277" s="1"/>
      <c r="Q277" s="1"/>
      <c r="R277" s="1"/>
      <c r="S277" s="1"/>
      <c r="T277" s="1"/>
      <c r="U277" s="1"/>
      <c r="V277" s="1"/>
      <c r="W277" s="1"/>
      <c r="X277" s="44"/>
    </row>
    <row r="278">
      <c r="F278" s="1"/>
      <c r="G278" s="1"/>
      <c r="H278" s="1"/>
      <c r="I278" s="1"/>
      <c r="J278" s="1"/>
      <c r="K278" s="1"/>
      <c r="L278" s="1"/>
      <c r="M278" s="45"/>
      <c r="N278" s="45"/>
      <c r="O278" s="45"/>
      <c r="P278" s="1"/>
      <c r="Q278" s="1"/>
      <c r="R278" s="1"/>
      <c r="S278" s="1"/>
      <c r="T278" s="1"/>
      <c r="U278" s="1"/>
      <c r="V278" s="1"/>
      <c r="W278" s="1"/>
      <c r="X278" s="44"/>
    </row>
    <row r="279">
      <c r="F279" s="1"/>
      <c r="G279" s="1"/>
      <c r="H279" s="1"/>
      <c r="I279" s="1"/>
      <c r="J279" s="1"/>
      <c r="K279" s="1"/>
      <c r="L279" s="1"/>
      <c r="M279" s="45"/>
      <c r="N279" s="45"/>
      <c r="O279" s="45"/>
      <c r="P279" s="1"/>
      <c r="Q279" s="1"/>
      <c r="R279" s="1"/>
      <c r="S279" s="1"/>
      <c r="T279" s="1"/>
      <c r="U279" s="1"/>
      <c r="V279" s="1"/>
      <c r="W279" s="1"/>
      <c r="X279" s="44"/>
    </row>
    <row r="280">
      <c r="F280" s="1"/>
      <c r="G280" s="1"/>
      <c r="H280" s="1"/>
      <c r="I280" s="1"/>
      <c r="J280" s="1"/>
      <c r="K280" s="1"/>
      <c r="L280" s="1"/>
      <c r="M280" s="45"/>
      <c r="N280" s="45"/>
      <c r="O280" s="45"/>
      <c r="P280" s="1"/>
      <c r="Q280" s="1"/>
      <c r="R280" s="1"/>
      <c r="S280" s="1"/>
      <c r="T280" s="1"/>
      <c r="U280" s="1"/>
      <c r="V280" s="1"/>
      <c r="W280" s="1"/>
      <c r="X280" s="44"/>
    </row>
    <row r="281">
      <c r="F281" s="1"/>
      <c r="G281" s="1"/>
      <c r="H281" s="1"/>
      <c r="I281" s="1"/>
      <c r="J281" s="1"/>
      <c r="K281" s="1"/>
      <c r="L281" s="1"/>
      <c r="M281" s="45"/>
      <c r="N281" s="45"/>
      <c r="O281" s="45"/>
      <c r="P281" s="1"/>
      <c r="Q281" s="1"/>
      <c r="R281" s="1"/>
      <c r="S281" s="1"/>
      <c r="T281" s="1"/>
      <c r="U281" s="1"/>
      <c r="V281" s="1"/>
      <c r="W281" s="1"/>
      <c r="X281" s="44"/>
    </row>
    <row r="282">
      <c r="F282" s="1"/>
      <c r="G282" s="1"/>
      <c r="H282" s="1"/>
      <c r="I282" s="1"/>
      <c r="J282" s="1"/>
      <c r="K282" s="1"/>
      <c r="L282" s="1"/>
      <c r="M282" s="45"/>
      <c r="N282" s="45"/>
      <c r="O282" s="45"/>
      <c r="P282" s="1"/>
      <c r="Q282" s="1"/>
      <c r="R282" s="1"/>
      <c r="S282" s="1"/>
      <c r="T282" s="1"/>
      <c r="U282" s="1"/>
      <c r="V282" s="1"/>
      <c r="W282" s="1"/>
      <c r="X282" s="44"/>
    </row>
    <row r="283">
      <c r="F283" s="1"/>
      <c r="G283" s="1"/>
      <c r="H283" s="1"/>
      <c r="I283" s="1"/>
      <c r="J283" s="1"/>
      <c r="K283" s="1"/>
      <c r="L283" s="1"/>
      <c r="M283" s="45"/>
      <c r="N283" s="45"/>
      <c r="O283" s="45"/>
      <c r="P283" s="1"/>
      <c r="Q283" s="1"/>
      <c r="R283" s="1"/>
      <c r="S283" s="1"/>
      <c r="T283" s="1"/>
      <c r="U283" s="1"/>
      <c r="V283" s="1"/>
      <c r="W283" s="1"/>
      <c r="X283" s="44"/>
    </row>
    <row r="284">
      <c r="F284" s="1"/>
      <c r="G284" s="1"/>
      <c r="H284" s="1"/>
      <c r="I284" s="1"/>
      <c r="J284" s="1"/>
      <c r="K284" s="1"/>
      <c r="L284" s="1"/>
      <c r="M284" s="45"/>
      <c r="N284" s="45"/>
      <c r="O284" s="45"/>
      <c r="P284" s="1"/>
      <c r="Q284" s="1"/>
      <c r="R284" s="1"/>
      <c r="S284" s="1"/>
      <c r="T284" s="1"/>
      <c r="U284" s="1"/>
      <c r="V284" s="1"/>
      <c r="W284" s="1"/>
      <c r="X284" s="44"/>
    </row>
    <row r="285">
      <c r="F285" s="1"/>
      <c r="G285" s="1"/>
      <c r="H285" s="1"/>
      <c r="I285" s="1"/>
      <c r="J285" s="1"/>
      <c r="K285" s="1"/>
      <c r="L285" s="1"/>
      <c r="M285" s="45"/>
      <c r="N285" s="45"/>
      <c r="O285" s="45"/>
      <c r="P285" s="1"/>
      <c r="Q285" s="1"/>
      <c r="R285" s="1"/>
      <c r="S285" s="1"/>
      <c r="T285" s="1"/>
      <c r="U285" s="1"/>
      <c r="V285" s="1"/>
      <c r="W285" s="1"/>
      <c r="X285" s="44"/>
    </row>
    <row r="286">
      <c r="F286" s="1"/>
      <c r="G286" s="1"/>
      <c r="H286" s="1"/>
      <c r="I286" s="1"/>
      <c r="J286" s="1"/>
      <c r="K286" s="1"/>
      <c r="L286" s="1"/>
      <c r="M286" s="45"/>
      <c r="N286" s="45"/>
      <c r="O286" s="45"/>
      <c r="P286" s="1"/>
      <c r="Q286" s="1"/>
      <c r="R286" s="1"/>
      <c r="S286" s="1"/>
      <c r="T286" s="1"/>
      <c r="U286" s="1"/>
      <c r="V286" s="1"/>
      <c r="W286" s="1"/>
      <c r="X286" s="44"/>
    </row>
    <row r="287">
      <c r="F287" s="1"/>
      <c r="G287" s="1"/>
      <c r="H287" s="1"/>
      <c r="I287" s="1"/>
      <c r="J287" s="1"/>
      <c r="K287" s="1"/>
      <c r="L287" s="1"/>
      <c r="M287" s="45"/>
      <c r="N287" s="45"/>
      <c r="O287" s="45"/>
      <c r="P287" s="1"/>
      <c r="Q287" s="1"/>
      <c r="R287" s="1"/>
      <c r="S287" s="1"/>
      <c r="T287" s="1"/>
      <c r="U287" s="1"/>
      <c r="V287" s="1"/>
      <c r="W287" s="1"/>
      <c r="X287" s="44"/>
    </row>
    <row r="288">
      <c r="F288" s="1"/>
      <c r="G288" s="1"/>
      <c r="H288" s="1"/>
      <c r="I288" s="1"/>
      <c r="J288" s="1"/>
      <c r="K288" s="1"/>
      <c r="L288" s="1"/>
      <c r="M288" s="45"/>
      <c r="N288" s="45"/>
      <c r="O288" s="45"/>
      <c r="P288" s="1"/>
      <c r="Q288" s="1"/>
      <c r="R288" s="1"/>
      <c r="S288" s="1"/>
      <c r="T288" s="1"/>
      <c r="U288" s="1"/>
      <c r="V288" s="1"/>
      <c r="W288" s="1"/>
      <c r="X288" s="44"/>
    </row>
    <row r="289">
      <c r="F289" s="1"/>
      <c r="G289" s="1"/>
      <c r="H289" s="1"/>
      <c r="I289" s="1"/>
      <c r="J289" s="1"/>
      <c r="K289" s="1"/>
      <c r="L289" s="1"/>
      <c r="M289" s="45"/>
      <c r="N289" s="45"/>
      <c r="O289" s="45"/>
      <c r="P289" s="1"/>
      <c r="Q289" s="1"/>
      <c r="R289" s="1"/>
      <c r="S289" s="1"/>
      <c r="T289" s="1"/>
      <c r="U289" s="1"/>
      <c r="V289" s="1"/>
      <c r="W289" s="1"/>
      <c r="X289" s="44"/>
    </row>
    <row r="290">
      <c r="F290" s="1"/>
      <c r="G290" s="1"/>
      <c r="H290" s="1"/>
      <c r="I290" s="1"/>
      <c r="J290" s="1"/>
      <c r="K290" s="1"/>
      <c r="L290" s="1"/>
      <c r="M290" s="45"/>
      <c r="N290" s="45"/>
      <c r="O290" s="45"/>
      <c r="P290" s="1"/>
      <c r="Q290" s="1"/>
      <c r="R290" s="1"/>
      <c r="S290" s="1"/>
      <c r="T290" s="1"/>
      <c r="U290" s="1"/>
      <c r="V290" s="1"/>
      <c r="W290" s="1"/>
      <c r="X290" s="44"/>
    </row>
    <row r="291">
      <c r="F291" s="1"/>
      <c r="G291" s="1"/>
      <c r="H291" s="1"/>
      <c r="I291" s="1"/>
      <c r="J291" s="1"/>
      <c r="K291" s="1"/>
      <c r="L291" s="1"/>
      <c r="M291" s="45"/>
      <c r="N291" s="45"/>
      <c r="O291" s="45"/>
      <c r="P291" s="1"/>
      <c r="Q291" s="1"/>
      <c r="R291" s="1"/>
      <c r="S291" s="1"/>
      <c r="T291" s="1"/>
      <c r="U291" s="1"/>
      <c r="V291" s="1"/>
      <c r="W291" s="1"/>
      <c r="X291" s="44"/>
    </row>
    <row r="292">
      <c r="F292" s="1"/>
      <c r="G292" s="1"/>
      <c r="H292" s="1"/>
      <c r="I292" s="1"/>
      <c r="J292" s="1"/>
      <c r="K292" s="1"/>
      <c r="L292" s="1"/>
      <c r="M292" s="45"/>
      <c r="N292" s="45"/>
      <c r="O292" s="45"/>
      <c r="P292" s="1"/>
      <c r="Q292" s="1"/>
      <c r="R292" s="1"/>
      <c r="S292" s="1"/>
      <c r="T292" s="1"/>
      <c r="U292" s="1"/>
      <c r="V292" s="1"/>
      <c r="W292" s="1"/>
      <c r="X292" s="44"/>
    </row>
    <row r="293">
      <c r="F293" s="1"/>
      <c r="G293" s="1"/>
      <c r="H293" s="1"/>
      <c r="I293" s="1"/>
      <c r="J293" s="1"/>
      <c r="K293" s="1"/>
      <c r="L293" s="1"/>
      <c r="M293" s="45"/>
      <c r="N293" s="45"/>
      <c r="O293" s="45"/>
      <c r="P293" s="1"/>
      <c r="Q293" s="1"/>
      <c r="R293" s="1"/>
      <c r="S293" s="1"/>
      <c r="T293" s="1"/>
      <c r="U293" s="1"/>
      <c r="V293" s="1"/>
      <c r="W293" s="1"/>
      <c r="X293" s="44"/>
    </row>
    <row r="294">
      <c r="F294" s="1"/>
      <c r="G294" s="1"/>
      <c r="H294" s="1"/>
      <c r="I294" s="1"/>
      <c r="J294" s="1"/>
      <c r="K294" s="1"/>
      <c r="L294" s="1"/>
      <c r="M294" s="45"/>
      <c r="N294" s="45"/>
      <c r="O294" s="45"/>
      <c r="P294" s="1"/>
      <c r="Q294" s="1"/>
      <c r="R294" s="1"/>
      <c r="S294" s="1"/>
      <c r="T294" s="1"/>
      <c r="U294" s="1"/>
      <c r="V294" s="1"/>
      <c r="W294" s="1"/>
      <c r="X294" s="44"/>
    </row>
    <row r="295">
      <c r="F295" s="1"/>
      <c r="G295" s="1"/>
      <c r="H295" s="1"/>
      <c r="I295" s="1"/>
      <c r="J295" s="1"/>
      <c r="K295" s="1"/>
      <c r="L295" s="1"/>
      <c r="M295" s="45"/>
      <c r="N295" s="45"/>
      <c r="O295" s="45"/>
      <c r="P295" s="1"/>
      <c r="Q295" s="1"/>
      <c r="R295" s="1"/>
      <c r="S295" s="1"/>
      <c r="T295" s="1"/>
      <c r="U295" s="1"/>
      <c r="V295" s="1"/>
      <c r="W295" s="1"/>
      <c r="X295" s="44"/>
    </row>
    <row r="296">
      <c r="F296" s="1"/>
      <c r="G296" s="1"/>
      <c r="H296" s="1"/>
      <c r="I296" s="1"/>
      <c r="J296" s="1"/>
      <c r="K296" s="1"/>
      <c r="L296" s="1"/>
      <c r="M296" s="45"/>
      <c r="N296" s="45"/>
      <c r="O296" s="45"/>
      <c r="P296" s="1"/>
      <c r="Q296" s="1"/>
      <c r="R296" s="1"/>
      <c r="S296" s="1"/>
      <c r="T296" s="1"/>
      <c r="U296" s="1"/>
      <c r="V296" s="1"/>
      <c r="W296" s="1"/>
      <c r="X296" s="44"/>
    </row>
    <row r="297">
      <c r="F297" s="1"/>
      <c r="G297" s="1"/>
      <c r="H297" s="1"/>
      <c r="I297" s="1"/>
      <c r="J297" s="1"/>
      <c r="K297" s="1"/>
      <c r="L297" s="1"/>
      <c r="M297" s="45"/>
      <c r="N297" s="45"/>
      <c r="O297" s="45"/>
      <c r="P297" s="1"/>
      <c r="Q297" s="1"/>
      <c r="R297" s="1"/>
      <c r="S297" s="1"/>
      <c r="T297" s="1"/>
      <c r="U297" s="1"/>
      <c r="V297" s="1"/>
      <c r="W297" s="1"/>
      <c r="X297" s="44"/>
    </row>
    <row r="298">
      <c r="F298" s="1"/>
      <c r="G298" s="1"/>
      <c r="H298" s="1"/>
      <c r="I298" s="1"/>
      <c r="J298" s="1"/>
      <c r="K298" s="1"/>
      <c r="L298" s="1"/>
      <c r="M298" s="45"/>
      <c r="N298" s="45"/>
      <c r="O298" s="45"/>
      <c r="P298" s="1"/>
      <c r="Q298" s="1"/>
      <c r="R298" s="1"/>
      <c r="S298" s="1"/>
      <c r="T298" s="1"/>
      <c r="U298" s="1"/>
      <c r="V298" s="1"/>
      <c r="W298" s="1"/>
      <c r="X298" s="44"/>
    </row>
    <row r="299">
      <c r="F299" s="1"/>
      <c r="G299" s="1"/>
      <c r="H299" s="1"/>
      <c r="I299" s="1"/>
      <c r="J299" s="1"/>
      <c r="K299" s="1"/>
      <c r="L299" s="1"/>
      <c r="M299" s="45"/>
      <c r="N299" s="45"/>
      <c r="O299" s="45"/>
      <c r="P299" s="1"/>
      <c r="Q299" s="1"/>
      <c r="R299" s="1"/>
      <c r="S299" s="1"/>
      <c r="T299" s="1"/>
      <c r="U299" s="1"/>
      <c r="V299" s="1"/>
      <c r="W299" s="1"/>
      <c r="X299" s="44"/>
    </row>
    <row r="300">
      <c r="F300" s="1"/>
      <c r="G300" s="1"/>
      <c r="H300" s="1"/>
      <c r="I300" s="1"/>
      <c r="J300" s="1"/>
      <c r="K300" s="1"/>
      <c r="L300" s="1"/>
      <c r="M300" s="45"/>
      <c r="N300" s="45"/>
      <c r="O300" s="45"/>
      <c r="P300" s="1"/>
      <c r="Q300" s="1"/>
      <c r="R300" s="1"/>
      <c r="S300" s="1"/>
      <c r="T300" s="1"/>
      <c r="U300" s="1"/>
      <c r="V300" s="1"/>
      <c r="W300" s="1"/>
      <c r="X300" s="44"/>
    </row>
    <row r="301">
      <c r="F301" s="1"/>
      <c r="G301" s="1"/>
      <c r="H301" s="1"/>
      <c r="I301" s="1"/>
      <c r="J301" s="1"/>
      <c r="K301" s="1"/>
      <c r="L301" s="1"/>
      <c r="M301" s="45"/>
      <c r="N301" s="45"/>
      <c r="O301" s="45"/>
      <c r="P301" s="1"/>
      <c r="Q301" s="1"/>
      <c r="R301" s="1"/>
      <c r="S301" s="1"/>
      <c r="T301" s="1"/>
      <c r="U301" s="1"/>
      <c r="V301" s="1"/>
      <c r="W301" s="1"/>
      <c r="X301" s="44"/>
    </row>
    <row r="302">
      <c r="F302" s="1"/>
      <c r="G302" s="1"/>
      <c r="H302" s="1"/>
      <c r="I302" s="1"/>
      <c r="J302" s="1"/>
      <c r="K302" s="1"/>
      <c r="L302" s="1"/>
      <c r="M302" s="45"/>
      <c r="N302" s="45"/>
      <c r="O302" s="45"/>
      <c r="P302" s="1"/>
      <c r="Q302" s="1"/>
      <c r="R302" s="1"/>
      <c r="S302" s="1"/>
      <c r="T302" s="1"/>
      <c r="U302" s="1"/>
      <c r="V302" s="1"/>
      <c r="W302" s="1"/>
      <c r="X302" s="44"/>
    </row>
    <row r="303">
      <c r="F303" s="1"/>
      <c r="G303" s="1"/>
      <c r="H303" s="1"/>
      <c r="I303" s="1"/>
      <c r="J303" s="1"/>
      <c r="K303" s="1"/>
      <c r="L303" s="1"/>
      <c r="M303" s="45"/>
      <c r="N303" s="45"/>
      <c r="O303" s="45"/>
      <c r="P303" s="1"/>
      <c r="Q303" s="1"/>
      <c r="R303" s="1"/>
      <c r="S303" s="1"/>
      <c r="T303" s="1"/>
      <c r="U303" s="1"/>
      <c r="V303" s="1"/>
      <c r="W303" s="1"/>
      <c r="X303" s="44"/>
    </row>
    <row r="304">
      <c r="F304" s="1"/>
      <c r="G304" s="1"/>
      <c r="H304" s="1"/>
      <c r="I304" s="1"/>
      <c r="J304" s="1"/>
      <c r="K304" s="1"/>
      <c r="L304" s="1"/>
      <c r="M304" s="45"/>
      <c r="N304" s="45"/>
      <c r="O304" s="45"/>
      <c r="P304" s="1"/>
      <c r="Q304" s="1"/>
      <c r="R304" s="1"/>
      <c r="S304" s="1"/>
      <c r="T304" s="1"/>
      <c r="U304" s="1"/>
      <c r="V304" s="1"/>
      <c r="W304" s="1"/>
      <c r="X304" s="44"/>
    </row>
    <row r="305">
      <c r="F305" s="1"/>
      <c r="G305" s="1"/>
      <c r="H305" s="1"/>
      <c r="I305" s="1"/>
      <c r="J305" s="1"/>
      <c r="K305" s="1"/>
      <c r="L305" s="1"/>
      <c r="M305" s="45"/>
      <c r="N305" s="45"/>
      <c r="O305" s="45"/>
      <c r="P305" s="1"/>
      <c r="Q305" s="1"/>
      <c r="R305" s="1"/>
      <c r="S305" s="1"/>
      <c r="T305" s="1"/>
      <c r="U305" s="1"/>
      <c r="V305" s="1"/>
      <c r="W305" s="1"/>
      <c r="X305" s="44"/>
    </row>
    <row r="306">
      <c r="F306" s="1"/>
      <c r="G306" s="1"/>
      <c r="H306" s="1"/>
      <c r="I306" s="1"/>
      <c r="J306" s="1"/>
      <c r="K306" s="1"/>
      <c r="L306" s="1"/>
      <c r="M306" s="45"/>
      <c r="N306" s="45"/>
      <c r="O306" s="45"/>
      <c r="P306" s="1"/>
      <c r="Q306" s="1"/>
      <c r="R306" s="1"/>
      <c r="S306" s="1"/>
      <c r="T306" s="1"/>
      <c r="U306" s="1"/>
      <c r="V306" s="1"/>
      <c r="W306" s="1"/>
      <c r="X306" s="44"/>
    </row>
    <row r="307">
      <c r="F307" s="1"/>
      <c r="G307" s="1"/>
      <c r="H307" s="1"/>
      <c r="I307" s="1"/>
      <c r="J307" s="1"/>
      <c r="K307" s="1"/>
      <c r="L307" s="1"/>
      <c r="M307" s="45"/>
      <c r="N307" s="45"/>
      <c r="O307" s="45"/>
      <c r="P307" s="1"/>
      <c r="Q307" s="1"/>
      <c r="R307" s="1"/>
      <c r="S307" s="1"/>
      <c r="T307" s="1"/>
      <c r="U307" s="1"/>
      <c r="V307" s="1"/>
      <c r="W307" s="1"/>
      <c r="X307" s="44"/>
    </row>
    <row r="308">
      <c r="F308" s="1"/>
      <c r="G308" s="1"/>
      <c r="H308" s="1"/>
      <c r="I308" s="1"/>
      <c r="J308" s="1"/>
      <c r="K308" s="1"/>
      <c r="L308" s="1"/>
      <c r="M308" s="45"/>
      <c r="N308" s="45"/>
      <c r="O308" s="45"/>
      <c r="P308" s="1"/>
      <c r="Q308" s="1"/>
      <c r="R308" s="1"/>
      <c r="S308" s="1"/>
      <c r="T308" s="1"/>
      <c r="U308" s="1"/>
      <c r="V308" s="1"/>
      <c r="W308" s="1"/>
      <c r="X308" s="44"/>
    </row>
    <row r="309">
      <c r="F309" s="1"/>
      <c r="G309" s="1"/>
      <c r="H309" s="1"/>
      <c r="I309" s="1"/>
      <c r="J309" s="1"/>
      <c r="K309" s="1"/>
      <c r="L309" s="1"/>
      <c r="M309" s="45"/>
      <c r="N309" s="45"/>
      <c r="O309" s="45"/>
      <c r="P309" s="1"/>
      <c r="Q309" s="1"/>
      <c r="R309" s="1"/>
      <c r="S309" s="1"/>
      <c r="T309" s="1"/>
      <c r="U309" s="1"/>
      <c r="V309" s="1"/>
      <c r="W309" s="1"/>
      <c r="X309" s="44"/>
    </row>
    <row r="310">
      <c r="F310" s="1"/>
      <c r="G310" s="1"/>
      <c r="H310" s="1"/>
      <c r="I310" s="1"/>
      <c r="J310" s="1"/>
      <c r="K310" s="1"/>
      <c r="L310" s="1"/>
      <c r="M310" s="45"/>
      <c r="N310" s="45"/>
      <c r="O310" s="45"/>
      <c r="P310" s="1"/>
      <c r="Q310" s="1"/>
      <c r="R310" s="1"/>
      <c r="S310" s="1"/>
      <c r="T310" s="1"/>
      <c r="U310" s="1"/>
      <c r="V310" s="1"/>
      <c r="W310" s="1"/>
      <c r="X310" s="44"/>
    </row>
    <row r="311">
      <c r="F311" s="1"/>
      <c r="G311" s="1"/>
      <c r="H311" s="1"/>
      <c r="I311" s="1"/>
      <c r="J311" s="1"/>
      <c r="K311" s="1"/>
      <c r="L311" s="1"/>
      <c r="M311" s="45"/>
      <c r="N311" s="45"/>
      <c r="O311" s="45"/>
      <c r="P311" s="1"/>
      <c r="Q311" s="1"/>
      <c r="R311" s="1"/>
      <c r="S311" s="1"/>
      <c r="T311" s="1"/>
      <c r="U311" s="1"/>
      <c r="V311" s="1"/>
      <c r="W311" s="1"/>
      <c r="X311" s="44"/>
    </row>
    <row r="312">
      <c r="F312" s="1"/>
      <c r="G312" s="1"/>
      <c r="H312" s="1"/>
      <c r="I312" s="1"/>
      <c r="J312" s="1"/>
      <c r="K312" s="1"/>
      <c r="L312" s="1"/>
      <c r="M312" s="45"/>
      <c r="N312" s="45"/>
      <c r="O312" s="45"/>
      <c r="P312" s="1"/>
      <c r="Q312" s="1"/>
      <c r="R312" s="1"/>
      <c r="S312" s="1"/>
      <c r="T312" s="1"/>
      <c r="U312" s="1"/>
      <c r="V312" s="1"/>
      <c r="W312" s="1"/>
      <c r="X312" s="44"/>
    </row>
    <row r="313">
      <c r="F313" s="1"/>
      <c r="G313" s="1"/>
      <c r="H313" s="1"/>
      <c r="I313" s="1"/>
      <c r="J313" s="1"/>
      <c r="K313" s="1"/>
      <c r="L313" s="1"/>
      <c r="M313" s="45"/>
      <c r="N313" s="45"/>
      <c r="O313" s="45"/>
      <c r="P313" s="1"/>
      <c r="Q313" s="1"/>
      <c r="R313" s="1"/>
      <c r="S313" s="1"/>
      <c r="T313" s="1"/>
      <c r="U313" s="1"/>
      <c r="V313" s="1"/>
      <c r="W313" s="1"/>
      <c r="X313" s="44"/>
    </row>
    <row r="314">
      <c r="F314" s="1"/>
      <c r="G314" s="1"/>
      <c r="H314" s="1"/>
      <c r="I314" s="1"/>
      <c r="J314" s="1"/>
      <c r="K314" s="1"/>
      <c r="L314" s="1"/>
      <c r="M314" s="45"/>
      <c r="N314" s="45"/>
      <c r="O314" s="45"/>
      <c r="P314" s="1"/>
      <c r="Q314" s="1"/>
      <c r="R314" s="1"/>
      <c r="S314" s="1"/>
      <c r="T314" s="1"/>
      <c r="U314" s="1"/>
      <c r="V314" s="1"/>
      <c r="W314" s="1"/>
      <c r="X314" s="44"/>
    </row>
    <row r="315">
      <c r="F315" s="1"/>
      <c r="G315" s="1"/>
      <c r="H315" s="1"/>
      <c r="I315" s="1"/>
      <c r="J315" s="1"/>
      <c r="K315" s="1"/>
      <c r="L315" s="1"/>
      <c r="M315" s="45"/>
      <c r="N315" s="45"/>
      <c r="O315" s="45"/>
      <c r="P315" s="1"/>
      <c r="Q315" s="1"/>
      <c r="R315" s="1"/>
      <c r="S315" s="1"/>
      <c r="T315" s="1"/>
      <c r="U315" s="1"/>
      <c r="V315" s="1"/>
      <c r="W315" s="1"/>
      <c r="X315" s="44"/>
    </row>
    <row r="316">
      <c r="F316" s="1"/>
      <c r="G316" s="1"/>
      <c r="H316" s="1"/>
      <c r="I316" s="1"/>
      <c r="J316" s="1"/>
      <c r="K316" s="1"/>
      <c r="L316" s="1"/>
      <c r="M316" s="45"/>
      <c r="N316" s="45"/>
      <c r="O316" s="45"/>
      <c r="P316" s="1"/>
      <c r="Q316" s="1"/>
      <c r="R316" s="1"/>
      <c r="S316" s="1"/>
      <c r="T316" s="1"/>
      <c r="U316" s="1"/>
      <c r="V316" s="1"/>
      <c r="W316" s="1"/>
      <c r="X316" s="44"/>
    </row>
    <row r="317">
      <c r="F317" s="1"/>
      <c r="G317" s="1"/>
      <c r="H317" s="1"/>
      <c r="I317" s="1"/>
      <c r="J317" s="1"/>
      <c r="K317" s="1"/>
      <c r="L317" s="1"/>
      <c r="M317" s="45"/>
      <c r="N317" s="45"/>
      <c r="O317" s="45"/>
      <c r="P317" s="1"/>
      <c r="Q317" s="1"/>
      <c r="R317" s="1"/>
      <c r="S317" s="1"/>
      <c r="T317" s="1"/>
      <c r="U317" s="1"/>
      <c r="V317" s="1"/>
      <c r="W317" s="1"/>
      <c r="X317" s="44"/>
    </row>
    <row r="318">
      <c r="F318" s="1"/>
      <c r="G318" s="1"/>
      <c r="H318" s="1"/>
      <c r="I318" s="1"/>
      <c r="J318" s="1"/>
      <c r="K318" s="1"/>
      <c r="L318" s="1"/>
      <c r="M318" s="45"/>
      <c r="N318" s="45"/>
      <c r="O318" s="45"/>
      <c r="P318" s="1"/>
      <c r="Q318" s="1"/>
      <c r="R318" s="1"/>
      <c r="S318" s="1"/>
      <c r="T318" s="1"/>
      <c r="U318" s="1"/>
      <c r="V318" s="1"/>
      <c r="W318" s="1"/>
      <c r="X318" s="44"/>
    </row>
    <row r="319">
      <c r="F319" s="1"/>
      <c r="G319" s="1"/>
      <c r="H319" s="1"/>
      <c r="I319" s="1"/>
      <c r="J319" s="1"/>
      <c r="K319" s="1"/>
      <c r="L319" s="1"/>
      <c r="M319" s="45"/>
      <c r="N319" s="45"/>
      <c r="O319" s="45"/>
      <c r="P319" s="1"/>
      <c r="Q319" s="1"/>
      <c r="R319" s="1"/>
      <c r="S319" s="1"/>
      <c r="T319" s="1"/>
      <c r="U319" s="1"/>
      <c r="V319" s="1"/>
      <c r="W319" s="1"/>
      <c r="X319" s="44"/>
    </row>
    <row r="320">
      <c r="F320" s="1"/>
      <c r="G320" s="1"/>
      <c r="H320" s="1"/>
      <c r="I320" s="1"/>
      <c r="J320" s="1"/>
      <c r="K320" s="1"/>
      <c r="L320" s="1"/>
      <c r="M320" s="45"/>
      <c r="N320" s="45"/>
      <c r="O320" s="45"/>
      <c r="P320" s="1"/>
      <c r="Q320" s="1"/>
      <c r="R320" s="1"/>
      <c r="S320" s="1"/>
      <c r="T320" s="1"/>
      <c r="U320" s="1"/>
      <c r="V320" s="1"/>
      <c r="W320" s="1"/>
      <c r="X320" s="44"/>
    </row>
    <row r="321">
      <c r="F321" s="1"/>
      <c r="G321" s="1"/>
      <c r="H321" s="1"/>
      <c r="I321" s="1"/>
      <c r="J321" s="1"/>
      <c r="K321" s="1"/>
      <c r="L321" s="1"/>
      <c r="M321" s="45"/>
      <c r="N321" s="45"/>
      <c r="O321" s="45"/>
      <c r="P321" s="1"/>
      <c r="Q321" s="1"/>
      <c r="R321" s="1"/>
      <c r="S321" s="1"/>
      <c r="T321" s="1"/>
      <c r="U321" s="1"/>
      <c r="V321" s="1"/>
      <c r="W321" s="1"/>
      <c r="X321" s="44"/>
    </row>
    <row r="322">
      <c r="F322" s="1"/>
      <c r="G322" s="1"/>
      <c r="H322" s="1"/>
      <c r="I322" s="1"/>
      <c r="J322" s="1"/>
      <c r="K322" s="1"/>
      <c r="L322" s="1"/>
      <c r="M322" s="45"/>
      <c r="N322" s="45"/>
      <c r="O322" s="45"/>
      <c r="P322" s="1"/>
      <c r="Q322" s="1"/>
      <c r="R322" s="1"/>
      <c r="S322" s="1"/>
      <c r="T322" s="1"/>
      <c r="U322" s="1"/>
      <c r="V322" s="1"/>
      <c r="W322" s="1"/>
      <c r="X322" s="44"/>
    </row>
    <row r="323">
      <c r="F323" s="1"/>
      <c r="G323" s="1"/>
      <c r="H323" s="1"/>
      <c r="I323" s="1"/>
      <c r="J323" s="1"/>
      <c r="K323" s="1"/>
      <c r="L323" s="1"/>
      <c r="M323" s="45"/>
      <c r="N323" s="45"/>
      <c r="O323" s="45"/>
      <c r="P323" s="1"/>
      <c r="Q323" s="1"/>
      <c r="R323" s="1"/>
      <c r="S323" s="1"/>
      <c r="T323" s="1"/>
      <c r="U323" s="1"/>
      <c r="V323" s="1"/>
      <c r="W323" s="1"/>
      <c r="X323" s="44"/>
    </row>
    <row r="324">
      <c r="F324" s="1"/>
      <c r="G324" s="1"/>
      <c r="H324" s="1"/>
      <c r="I324" s="1"/>
      <c r="J324" s="1"/>
      <c r="K324" s="1"/>
      <c r="L324" s="1"/>
      <c r="M324" s="45"/>
      <c r="N324" s="45"/>
      <c r="O324" s="45"/>
      <c r="P324" s="1"/>
      <c r="Q324" s="1"/>
      <c r="R324" s="1"/>
      <c r="S324" s="1"/>
      <c r="T324" s="1"/>
      <c r="U324" s="1"/>
      <c r="V324" s="1"/>
      <c r="W324" s="1"/>
      <c r="X324" s="44"/>
    </row>
    <row r="325">
      <c r="F325" s="1"/>
      <c r="G325" s="1"/>
      <c r="H325" s="1"/>
      <c r="I325" s="1"/>
      <c r="J325" s="1"/>
      <c r="K325" s="1"/>
      <c r="L325" s="1"/>
      <c r="M325" s="45"/>
      <c r="N325" s="45"/>
      <c r="O325" s="45"/>
      <c r="P325" s="1"/>
      <c r="Q325" s="1"/>
      <c r="R325" s="1"/>
      <c r="S325" s="1"/>
      <c r="T325" s="1"/>
      <c r="U325" s="1"/>
      <c r="V325" s="1"/>
      <c r="W325" s="1"/>
      <c r="X325" s="44"/>
    </row>
    <row r="326">
      <c r="F326" s="1"/>
      <c r="G326" s="1"/>
      <c r="H326" s="1"/>
      <c r="I326" s="1"/>
      <c r="J326" s="1"/>
      <c r="K326" s="1"/>
      <c r="L326" s="1"/>
      <c r="M326" s="45"/>
      <c r="N326" s="45"/>
      <c r="O326" s="45"/>
      <c r="P326" s="1"/>
      <c r="Q326" s="1"/>
      <c r="R326" s="1"/>
      <c r="S326" s="1"/>
      <c r="T326" s="1"/>
      <c r="U326" s="1"/>
      <c r="V326" s="1"/>
      <c r="W326" s="1"/>
      <c r="X326" s="44"/>
    </row>
    <row r="327">
      <c r="F327" s="44"/>
      <c r="G327" s="44"/>
      <c r="H327" s="44"/>
      <c r="I327" s="44"/>
      <c r="J327" s="44"/>
      <c r="K327" s="44"/>
      <c r="L327" s="44"/>
      <c r="M327" s="45"/>
      <c r="N327" s="45"/>
      <c r="O327" s="45"/>
      <c r="P327" s="44"/>
      <c r="Q327" s="44"/>
      <c r="R327" s="44"/>
      <c r="S327" s="44"/>
      <c r="T327" s="44"/>
      <c r="U327" s="44"/>
      <c r="V327" s="44"/>
      <c r="W327" s="44"/>
      <c r="X327" s="44"/>
    </row>
    <row r="328">
      <c r="F328" s="44"/>
      <c r="G328" s="44"/>
      <c r="H328" s="44"/>
      <c r="I328" s="44"/>
      <c r="J328" s="44"/>
      <c r="K328" s="44"/>
      <c r="L328" s="44"/>
      <c r="M328" s="45"/>
      <c r="N328" s="45"/>
      <c r="O328" s="45"/>
      <c r="P328" s="44"/>
      <c r="Q328" s="44"/>
      <c r="R328" s="44"/>
      <c r="S328" s="44"/>
      <c r="T328" s="44"/>
      <c r="U328" s="44"/>
      <c r="V328" s="44"/>
      <c r="W328" s="44"/>
      <c r="X328" s="44"/>
    </row>
    <row r="329">
      <c r="F329" s="44"/>
      <c r="G329" s="44"/>
      <c r="H329" s="44"/>
      <c r="I329" s="44"/>
      <c r="J329" s="44"/>
      <c r="K329" s="44"/>
      <c r="L329" s="44"/>
      <c r="M329" s="45"/>
      <c r="N329" s="45"/>
      <c r="O329" s="45"/>
      <c r="P329" s="44"/>
      <c r="Q329" s="44"/>
      <c r="R329" s="44"/>
      <c r="S329" s="44"/>
      <c r="T329" s="44"/>
      <c r="U329" s="44"/>
      <c r="V329" s="44"/>
      <c r="W329" s="44"/>
      <c r="X329" s="44"/>
    </row>
    <row r="330">
      <c r="F330" s="44"/>
      <c r="G330" s="44"/>
      <c r="H330" s="44"/>
      <c r="I330" s="44"/>
      <c r="J330" s="44"/>
      <c r="K330" s="44"/>
      <c r="L330" s="44"/>
      <c r="M330" s="45"/>
      <c r="N330" s="45"/>
      <c r="O330" s="45"/>
      <c r="P330" s="44"/>
      <c r="Q330" s="44"/>
      <c r="R330" s="44"/>
      <c r="S330" s="44"/>
      <c r="T330" s="44"/>
      <c r="U330" s="44"/>
      <c r="V330" s="44"/>
      <c r="W330" s="44"/>
      <c r="X330" s="44"/>
    </row>
    <row r="331">
      <c r="F331" s="44"/>
      <c r="G331" s="44"/>
      <c r="H331" s="44"/>
      <c r="I331" s="44"/>
      <c r="J331" s="44"/>
      <c r="K331" s="44"/>
      <c r="L331" s="44"/>
      <c r="M331" s="45"/>
      <c r="N331" s="45"/>
      <c r="O331" s="45"/>
      <c r="P331" s="44"/>
      <c r="Q331" s="44"/>
      <c r="R331" s="44"/>
      <c r="S331" s="44"/>
      <c r="T331" s="44"/>
      <c r="U331" s="44"/>
      <c r="V331" s="44"/>
      <c r="W331" s="44"/>
      <c r="X331" s="44"/>
    </row>
    <row r="332">
      <c r="F332" s="44"/>
      <c r="G332" s="44"/>
      <c r="H332" s="44"/>
      <c r="I332" s="44"/>
      <c r="J332" s="44"/>
      <c r="K332" s="44"/>
      <c r="L332" s="44"/>
      <c r="M332" s="45"/>
      <c r="N332" s="45"/>
      <c r="O332" s="45"/>
      <c r="P332" s="44"/>
      <c r="Q332" s="44"/>
      <c r="R332" s="44"/>
      <c r="S332" s="44"/>
      <c r="T332" s="44"/>
      <c r="U332" s="44"/>
      <c r="V332" s="44"/>
      <c r="W332" s="44"/>
      <c r="X332" s="44"/>
    </row>
    <row r="333">
      <c r="F333" s="44"/>
      <c r="G333" s="44"/>
      <c r="H333" s="44"/>
      <c r="I333" s="44"/>
      <c r="J333" s="44"/>
      <c r="K333" s="44"/>
      <c r="L333" s="44"/>
      <c r="M333" s="45"/>
      <c r="N333" s="45"/>
      <c r="O333" s="45"/>
      <c r="P333" s="44"/>
      <c r="Q333" s="44"/>
      <c r="R333" s="44"/>
      <c r="S333" s="44"/>
      <c r="T333" s="44"/>
      <c r="U333" s="44"/>
      <c r="V333" s="44"/>
      <c r="W333" s="44"/>
      <c r="X333" s="44"/>
    </row>
    <row r="334">
      <c r="F334" s="44"/>
      <c r="G334" s="44"/>
      <c r="H334" s="44"/>
      <c r="I334" s="44"/>
      <c r="J334" s="44"/>
      <c r="K334" s="44"/>
      <c r="L334" s="44"/>
      <c r="M334" s="45"/>
      <c r="N334" s="45"/>
      <c r="O334" s="45"/>
      <c r="P334" s="44"/>
      <c r="Q334" s="44"/>
      <c r="R334" s="44"/>
      <c r="S334" s="44"/>
      <c r="T334" s="44"/>
      <c r="U334" s="44"/>
      <c r="V334" s="44"/>
      <c r="W334" s="44"/>
      <c r="X334" s="44"/>
    </row>
    <row r="335">
      <c r="F335" s="44"/>
      <c r="G335" s="44"/>
      <c r="H335" s="44"/>
      <c r="I335" s="44"/>
      <c r="J335" s="44"/>
      <c r="K335" s="44"/>
      <c r="L335" s="44"/>
      <c r="M335" s="45"/>
      <c r="N335" s="45"/>
      <c r="O335" s="45"/>
      <c r="P335" s="44"/>
      <c r="Q335" s="44"/>
      <c r="R335" s="44"/>
      <c r="S335" s="44"/>
      <c r="T335" s="44"/>
      <c r="U335" s="44"/>
      <c r="V335" s="44"/>
      <c r="W335" s="44"/>
      <c r="X335" s="44"/>
    </row>
    <row r="336">
      <c r="F336" s="44"/>
      <c r="G336" s="44"/>
      <c r="H336" s="44"/>
      <c r="I336" s="44"/>
      <c r="J336" s="44"/>
      <c r="K336" s="44"/>
      <c r="L336" s="44"/>
      <c r="M336" s="45"/>
      <c r="N336" s="45"/>
      <c r="O336" s="45"/>
      <c r="P336" s="44"/>
      <c r="Q336" s="44"/>
      <c r="R336" s="44"/>
      <c r="S336" s="44"/>
      <c r="T336" s="44"/>
      <c r="U336" s="44"/>
      <c r="V336" s="44"/>
      <c r="W336" s="44"/>
      <c r="X336" s="44"/>
    </row>
    <row r="337">
      <c r="F337" s="44"/>
      <c r="G337" s="44"/>
      <c r="H337" s="44"/>
      <c r="I337" s="44"/>
      <c r="J337" s="44"/>
      <c r="K337" s="44"/>
      <c r="L337" s="44"/>
      <c r="M337" s="45"/>
      <c r="N337" s="45"/>
      <c r="O337" s="45"/>
      <c r="P337" s="44"/>
      <c r="Q337" s="44"/>
      <c r="R337" s="44"/>
      <c r="S337" s="44"/>
      <c r="T337" s="44"/>
      <c r="U337" s="44"/>
      <c r="V337" s="44"/>
      <c r="W337" s="44"/>
      <c r="X337" s="44"/>
    </row>
    <row r="338">
      <c r="F338" s="44"/>
      <c r="G338" s="44"/>
      <c r="H338" s="44"/>
      <c r="I338" s="44"/>
      <c r="J338" s="44"/>
      <c r="K338" s="44"/>
      <c r="L338" s="44"/>
      <c r="M338" s="45"/>
      <c r="N338" s="45"/>
      <c r="O338" s="45"/>
      <c r="P338" s="44"/>
      <c r="Q338" s="44"/>
      <c r="R338" s="44"/>
      <c r="S338" s="44"/>
      <c r="T338" s="44"/>
      <c r="U338" s="44"/>
      <c r="V338" s="44"/>
      <c r="W338" s="44"/>
      <c r="X338" s="44"/>
    </row>
    <row r="339">
      <c r="F339" s="44"/>
      <c r="G339" s="44"/>
      <c r="H339" s="44"/>
      <c r="I339" s="44"/>
      <c r="J339" s="44"/>
      <c r="K339" s="44"/>
      <c r="L339" s="44"/>
      <c r="M339" s="45"/>
      <c r="N339" s="45"/>
      <c r="O339" s="45"/>
      <c r="P339" s="44"/>
      <c r="Q339" s="44"/>
      <c r="R339" s="44"/>
      <c r="S339" s="44"/>
      <c r="T339" s="44"/>
      <c r="U339" s="44"/>
      <c r="V339" s="44"/>
      <c r="W339" s="44"/>
      <c r="X339" s="44"/>
    </row>
    <row r="340">
      <c r="F340" s="44"/>
      <c r="G340" s="44"/>
      <c r="H340" s="44"/>
      <c r="I340" s="44"/>
      <c r="J340" s="44"/>
      <c r="K340" s="44"/>
      <c r="L340" s="44"/>
      <c r="M340" s="45"/>
      <c r="N340" s="45"/>
      <c r="O340" s="45"/>
      <c r="P340" s="44"/>
      <c r="Q340" s="44"/>
      <c r="R340" s="44"/>
      <c r="S340" s="44"/>
      <c r="T340" s="44"/>
      <c r="U340" s="44"/>
      <c r="V340" s="44"/>
      <c r="W340" s="44"/>
      <c r="X340" s="44"/>
    </row>
    <row r="341">
      <c r="F341" s="44"/>
      <c r="G341" s="44"/>
      <c r="H341" s="44"/>
      <c r="I341" s="44"/>
      <c r="J341" s="44"/>
      <c r="K341" s="44"/>
      <c r="L341" s="44"/>
      <c r="M341" s="45"/>
      <c r="N341" s="45"/>
      <c r="O341" s="45"/>
      <c r="P341" s="44"/>
      <c r="Q341" s="44"/>
      <c r="R341" s="44"/>
      <c r="S341" s="44"/>
      <c r="T341" s="44"/>
      <c r="U341" s="44"/>
      <c r="V341" s="44"/>
      <c r="W341" s="44"/>
      <c r="X341" s="44"/>
    </row>
    <row r="342">
      <c r="F342" s="44"/>
      <c r="G342" s="44"/>
      <c r="H342" s="44"/>
      <c r="I342" s="44"/>
      <c r="J342" s="44"/>
      <c r="K342" s="44"/>
      <c r="L342" s="44"/>
      <c r="M342" s="45"/>
      <c r="N342" s="45"/>
      <c r="O342" s="45"/>
      <c r="P342" s="44"/>
      <c r="Q342" s="44"/>
      <c r="R342" s="44"/>
      <c r="S342" s="44"/>
      <c r="T342" s="44"/>
      <c r="U342" s="44"/>
      <c r="V342" s="44"/>
      <c r="W342" s="44"/>
      <c r="X342" s="44"/>
    </row>
    <row r="343">
      <c r="F343" s="44"/>
      <c r="G343" s="44"/>
      <c r="H343" s="44"/>
      <c r="I343" s="44"/>
      <c r="J343" s="44"/>
      <c r="K343" s="44"/>
      <c r="L343" s="44"/>
      <c r="M343" s="45"/>
      <c r="N343" s="45"/>
      <c r="O343" s="45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F344" s="44"/>
      <c r="G344" s="44"/>
      <c r="H344" s="44"/>
      <c r="I344" s="44"/>
      <c r="J344" s="44"/>
      <c r="K344" s="44"/>
      <c r="L344" s="44"/>
      <c r="M344" s="45"/>
      <c r="N344" s="45"/>
      <c r="O344" s="45"/>
      <c r="P344" s="44"/>
      <c r="Q344" s="44"/>
      <c r="R344" s="44"/>
      <c r="S344" s="44"/>
      <c r="T344" s="44"/>
      <c r="U344" s="44"/>
      <c r="V344" s="44"/>
      <c r="W344" s="44"/>
      <c r="X344" s="44"/>
    </row>
    <row r="345">
      <c r="F345" s="44"/>
      <c r="G345" s="44"/>
      <c r="H345" s="44"/>
      <c r="I345" s="44"/>
      <c r="J345" s="44"/>
      <c r="K345" s="44"/>
      <c r="L345" s="44"/>
      <c r="M345" s="45"/>
      <c r="N345" s="45"/>
      <c r="O345" s="45"/>
      <c r="P345" s="44"/>
      <c r="Q345" s="44"/>
      <c r="R345" s="44"/>
      <c r="S345" s="44"/>
      <c r="T345" s="44"/>
      <c r="U345" s="44"/>
      <c r="V345" s="44"/>
      <c r="W345" s="44"/>
      <c r="X345" s="44"/>
    </row>
    <row r="346">
      <c r="F346" s="44"/>
      <c r="G346" s="44"/>
      <c r="H346" s="44"/>
      <c r="I346" s="44"/>
      <c r="J346" s="44"/>
      <c r="K346" s="44"/>
      <c r="L346" s="44"/>
      <c r="M346" s="45"/>
      <c r="N346" s="45"/>
      <c r="O346" s="45"/>
      <c r="P346" s="44"/>
      <c r="Q346" s="44"/>
      <c r="R346" s="44"/>
      <c r="S346" s="44"/>
      <c r="T346" s="44"/>
      <c r="U346" s="44"/>
      <c r="V346" s="44"/>
      <c r="W346" s="44"/>
      <c r="X346" s="44"/>
    </row>
    <row r="347">
      <c r="F347" s="44"/>
      <c r="G347" s="44"/>
      <c r="H347" s="44"/>
      <c r="I347" s="44"/>
      <c r="J347" s="44"/>
      <c r="K347" s="44"/>
      <c r="L347" s="44"/>
      <c r="M347" s="45"/>
      <c r="N347" s="45"/>
      <c r="O347" s="45"/>
      <c r="P347" s="44"/>
      <c r="Q347" s="44"/>
      <c r="R347" s="44"/>
      <c r="S347" s="44"/>
      <c r="T347" s="44"/>
      <c r="U347" s="44"/>
      <c r="V347" s="44"/>
      <c r="W347" s="44"/>
      <c r="X347" s="44"/>
    </row>
    <row r="348">
      <c r="F348" s="44"/>
      <c r="G348" s="44"/>
      <c r="H348" s="44"/>
      <c r="I348" s="44"/>
      <c r="J348" s="44"/>
      <c r="K348" s="44"/>
      <c r="L348" s="44"/>
      <c r="M348" s="45"/>
      <c r="N348" s="45"/>
      <c r="O348" s="45"/>
      <c r="P348" s="44"/>
      <c r="Q348" s="44"/>
      <c r="R348" s="44"/>
      <c r="S348" s="44"/>
      <c r="T348" s="44"/>
      <c r="U348" s="44"/>
      <c r="V348" s="44"/>
      <c r="W348" s="44"/>
      <c r="X348" s="44"/>
    </row>
    <row r="349">
      <c r="F349" s="44"/>
      <c r="G349" s="44"/>
      <c r="H349" s="44"/>
      <c r="I349" s="44"/>
      <c r="J349" s="44"/>
      <c r="K349" s="44"/>
      <c r="L349" s="44"/>
      <c r="M349" s="45"/>
      <c r="N349" s="45"/>
      <c r="O349" s="45"/>
      <c r="P349" s="44"/>
      <c r="Q349" s="44"/>
      <c r="R349" s="44"/>
      <c r="S349" s="44"/>
      <c r="T349" s="44"/>
      <c r="U349" s="44"/>
      <c r="V349" s="44"/>
      <c r="W349" s="44"/>
      <c r="X349" s="44"/>
    </row>
    <row r="350">
      <c r="F350" s="44"/>
      <c r="G350" s="44"/>
      <c r="H350" s="44"/>
      <c r="I350" s="44"/>
      <c r="J350" s="44"/>
      <c r="K350" s="44"/>
      <c r="L350" s="44"/>
      <c r="M350" s="45"/>
      <c r="N350" s="45"/>
      <c r="O350" s="45"/>
      <c r="P350" s="44"/>
      <c r="Q350" s="44"/>
      <c r="R350" s="44"/>
      <c r="S350" s="44"/>
      <c r="T350" s="44"/>
      <c r="U350" s="44"/>
      <c r="V350" s="44"/>
      <c r="W350" s="44"/>
      <c r="X350" s="44"/>
    </row>
    <row r="351">
      <c r="F351" s="44"/>
      <c r="G351" s="44"/>
      <c r="H351" s="44"/>
      <c r="I351" s="44"/>
      <c r="J351" s="44"/>
      <c r="K351" s="44"/>
      <c r="L351" s="44"/>
      <c r="M351" s="45"/>
      <c r="N351" s="45"/>
      <c r="O351" s="45"/>
      <c r="P351" s="44"/>
      <c r="Q351" s="44"/>
      <c r="R351" s="44"/>
      <c r="S351" s="44"/>
      <c r="T351" s="44"/>
      <c r="U351" s="44"/>
      <c r="V351" s="44"/>
      <c r="W351" s="44"/>
      <c r="X351" s="44"/>
    </row>
    <row r="352">
      <c r="M352" s="45"/>
      <c r="N352" s="45"/>
      <c r="O352" s="45"/>
    </row>
    <row r="353">
      <c r="M353" s="45"/>
      <c r="N353" s="45"/>
      <c r="O353" s="45"/>
    </row>
    <row r="354">
      <c r="M354" s="45"/>
      <c r="N354" s="45"/>
      <c r="O354" s="45"/>
    </row>
    <row r="355">
      <c r="M355" s="45"/>
      <c r="N355" s="45"/>
      <c r="O355" s="45"/>
    </row>
  </sheetData>
  <mergeCells count="5">
    <mergeCell ref="B1:B4"/>
    <mergeCell ref="C1:E4"/>
    <mergeCell ref="F11:P11"/>
    <mergeCell ref="Q11:W11"/>
    <mergeCell ref="X11:AC11"/>
  </mergeCells>
  <hyperlinks>
    <hyperlink r:id="rId1" ref="D13"/>
    <hyperlink r:id="rId1" ref="D14"/>
    <hyperlink r:id="rId2" ref="D15"/>
    <hyperlink r:id="rId2" ref="D16"/>
    <hyperlink r:id="rId3" ref="D19"/>
    <hyperlink r:id="rId3" ref="D20"/>
    <hyperlink r:id="rId4" ref="D25"/>
    <hyperlink r:id="rId4" ref="D26"/>
    <hyperlink r:id="rId5" ref="D27"/>
    <hyperlink r:id="rId5" ref="D28"/>
    <hyperlink r:id="rId6" ref="D29"/>
    <hyperlink r:id="rId6" ref="D30"/>
    <hyperlink r:id="rId7" ref="D31"/>
    <hyperlink r:id="rId8" ref="D33"/>
    <hyperlink r:id="rId9" ref="D35"/>
    <hyperlink r:id="rId10" ref="D39"/>
    <hyperlink r:id="rId11" ref="D41"/>
    <hyperlink r:id="rId12" ref="D47"/>
  </hyperlinks>
  <printOptions headings="0" gridLines="0"/>
  <pageMargins left="0.69999999999999996" right="0.69999999999999996" top="0.75" bottom="0.75" header="0.29999999999999999" footer="0.29999999999999999"/>
  <pageSetup paperSize="9" scale="10" fitToWidth="1" fitToHeight="1" pageOrder="downThenOver" orientation="landscape" usePrinterDefaults="1" blackAndWhite="0" draft="0" cellComments="none" useFirstPageNumber="0" errors="displayed" horizontalDpi="300" verticalDpi="300" copies="1"/>
  <headerFooter/>
  <tableParts count="1">
    <tablePart r:id="rId1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ALTO" id="{00E700EA-0025-4C5E-91B4-000800E90060}">
            <xm:f>NOT(ISERROR(SEARCH("ALTO",O13)))</xm:f>
            <x14:dxf>
              <font>
                <b/>
                <i val="0"/>
                <color indexed="2"/>
              </font>
            </x14:dxf>
          </x14:cfRule>
          <xm:sqref>O13:O355</xm:sqref>
        </x14:conditionalFormatting>
        <x14:conditionalFormatting xmlns:xm="http://schemas.microsoft.com/office/excel/2006/main">
          <x14:cfRule type="containsText" priority="2" operator="containsText" text="BASSO" id="{00720007-003F-41ED-9B38-00F500AE00B7}">
            <xm:f>NOT(ISERROR(SEARCH("BASSO",O13)))</xm:f>
            <x14:dxf>
              <font>
                <b/>
                <i val="0"/>
                <color theme="9" tint="-0.499984740745262"/>
              </font>
            </x14:dxf>
          </x14:cfRule>
          <xm:sqref>O13:O355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Francesco Scavello</cp:lastModifiedBy>
  <cp:revision>1</cp:revision>
  <dcterms:created xsi:type="dcterms:W3CDTF">2015-06-05T18:19:34Z</dcterms:created>
  <dcterms:modified xsi:type="dcterms:W3CDTF">2025-09-15T08:54:42Z</dcterms:modified>
</cp:coreProperties>
</file>