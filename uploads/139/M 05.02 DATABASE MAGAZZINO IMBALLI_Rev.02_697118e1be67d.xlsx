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Qualita\Desktop\FRANCESCO\Copie\ISO 9001 - copia\Capitolo 05\"/>
    </mc:Choice>
  </mc:AlternateContent>
  <xr:revisionPtr revIDLastSave="0" documentId="13_ncr:1_{10465183-C456-40D9-B1EF-5D51E6D74884}" xr6:coauthVersionLast="47" xr6:coauthVersionMax="47" xr10:uidLastSave="{00000000-0000-0000-0000-000000000000}"/>
  <bookViews>
    <workbookView xWindow="-120" yWindow="-120" windowWidth="25440" windowHeight="15390" activeTab="8" xr2:uid="{00000000-000D-0000-FFFF-FFFF00000000}"/>
  </bookViews>
  <sheets>
    <sheet name="M 05.02" sheetId="1" r:id="rId1"/>
    <sheet name="SACCHI" sheetId="4" r:id="rId2"/>
    <sheet name="FUSTI" sheetId="5" r:id="rId3"/>
    <sheet name="SECCHIELLI" sheetId="6" r:id="rId4"/>
    <sheet name="OCTABINS" sheetId="7" r:id="rId5"/>
    <sheet name="TANICHE" sheetId="8" r:id="rId6"/>
    <sheet name="TINETTO" sheetId="9" r:id="rId7"/>
    <sheet name="METABISOLFITO" sheetId="10" r:id="rId8"/>
    <sheet name="ENZIMA RAPIDASE" sheetId="11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4" i="11" l="1"/>
  <c r="N53" i="11"/>
  <c r="N52" i="11"/>
  <c r="N51" i="11"/>
  <c r="N50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54" i="10"/>
  <c r="N53" i="10"/>
  <c r="N52" i="10"/>
  <c r="N51" i="10"/>
  <c r="N50" i="10"/>
  <c r="N49" i="10"/>
  <c r="N48" i="10"/>
  <c r="N47" i="10"/>
  <c r="N46" i="10"/>
  <c r="N45" i="10"/>
  <c r="N44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54" i="9"/>
  <c r="N53" i="9"/>
  <c r="N52" i="9"/>
  <c r="N51" i="9"/>
  <c r="N50" i="9"/>
  <c r="N49" i="9"/>
  <c r="N48" i="9"/>
  <c r="N47" i="9"/>
  <c r="N46" i="9"/>
  <c r="N45" i="9"/>
  <c r="N44" i="9"/>
  <c r="N43" i="9"/>
  <c r="N42" i="9"/>
  <c r="N41" i="9"/>
  <c r="N40" i="9"/>
  <c r="N39" i="9"/>
  <c r="N38" i="9"/>
  <c r="N37" i="9"/>
  <c r="N36" i="9"/>
  <c r="N35" i="9"/>
  <c r="N34" i="9"/>
  <c r="N33" i="9"/>
  <c r="N32" i="9"/>
  <c r="N31" i="9"/>
  <c r="N30" i="9"/>
  <c r="N29" i="9"/>
  <c r="N28" i="9"/>
  <c r="N27" i="9"/>
  <c r="N26" i="9"/>
  <c r="N25" i="9"/>
  <c r="N24" i="9"/>
  <c r="N23" i="9"/>
  <c r="N22" i="9"/>
  <c r="N21" i="9"/>
  <c r="N20" i="9"/>
  <c r="N19" i="9"/>
  <c r="N18" i="9"/>
  <c r="N17" i="9"/>
  <c r="N16" i="9"/>
  <c r="N15" i="9"/>
  <c r="N14" i="9"/>
  <c r="N13" i="9"/>
  <c r="N12" i="9"/>
  <c r="N11" i="9"/>
  <c r="N10" i="9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12" i="1"/>
  <c r="N10" i="1"/>
  <c r="N11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</calcChain>
</file>

<file path=xl/sharedStrings.xml><?xml version="1.0" encoding="utf-8"?>
<sst xmlns="http://schemas.openxmlformats.org/spreadsheetml/2006/main" count="585" uniqueCount="25">
  <si>
    <t>Emesso da: Elsa Liga</t>
  </si>
  <si>
    <t>Approvato da: Salvatore Rizzo</t>
  </si>
  <si>
    <t>DATA D.D.T</t>
  </si>
  <si>
    <t>N° D.D.T</t>
  </si>
  <si>
    <t>DATA DI ARRIVO MERCE</t>
  </si>
  <si>
    <t>QTà. CONSEGNATA</t>
  </si>
  <si>
    <t>PRODUZIONE PER CLIENTE</t>
  </si>
  <si>
    <t>QTà. UTILIZZATA</t>
  </si>
  <si>
    <t>QTà. GIACENTE</t>
  </si>
  <si>
    <t>Motivo: Aggiornamento</t>
  </si>
  <si>
    <t>FORNITORE</t>
  </si>
  <si>
    <t>LOTTO ASSEGNATO (INTERNO)</t>
  </si>
  <si>
    <t>CODICE e LOTTO (FORNITORE)</t>
  </si>
  <si>
    <t xml:space="preserve">Agrumi-Gel s.r.l. </t>
  </si>
  <si>
    <t>DESCRIZIONE PRODOTTO</t>
  </si>
  <si>
    <t>NOME PRODOTTO</t>
  </si>
  <si>
    <t>M 05.02</t>
  </si>
  <si>
    <r>
      <t>DATABASE MAGAZZINO IMBALLI ET AL. (</t>
    </r>
    <r>
      <rPr>
        <b/>
        <sz val="14"/>
        <color rgb="FFFF0000"/>
        <rFont val="Calibri"/>
        <family val="2"/>
        <scheme val="minor"/>
      </rPr>
      <t>M 05.02</t>
    </r>
    <r>
      <rPr>
        <b/>
        <sz val="14"/>
        <color theme="1"/>
        <rFont val="Calibri"/>
        <family val="2"/>
        <scheme val="minor"/>
      </rPr>
      <t>)</t>
    </r>
  </si>
  <si>
    <r>
      <t>DATABASE MAGAZZINO IMBALLI ET (</t>
    </r>
    <r>
      <rPr>
        <b/>
        <sz val="14"/>
        <color rgb="FFFF0000"/>
        <rFont val="Calibri"/>
        <family val="2"/>
        <scheme val="minor"/>
      </rPr>
      <t>M 05.02</t>
    </r>
    <r>
      <rPr>
        <b/>
        <sz val="14"/>
        <color theme="1"/>
        <rFont val="Calibri"/>
        <family val="2"/>
        <scheme val="minor"/>
      </rPr>
      <t>)</t>
    </r>
  </si>
  <si>
    <t>Rev. 01 del 17/05/2024</t>
  </si>
  <si>
    <t xml:space="preserve">     conforme       non conforme</t>
  </si>
  <si>
    <t>CONTROLLO QUALITA'                     (corpi estranei, infestanti, integrità ed etichettatura)</t>
  </si>
  <si>
    <t xml:space="preserve">     conforme         non conforme</t>
  </si>
  <si>
    <t>Rev. 02 del 04/11/2024</t>
  </si>
  <si>
    <t>Emesso da: Team qualità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</si>
</sst>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3" xfId="0" applyFont="1" applyBorder="1" applyAlignment="1">
      <alignment horizontal="center" vertical="center" wrapText="1"/>
    </xf>
    <xf numFmtId="0" fontId="0" fillId="0" borderId="13" xfId="0" applyBorder="1"/>
    <xf numFmtId="0" fontId="1" fillId="0" borderId="14" xfId="0" applyFont="1" applyBorder="1" applyAlignment="1">
      <alignment horizontal="center" vertical="center" wrapText="1"/>
    </xf>
    <xf numFmtId="0" fontId="0" fillId="0" borderId="17" xfId="0" applyBorder="1"/>
    <xf numFmtId="0" fontId="0" fillId="0" borderId="4" xfId="0" applyBorder="1"/>
    <xf numFmtId="0" fontId="0" fillId="0" borderId="15" xfId="0" applyBorder="1"/>
    <xf numFmtId="0" fontId="0" fillId="0" borderId="3" xfId="0" applyBorder="1"/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</cellXfs>
  <cellStyles count="1">
    <cellStyle name="Normale" xfId="0" builtinId="0"/>
  </cellStyles>
  <dxfs count="153">
    <dxf>
      <numFmt numFmtId="0" formatCode="General"/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60960</xdr:colOff>
      <xdr:row>9</xdr:row>
      <xdr:rowOff>60960</xdr:rowOff>
    </xdr:from>
    <xdr:to>
      <xdr:col>10</xdr:col>
      <xdr:colOff>152400</xdr:colOff>
      <xdr:row>9</xdr:row>
      <xdr:rowOff>152400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245F5FFB-DA98-D30F-6FA4-973B7C0B3AAE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9</xdr:row>
      <xdr:rowOff>60960</xdr:rowOff>
    </xdr:from>
    <xdr:to>
      <xdr:col>10</xdr:col>
      <xdr:colOff>906780</xdr:colOff>
      <xdr:row>9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A697EF8-8B75-47E1-ACF5-F5925B14126A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10</xdr:row>
      <xdr:rowOff>60960</xdr:rowOff>
    </xdr:from>
    <xdr:to>
      <xdr:col>10</xdr:col>
      <xdr:colOff>152400</xdr:colOff>
      <xdr:row>10</xdr:row>
      <xdr:rowOff>152400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1CD6F663-A47E-455A-A267-6670F97588D8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10</xdr:row>
      <xdr:rowOff>60960</xdr:rowOff>
    </xdr:from>
    <xdr:to>
      <xdr:col>10</xdr:col>
      <xdr:colOff>906780</xdr:colOff>
      <xdr:row>10</xdr:row>
      <xdr:rowOff>152400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A49A02F1-4E67-4051-BC80-AAB193D0B71D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11</xdr:row>
      <xdr:rowOff>60960</xdr:rowOff>
    </xdr:from>
    <xdr:to>
      <xdr:col>10</xdr:col>
      <xdr:colOff>152400</xdr:colOff>
      <xdr:row>11</xdr:row>
      <xdr:rowOff>152400</xdr:rowOff>
    </xdr:to>
    <xdr:sp macro="" textlink="">
      <xdr:nvSpPr>
        <xdr:cNvPr id="5" name="Rectangle 1">
          <a:extLst>
            <a:ext uri="{FF2B5EF4-FFF2-40B4-BE49-F238E27FC236}">
              <a16:creationId xmlns:a16="http://schemas.microsoft.com/office/drawing/2014/main" id="{8E19378A-E975-42D1-BB4E-2E4616B12461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11</xdr:row>
      <xdr:rowOff>60960</xdr:rowOff>
    </xdr:from>
    <xdr:to>
      <xdr:col>10</xdr:col>
      <xdr:colOff>906780</xdr:colOff>
      <xdr:row>11</xdr:row>
      <xdr:rowOff>152400</xdr:rowOff>
    </xdr:to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B4F1B3E1-500E-47A4-A52A-CD19B3A7028B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12</xdr:row>
      <xdr:rowOff>60960</xdr:rowOff>
    </xdr:from>
    <xdr:to>
      <xdr:col>10</xdr:col>
      <xdr:colOff>152400</xdr:colOff>
      <xdr:row>12</xdr:row>
      <xdr:rowOff>152400</xdr:rowOff>
    </xdr:to>
    <xdr:sp macro="" textlink="">
      <xdr:nvSpPr>
        <xdr:cNvPr id="7" name="Rectangle 1">
          <a:extLst>
            <a:ext uri="{FF2B5EF4-FFF2-40B4-BE49-F238E27FC236}">
              <a16:creationId xmlns:a16="http://schemas.microsoft.com/office/drawing/2014/main" id="{BFC1DA5C-4984-4946-8553-E9E4D63B4F5D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12</xdr:row>
      <xdr:rowOff>60960</xdr:rowOff>
    </xdr:from>
    <xdr:to>
      <xdr:col>10</xdr:col>
      <xdr:colOff>906780</xdr:colOff>
      <xdr:row>12</xdr:row>
      <xdr:rowOff>152400</xdr:rowOff>
    </xdr:to>
    <xdr:sp macro="" textlink="">
      <xdr:nvSpPr>
        <xdr:cNvPr id="8" name="Rectangle 1">
          <a:extLst>
            <a:ext uri="{FF2B5EF4-FFF2-40B4-BE49-F238E27FC236}">
              <a16:creationId xmlns:a16="http://schemas.microsoft.com/office/drawing/2014/main" id="{23ED7BB6-21AC-42C6-A0AE-88E811664715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13</xdr:row>
      <xdr:rowOff>60960</xdr:rowOff>
    </xdr:from>
    <xdr:to>
      <xdr:col>10</xdr:col>
      <xdr:colOff>152400</xdr:colOff>
      <xdr:row>13</xdr:row>
      <xdr:rowOff>152400</xdr:rowOff>
    </xdr:to>
    <xdr:sp macro="" textlink="">
      <xdr:nvSpPr>
        <xdr:cNvPr id="9" name="Rectangle 1">
          <a:extLst>
            <a:ext uri="{FF2B5EF4-FFF2-40B4-BE49-F238E27FC236}">
              <a16:creationId xmlns:a16="http://schemas.microsoft.com/office/drawing/2014/main" id="{AA1ADEB4-92FD-45AD-B4AE-7AD473BC2461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13</xdr:row>
      <xdr:rowOff>60960</xdr:rowOff>
    </xdr:from>
    <xdr:to>
      <xdr:col>10</xdr:col>
      <xdr:colOff>906780</xdr:colOff>
      <xdr:row>13</xdr:row>
      <xdr:rowOff>152400</xdr:rowOff>
    </xdr:to>
    <xdr:sp macro="" textlink="">
      <xdr:nvSpPr>
        <xdr:cNvPr id="10" name="Rectangle 1">
          <a:extLst>
            <a:ext uri="{FF2B5EF4-FFF2-40B4-BE49-F238E27FC236}">
              <a16:creationId xmlns:a16="http://schemas.microsoft.com/office/drawing/2014/main" id="{60AD76FE-4DEE-4544-9627-DD28DCFCE4C2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14</xdr:row>
      <xdr:rowOff>60960</xdr:rowOff>
    </xdr:from>
    <xdr:to>
      <xdr:col>10</xdr:col>
      <xdr:colOff>152400</xdr:colOff>
      <xdr:row>14</xdr:row>
      <xdr:rowOff>152400</xdr:rowOff>
    </xdr:to>
    <xdr:sp macro="" textlink="">
      <xdr:nvSpPr>
        <xdr:cNvPr id="11" name="Rectangle 1">
          <a:extLst>
            <a:ext uri="{FF2B5EF4-FFF2-40B4-BE49-F238E27FC236}">
              <a16:creationId xmlns:a16="http://schemas.microsoft.com/office/drawing/2014/main" id="{DB6907DE-9A35-4523-AD47-1DBC64D0A8C2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14</xdr:row>
      <xdr:rowOff>60960</xdr:rowOff>
    </xdr:from>
    <xdr:to>
      <xdr:col>10</xdr:col>
      <xdr:colOff>906780</xdr:colOff>
      <xdr:row>14</xdr:row>
      <xdr:rowOff>152400</xdr:rowOff>
    </xdr:to>
    <xdr:sp macro="" textlink="">
      <xdr:nvSpPr>
        <xdr:cNvPr id="12" name="Rectangle 1">
          <a:extLst>
            <a:ext uri="{FF2B5EF4-FFF2-40B4-BE49-F238E27FC236}">
              <a16:creationId xmlns:a16="http://schemas.microsoft.com/office/drawing/2014/main" id="{BAA638E7-B703-4E28-AF22-F8900320564A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15</xdr:row>
      <xdr:rowOff>60960</xdr:rowOff>
    </xdr:from>
    <xdr:to>
      <xdr:col>10</xdr:col>
      <xdr:colOff>152400</xdr:colOff>
      <xdr:row>15</xdr:row>
      <xdr:rowOff>152400</xdr:rowOff>
    </xdr:to>
    <xdr:sp macro="" textlink="">
      <xdr:nvSpPr>
        <xdr:cNvPr id="13" name="Rectangle 1">
          <a:extLst>
            <a:ext uri="{FF2B5EF4-FFF2-40B4-BE49-F238E27FC236}">
              <a16:creationId xmlns:a16="http://schemas.microsoft.com/office/drawing/2014/main" id="{ECA78FDA-3823-464D-9D13-97D1AB0DE1A8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15</xdr:row>
      <xdr:rowOff>60960</xdr:rowOff>
    </xdr:from>
    <xdr:to>
      <xdr:col>10</xdr:col>
      <xdr:colOff>906780</xdr:colOff>
      <xdr:row>15</xdr:row>
      <xdr:rowOff>152400</xdr:rowOff>
    </xdr:to>
    <xdr:sp macro="" textlink="">
      <xdr:nvSpPr>
        <xdr:cNvPr id="14" name="Rectangle 1">
          <a:extLst>
            <a:ext uri="{FF2B5EF4-FFF2-40B4-BE49-F238E27FC236}">
              <a16:creationId xmlns:a16="http://schemas.microsoft.com/office/drawing/2014/main" id="{394263F7-5D16-4332-BA84-71B7A063FC9E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16</xdr:row>
      <xdr:rowOff>60960</xdr:rowOff>
    </xdr:from>
    <xdr:to>
      <xdr:col>10</xdr:col>
      <xdr:colOff>152400</xdr:colOff>
      <xdr:row>16</xdr:row>
      <xdr:rowOff>152400</xdr:rowOff>
    </xdr:to>
    <xdr:sp macro="" textlink="">
      <xdr:nvSpPr>
        <xdr:cNvPr id="15" name="Rectangle 1">
          <a:extLst>
            <a:ext uri="{FF2B5EF4-FFF2-40B4-BE49-F238E27FC236}">
              <a16:creationId xmlns:a16="http://schemas.microsoft.com/office/drawing/2014/main" id="{EEF5CDAA-BDF0-4C8E-B41A-C541FD01EA1A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16</xdr:row>
      <xdr:rowOff>60960</xdr:rowOff>
    </xdr:from>
    <xdr:to>
      <xdr:col>10</xdr:col>
      <xdr:colOff>906780</xdr:colOff>
      <xdr:row>16</xdr:row>
      <xdr:rowOff>152400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B6809DC2-F5E9-46BD-976F-8956489177A5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17</xdr:row>
      <xdr:rowOff>60960</xdr:rowOff>
    </xdr:from>
    <xdr:to>
      <xdr:col>10</xdr:col>
      <xdr:colOff>152400</xdr:colOff>
      <xdr:row>17</xdr:row>
      <xdr:rowOff>152400</xdr:rowOff>
    </xdr:to>
    <xdr:sp macro="" textlink="">
      <xdr:nvSpPr>
        <xdr:cNvPr id="17" name="Rectangle 1">
          <a:extLst>
            <a:ext uri="{FF2B5EF4-FFF2-40B4-BE49-F238E27FC236}">
              <a16:creationId xmlns:a16="http://schemas.microsoft.com/office/drawing/2014/main" id="{1E22798C-F4C1-445C-8077-700460AF0123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17</xdr:row>
      <xdr:rowOff>60960</xdr:rowOff>
    </xdr:from>
    <xdr:to>
      <xdr:col>10</xdr:col>
      <xdr:colOff>906780</xdr:colOff>
      <xdr:row>17</xdr:row>
      <xdr:rowOff>152400</xdr:rowOff>
    </xdr:to>
    <xdr:sp macro="" textlink="">
      <xdr:nvSpPr>
        <xdr:cNvPr id="18" name="Rectangle 1">
          <a:extLst>
            <a:ext uri="{FF2B5EF4-FFF2-40B4-BE49-F238E27FC236}">
              <a16:creationId xmlns:a16="http://schemas.microsoft.com/office/drawing/2014/main" id="{886FBA90-A25B-46E9-8178-B3D1450D34D6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18</xdr:row>
      <xdr:rowOff>60960</xdr:rowOff>
    </xdr:from>
    <xdr:to>
      <xdr:col>10</xdr:col>
      <xdr:colOff>152400</xdr:colOff>
      <xdr:row>18</xdr:row>
      <xdr:rowOff>152400</xdr:rowOff>
    </xdr:to>
    <xdr:sp macro="" textlink="">
      <xdr:nvSpPr>
        <xdr:cNvPr id="19" name="Rectangle 1">
          <a:extLst>
            <a:ext uri="{FF2B5EF4-FFF2-40B4-BE49-F238E27FC236}">
              <a16:creationId xmlns:a16="http://schemas.microsoft.com/office/drawing/2014/main" id="{C81AE5ED-274C-4A1B-AE9D-ACA1AB889FC6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18</xdr:row>
      <xdr:rowOff>60960</xdr:rowOff>
    </xdr:from>
    <xdr:to>
      <xdr:col>10</xdr:col>
      <xdr:colOff>906780</xdr:colOff>
      <xdr:row>18</xdr:row>
      <xdr:rowOff>152400</xdr:rowOff>
    </xdr:to>
    <xdr:sp macro="" textlink="">
      <xdr:nvSpPr>
        <xdr:cNvPr id="20" name="Rectangle 1">
          <a:extLst>
            <a:ext uri="{FF2B5EF4-FFF2-40B4-BE49-F238E27FC236}">
              <a16:creationId xmlns:a16="http://schemas.microsoft.com/office/drawing/2014/main" id="{2CB4C6FF-230C-4EAD-A2B8-76B4529A0EEF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19</xdr:row>
      <xdr:rowOff>60960</xdr:rowOff>
    </xdr:from>
    <xdr:to>
      <xdr:col>10</xdr:col>
      <xdr:colOff>152400</xdr:colOff>
      <xdr:row>19</xdr:row>
      <xdr:rowOff>152400</xdr:rowOff>
    </xdr:to>
    <xdr:sp macro="" textlink="">
      <xdr:nvSpPr>
        <xdr:cNvPr id="21" name="Rectangle 1">
          <a:extLst>
            <a:ext uri="{FF2B5EF4-FFF2-40B4-BE49-F238E27FC236}">
              <a16:creationId xmlns:a16="http://schemas.microsoft.com/office/drawing/2014/main" id="{92756B57-1AB5-4034-8F62-CCD5E2C8DE75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19</xdr:row>
      <xdr:rowOff>60960</xdr:rowOff>
    </xdr:from>
    <xdr:to>
      <xdr:col>10</xdr:col>
      <xdr:colOff>906780</xdr:colOff>
      <xdr:row>19</xdr:row>
      <xdr:rowOff>152400</xdr:rowOff>
    </xdr:to>
    <xdr:sp macro="" textlink="">
      <xdr:nvSpPr>
        <xdr:cNvPr id="22" name="Rectangle 1">
          <a:extLst>
            <a:ext uri="{FF2B5EF4-FFF2-40B4-BE49-F238E27FC236}">
              <a16:creationId xmlns:a16="http://schemas.microsoft.com/office/drawing/2014/main" id="{F70B3B4A-6DBA-4E21-9F10-A5C23954D7C1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20</xdr:row>
      <xdr:rowOff>60960</xdr:rowOff>
    </xdr:from>
    <xdr:to>
      <xdr:col>10</xdr:col>
      <xdr:colOff>152400</xdr:colOff>
      <xdr:row>20</xdr:row>
      <xdr:rowOff>152400</xdr:rowOff>
    </xdr:to>
    <xdr:sp macro="" textlink="">
      <xdr:nvSpPr>
        <xdr:cNvPr id="23" name="Rectangle 1">
          <a:extLst>
            <a:ext uri="{FF2B5EF4-FFF2-40B4-BE49-F238E27FC236}">
              <a16:creationId xmlns:a16="http://schemas.microsoft.com/office/drawing/2014/main" id="{FD5BFA22-33FB-4819-B9DC-2C9B9F02A584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20</xdr:row>
      <xdr:rowOff>60960</xdr:rowOff>
    </xdr:from>
    <xdr:to>
      <xdr:col>10</xdr:col>
      <xdr:colOff>906780</xdr:colOff>
      <xdr:row>20</xdr:row>
      <xdr:rowOff>152400</xdr:rowOff>
    </xdr:to>
    <xdr:sp macro="" textlink="">
      <xdr:nvSpPr>
        <xdr:cNvPr id="24" name="Rectangle 1">
          <a:extLst>
            <a:ext uri="{FF2B5EF4-FFF2-40B4-BE49-F238E27FC236}">
              <a16:creationId xmlns:a16="http://schemas.microsoft.com/office/drawing/2014/main" id="{AE1BB0C6-0A27-49F9-9021-BFB327F5F451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21</xdr:row>
      <xdr:rowOff>60960</xdr:rowOff>
    </xdr:from>
    <xdr:to>
      <xdr:col>10</xdr:col>
      <xdr:colOff>152400</xdr:colOff>
      <xdr:row>21</xdr:row>
      <xdr:rowOff>152400</xdr:rowOff>
    </xdr:to>
    <xdr:sp macro="" textlink="">
      <xdr:nvSpPr>
        <xdr:cNvPr id="25" name="Rectangle 1">
          <a:extLst>
            <a:ext uri="{FF2B5EF4-FFF2-40B4-BE49-F238E27FC236}">
              <a16:creationId xmlns:a16="http://schemas.microsoft.com/office/drawing/2014/main" id="{81AE1C67-DB47-447E-AD48-2F8DE7E8EBD3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21</xdr:row>
      <xdr:rowOff>60960</xdr:rowOff>
    </xdr:from>
    <xdr:to>
      <xdr:col>10</xdr:col>
      <xdr:colOff>906780</xdr:colOff>
      <xdr:row>21</xdr:row>
      <xdr:rowOff>152400</xdr:rowOff>
    </xdr:to>
    <xdr:sp macro="" textlink="">
      <xdr:nvSpPr>
        <xdr:cNvPr id="26" name="Rectangle 1">
          <a:extLst>
            <a:ext uri="{FF2B5EF4-FFF2-40B4-BE49-F238E27FC236}">
              <a16:creationId xmlns:a16="http://schemas.microsoft.com/office/drawing/2014/main" id="{BAD235C3-0784-4F19-B7BA-D2D41318CCE4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22</xdr:row>
      <xdr:rowOff>60960</xdr:rowOff>
    </xdr:from>
    <xdr:to>
      <xdr:col>10</xdr:col>
      <xdr:colOff>152400</xdr:colOff>
      <xdr:row>22</xdr:row>
      <xdr:rowOff>152400</xdr:rowOff>
    </xdr:to>
    <xdr:sp macro="" textlink="">
      <xdr:nvSpPr>
        <xdr:cNvPr id="27" name="Rectangle 1">
          <a:extLst>
            <a:ext uri="{FF2B5EF4-FFF2-40B4-BE49-F238E27FC236}">
              <a16:creationId xmlns:a16="http://schemas.microsoft.com/office/drawing/2014/main" id="{0802A55F-B99C-4436-B5BD-D5DF21C82FF1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22</xdr:row>
      <xdr:rowOff>60960</xdr:rowOff>
    </xdr:from>
    <xdr:to>
      <xdr:col>10</xdr:col>
      <xdr:colOff>906780</xdr:colOff>
      <xdr:row>22</xdr:row>
      <xdr:rowOff>152400</xdr:rowOff>
    </xdr:to>
    <xdr:sp macro="" textlink="">
      <xdr:nvSpPr>
        <xdr:cNvPr id="28" name="Rectangle 1">
          <a:extLst>
            <a:ext uri="{FF2B5EF4-FFF2-40B4-BE49-F238E27FC236}">
              <a16:creationId xmlns:a16="http://schemas.microsoft.com/office/drawing/2014/main" id="{5CC46C05-1A74-47FB-9E58-AB5F889A48F9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23</xdr:row>
      <xdr:rowOff>60960</xdr:rowOff>
    </xdr:from>
    <xdr:to>
      <xdr:col>10</xdr:col>
      <xdr:colOff>152400</xdr:colOff>
      <xdr:row>23</xdr:row>
      <xdr:rowOff>152400</xdr:rowOff>
    </xdr:to>
    <xdr:sp macro="" textlink="">
      <xdr:nvSpPr>
        <xdr:cNvPr id="29" name="Rectangle 1">
          <a:extLst>
            <a:ext uri="{FF2B5EF4-FFF2-40B4-BE49-F238E27FC236}">
              <a16:creationId xmlns:a16="http://schemas.microsoft.com/office/drawing/2014/main" id="{92414D79-D615-49A5-B242-EF0768FB49B0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23</xdr:row>
      <xdr:rowOff>60960</xdr:rowOff>
    </xdr:from>
    <xdr:to>
      <xdr:col>10</xdr:col>
      <xdr:colOff>906780</xdr:colOff>
      <xdr:row>23</xdr:row>
      <xdr:rowOff>152400</xdr:rowOff>
    </xdr:to>
    <xdr:sp macro="" textlink="">
      <xdr:nvSpPr>
        <xdr:cNvPr id="30" name="Rectangle 1">
          <a:extLst>
            <a:ext uri="{FF2B5EF4-FFF2-40B4-BE49-F238E27FC236}">
              <a16:creationId xmlns:a16="http://schemas.microsoft.com/office/drawing/2014/main" id="{A1AA1B23-4D78-4FC8-BCA6-14E3D7F4EEA3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24</xdr:row>
      <xdr:rowOff>60960</xdr:rowOff>
    </xdr:from>
    <xdr:to>
      <xdr:col>10</xdr:col>
      <xdr:colOff>152400</xdr:colOff>
      <xdr:row>24</xdr:row>
      <xdr:rowOff>152400</xdr:rowOff>
    </xdr:to>
    <xdr:sp macro="" textlink="">
      <xdr:nvSpPr>
        <xdr:cNvPr id="31" name="Rectangle 1">
          <a:extLst>
            <a:ext uri="{FF2B5EF4-FFF2-40B4-BE49-F238E27FC236}">
              <a16:creationId xmlns:a16="http://schemas.microsoft.com/office/drawing/2014/main" id="{313AC235-0C64-4F7C-B45C-9A0E028F2A7B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24</xdr:row>
      <xdr:rowOff>60960</xdr:rowOff>
    </xdr:from>
    <xdr:to>
      <xdr:col>10</xdr:col>
      <xdr:colOff>906780</xdr:colOff>
      <xdr:row>24</xdr:row>
      <xdr:rowOff>152400</xdr:rowOff>
    </xdr:to>
    <xdr:sp macro="" textlink="">
      <xdr:nvSpPr>
        <xdr:cNvPr id="1024" name="Rectangle 1">
          <a:extLst>
            <a:ext uri="{FF2B5EF4-FFF2-40B4-BE49-F238E27FC236}">
              <a16:creationId xmlns:a16="http://schemas.microsoft.com/office/drawing/2014/main" id="{879A3F09-541E-486D-A3FA-3D44A597385F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25</xdr:row>
      <xdr:rowOff>60960</xdr:rowOff>
    </xdr:from>
    <xdr:to>
      <xdr:col>10</xdr:col>
      <xdr:colOff>152400</xdr:colOff>
      <xdr:row>25</xdr:row>
      <xdr:rowOff>152400</xdr:rowOff>
    </xdr:to>
    <xdr:sp macro="" textlink="">
      <xdr:nvSpPr>
        <xdr:cNvPr id="1026" name="Rectangle 1">
          <a:extLst>
            <a:ext uri="{FF2B5EF4-FFF2-40B4-BE49-F238E27FC236}">
              <a16:creationId xmlns:a16="http://schemas.microsoft.com/office/drawing/2014/main" id="{B13633D9-AC51-48F1-98D3-2E119D2636FE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25</xdr:row>
      <xdr:rowOff>60960</xdr:rowOff>
    </xdr:from>
    <xdr:to>
      <xdr:col>10</xdr:col>
      <xdr:colOff>906780</xdr:colOff>
      <xdr:row>25</xdr:row>
      <xdr:rowOff>152400</xdr:rowOff>
    </xdr:to>
    <xdr:sp macro="" textlink="">
      <xdr:nvSpPr>
        <xdr:cNvPr id="1027" name="Rectangle 1">
          <a:extLst>
            <a:ext uri="{FF2B5EF4-FFF2-40B4-BE49-F238E27FC236}">
              <a16:creationId xmlns:a16="http://schemas.microsoft.com/office/drawing/2014/main" id="{5EB713CB-17A3-49A7-BD79-01AFB2F72FF5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26</xdr:row>
      <xdr:rowOff>60960</xdr:rowOff>
    </xdr:from>
    <xdr:to>
      <xdr:col>10</xdr:col>
      <xdr:colOff>152400</xdr:colOff>
      <xdr:row>26</xdr:row>
      <xdr:rowOff>152400</xdr:rowOff>
    </xdr:to>
    <xdr:sp macro="" textlink="">
      <xdr:nvSpPr>
        <xdr:cNvPr id="1028" name="Rectangle 1">
          <a:extLst>
            <a:ext uri="{FF2B5EF4-FFF2-40B4-BE49-F238E27FC236}">
              <a16:creationId xmlns:a16="http://schemas.microsoft.com/office/drawing/2014/main" id="{3995A74C-AC61-422F-8340-47DAC41EFE16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26</xdr:row>
      <xdr:rowOff>60960</xdr:rowOff>
    </xdr:from>
    <xdr:to>
      <xdr:col>10</xdr:col>
      <xdr:colOff>906780</xdr:colOff>
      <xdr:row>26</xdr:row>
      <xdr:rowOff>152400</xdr:rowOff>
    </xdr:to>
    <xdr:sp macro="" textlink="">
      <xdr:nvSpPr>
        <xdr:cNvPr id="1029" name="Rectangle 1">
          <a:extLst>
            <a:ext uri="{FF2B5EF4-FFF2-40B4-BE49-F238E27FC236}">
              <a16:creationId xmlns:a16="http://schemas.microsoft.com/office/drawing/2014/main" id="{9E9494A4-C608-447C-8DF9-6B9664D31B81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27</xdr:row>
      <xdr:rowOff>60960</xdr:rowOff>
    </xdr:from>
    <xdr:to>
      <xdr:col>10</xdr:col>
      <xdr:colOff>152400</xdr:colOff>
      <xdr:row>27</xdr:row>
      <xdr:rowOff>152400</xdr:rowOff>
    </xdr:to>
    <xdr:sp macro="" textlink="">
      <xdr:nvSpPr>
        <xdr:cNvPr id="1030" name="Rectangle 1">
          <a:extLst>
            <a:ext uri="{FF2B5EF4-FFF2-40B4-BE49-F238E27FC236}">
              <a16:creationId xmlns:a16="http://schemas.microsoft.com/office/drawing/2014/main" id="{B9FC3ADE-B764-4AD3-B579-C11021E00704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27</xdr:row>
      <xdr:rowOff>60960</xdr:rowOff>
    </xdr:from>
    <xdr:to>
      <xdr:col>10</xdr:col>
      <xdr:colOff>906780</xdr:colOff>
      <xdr:row>27</xdr:row>
      <xdr:rowOff>152400</xdr:rowOff>
    </xdr:to>
    <xdr:sp macro="" textlink="">
      <xdr:nvSpPr>
        <xdr:cNvPr id="1031" name="Rectangle 1">
          <a:extLst>
            <a:ext uri="{FF2B5EF4-FFF2-40B4-BE49-F238E27FC236}">
              <a16:creationId xmlns:a16="http://schemas.microsoft.com/office/drawing/2014/main" id="{B710DEB6-623F-4192-B291-85760A27E721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28</xdr:row>
      <xdr:rowOff>60960</xdr:rowOff>
    </xdr:from>
    <xdr:to>
      <xdr:col>10</xdr:col>
      <xdr:colOff>152400</xdr:colOff>
      <xdr:row>28</xdr:row>
      <xdr:rowOff>152400</xdr:rowOff>
    </xdr:to>
    <xdr:sp macro="" textlink="">
      <xdr:nvSpPr>
        <xdr:cNvPr id="1032" name="Rectangle 1">
          <a:extLst>
            <a:ext uri="{FF2B5EF4-FFF2-40B4-BE49-F238E27FC236}">
              <a16:creationId xmlns:a16="http://schemas.microsoft.com/office/drawing/2014/main" id="{69F1CE0C-D7E8-46C1-B194-D967D41060BC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28</xdr:row>
      <xdr:rowOff>60960</xdr:rowOff>
    </xdr:from>
    <xdr:to>
      <xdr:col>10</xdr:col>
      <xdr:colOff>906780</xdr:colOff>
      <xdr:row>28</xdr:row>
      <xdr:rowOff>152400</xdr:rowOff>
    </xdr:to>
    <xdr:sp macro="" textlink="">
      <xdr:nvSpPr>
        <xdr:cNvPr id="1033" name="Rectangle 1">
          <a:extLst>
            <a:ext uri="{FF2B5EF4-FFF2-40B4-BE49-F238E27FC236}">
              <a16:creationId xmlns:a16="http://schemas.microsoft.com/office/drawing/2014/main" id="{7C08901A-70E2-47EB-B311-387C492BE641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29</xdr:row>
      <xdr:rowOff>60960</xdr:rowOff>
    </xdr:from>
    <xdr:to>
      <xdr:col>10</xdr:col>
      <xdr:colOff>152400</xdr:colOff>
      <xdr:row>29</xdr:row>
      <xdr:rowOff>152400</xdr:rowOff>
    </xdr:to>
    <xdr:sp macro="" textlink="">
      <xdr:nvSpPr>
        <xdr:cNvPr id="1034" name="Rectangle 1">
          <a:extLst>
            <a:ext uri="{FF2B5EF4-FFF2-40B4-BE49-F238E27FC236}">
              <a16:creationId xmlns:a16="http://schemas.microsoft.com/office/drawing/2014/main" id="{E4175812-7140-4FF9-BBE3-4B47083AFC23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29</xdr:row>
      <xdr:rowOff>60960</xdr:rowOff>
    </xdr:from>
    <xdr:to>
      <xdr:col>10</xdr:col>
      <xdr:colOff>906780</xdr:colOff>
      <xdr:row>29</xdr:row>
      <xdr:rowOff>152400</xdr:rowOff>
    </xdr:to>
    <xdr:sp macro="" textlink="">
      <xdr:nvSpPr>
        <xdr:cNvPr id="1035" name="Rectangle 1">
          <a:extLst>
            <a:ext uri="{FF2B5EF4-FFF2-40B4-BE49-F238E27FC236}">
              <a16:creationId xmlns:a16="http://schemas.microsoft.com/office/drawing/2014/main" id="{BCFB093A-A0E8-4BC3-8217-77EB84D5E9A9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30</xdr:row>
      <xdr:rowOff>60960</xdr:rowOff>
    </xdr:from>
    <xdr:to>
      <xdr:col>10</xdr:col>
      <xdr:colOff>152400</xdr:colOff>
      <xdr:row>30</xdr:row>
      <xdr:rowOff>152400</xdr:rowOff>
    </xdr:to>
    <xdr:sp macro="" textlink="">
      <xdr:nvSpPr>
        <xdr:cNvPr id="1036" name="Rectangle 1">
          <a:extLst>
            <a:ext uri="{FF2B5EF4-FFF2-40B4-BE49-F238E27FC236}">
              <a16:creationId xmlns:a16="http://schemas.microsoft.com/office/drawing/2014/main" id="{90903645-1172-429C-B41A-5736E65C8C0B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30</xdr:row>
      <xdr:rowOff>60960</xdr:rowOff>
    </xdr:from>
    <xdr:to>
      <xdr:col>10</xdr:col>
      <xdr:colOff>906780</xdr:colOff>
      <xdr:row>30</xdr:row>
      <xdr:rowOff>152400</xdr:rowOff>
    </xdr:to>
    <xdr:sp macro="" textlink="">
      <xdr:nvSpPr>
        <xdr:cNvPr id="1037" name="Rectangle 1">
          <a:extLst>
            <a:ext uri="{FF2B5EF4-FFF2-40B4-BE49-F238E27FC236}">
              <a16:creationId xmlns:a16="http://schemas.microsoft.com/office/drawing/2014/main" id="{DC4018BF-63B3-43DE-A13F-F855150C8B3C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31</xdr:row>
      <xdr:rowOff>60960</xdr:rowOff>
    </xdr:from>
    <xdr:to>
      <xdr:col>10</xdr:col>
      <xdr:colOff>152400</xdr:colOff>
      <xdr:row>31</xdr:row>
      <xdr:rowOff>152400</xdr:rowOff>
    </xdr:to>
    <xdr:sp macro="" textlink="">
      <xdr:nvSpPr>
        <xdr:cNvPr id="1038" name="Rectangle 1">
          <a:extLst>
            <a:ext uri="{FF2B5EF4-FFF2-40B4-BE49-F238E27FC236}">
              <a16:creationId xmlns:a16="http://schemas.microsoft.com/office/drawing/2014/main" id="{A32FBF93-3762-449F-8F7E-2DD0B5257CAE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31</xdr:row>
      <xdr:rowOff>60960</xdr:rowOff>
    </xdr:from>
    <xdr:to>
      <xdr:col>10</xdr:col>
      <xdr:colOff>906780</xdr:colOff>
      <xdr:row>31</xdr:row>
      <xdr:rowOff>152400</xdr:rowOff>
    </xdr:to>
    <xdr:sp macro="" textlink="">
      <xdr:nvSpPr>
        <xdr:cNvPr id="1039" name="Rectangle 1">
          <a:extLst>
            <a:ext uri="{FF2B5EF4-FFF2-40B4-BE49-F238E27FC236}">
              <a16:creationId xmlns:a16="http://schemas.microsoft.com/office/drawing/2014/main" id="{E04F55EF-E3F1-4EEE-AD9A-7DAF6F94BFA9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32</xdr:row>
      <xdr:rowOff>60960</xdr:rowOff>
    </xdr:from>
    <xdr:to>
      <xdr:col>10</xdr:col>
      <xdr:colOff>152400</xdr:colOff>
      <xdr:row>32</xdr:row>
      <xdr:rowOff>152400</xdr:rowOff>
    </xdr:to>
    <xdr:sp macro="" textlink="">
      <xdr:nvSpPr>
        <xdr:cNvPr id="1040" name="Rectangle 1">
          <a:extLst>
            <a:ext uri="{FF2B5EF4-FFF2-40B4-BE49-F238E27FC236}">
              <a16:creationId xmlns:a16="http://schemas.microsoft.com/office/drawing/2014/main" id="{6A65438A-87CC-47DD-BAD1-3A6BA41F38B0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32</xdr:row>
      <xdr:rowOff>60960</xdr:rowOff>
    </xdr:from>
    <xdr:to>
      <xdr:col>10</xdr:col>
      <xdr:colOff>906780</xdr:colOff>
      <xdr:row>32</xdr:row>
      <xdr:rowOff>152400</xdr:rowOff>
    </xdr:to>
    <xdr:sp macro="" textlink="">
      <xdr:nvSpPr>
        <xdr:cNvPr id="1041" name="Rectangle 1">
          <a:extLst>
            <a:ext uri="{FF2B5EF4-FFF2-40B4-BE49-F238E27FC236}">
              <a16:creationId xmlns:a16="http://schemas.microsoft.com/office/drawing/2014/main" id="{65EEA5F1-2127-49F5-A39B-8A50233726B2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33</xdr:row>
      <xdr:rowOff>60960</xdr:rowOff>
    </xdr:from>
    <xdr:to>
      <xdr:col>10</xdr:col>
      <xdr:colOff>152400</xdr:colOff>
      <xdr:row>33</xdr:row>
      <xdr:rowOff>152400</xdr:rowOff>
    </xdr:to>
    <xdr:sp macro="" textlink="">
      <xdr:nvSpPr>
        <xdr:cNvPr id="1042" name="Rectangle 1">
          <a:extLst>
            <a:ext uri="{FF2B5EF4-FFF2-40B4-BE49-F238E27FC236}">
              <a16:creationId xmlns:a16="http://schemas.microsoft.com/office/drawing/2014/main" id="{611A85F1-EE6C-4CC1-AFF3-A99F757444F3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33</xdr:row>
      <xdr:rowOff>60960</xdr:rowOff>
    </xdr:from>
    <xdr:to>
      <xdr:col>10</xdr:col>
      <xdr:colOff>906780</xdr:colOff>
      <xdr:row>33</xdr:row>
      <xdr:rowOff>152400</xdr:rowOff>
    </xdr:to>
    <xdr:sp macro="" textlink="">
      <xdr:nvSpPr>
        <xdr:cNvPr id="1043" name="Rectangle 1">
          <a:extLst>
            <a:ext uri="{FF2B5EF4-FFF2-40B4-BE49-F238E27FC236}">
              <a16:creationId xmlns:a16="http://schemas.microsoft.com/office/drawing/2014/main" id="{F548B6D7-BE51-467E-ABE1-98503750FB2B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34</xdr:row>
      <xdr:rowOff>60960</xdr:rowOff>
    </xdr:from>
    <xdr:to>
      <xdr:col>10</xdr:col>
      <xdr:colOff>152400</xdr:colOff>
      <xdr:row>34</xdr:row>
      <xdr:rowOff>152400</xdr:rowOff>
    </xdr:to>
    <xdr:sp macro="" textlink="">
      <xdr:nvSpPr>
        <xdr:cNvPr id="1044" name="Rectangle 1">
          <a:extLst>
            <a:ext uri="{FF2B5EF4-FFF2-40B4-BE49-F238E27FC236}">
              <a16:creationId xmlns:a16="http://schemas.microsoft.com/office/drawing/2014/main" id="{CE64C559-8EB9-4B01-AABD-26F103BB2598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34</xdr:row>
      <xdr:rowOff>60960</xdr:rowOff>
    </xdr:from>
    <xdr:to>
      <xdr:col>10</xdr:col>
      <xdr:colOff>906780</xdr:colOff>
      <xdr:row>34</xdr:row>
      <xdr:rowOff>152400</xdr:rowOff>
    </xdr:to>
    <xdr:sp macro="" textlink="">
      <xdr:nvSpPr>
        <xdr:cNvPr id="1045" name="Rectangle 1">
          <a:extLst>
            <a:ext uri="{FF2B5EF4-FFF2-40B4-BE49-F238E27FC236}">
              <a16:creationId xmlns:a16="http://schemas.microsoft.com/office/drawing/2014/main" id="{C7DA85ED-46D9-4DD0-A801-51C9F608159A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35</xdr:row>
      <xdr:rowOff>60960</xdr:rowOff>
    </xdr:from>
    <xdr:to>
      <xdr:col>10</xdr:col>
      <xdr:colOff>152400</xdr:colOff>
      <xdr:row>35</xdr:row>
      <xdr:rowOff>152400</xdr:rowOff>
    </xdr:to>
    <xdr:sp macro="" textlink="">
      <xdr:nvSpPr>
        <xdr:cNvPr id="1046" name="Rectangle 1">
          <a:extLst>
            <a:ext uri="{FF2B5EF4-FFF2-40B4-BE49-F238E27FC236}">
              <a16:creationId xmlns:a16="http://schemas.microsoft.com/office/drawing/2014/main" id="{EE81E673-BDF0-403F-A82F-22BB93594C84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35</xdr:row>
      <xdr:rowOff>60960</xdr:rowOff>
    </xdr:from>
    <xdr:to>
      <xdr:col>10</xdr:col>
      <xdr:colOff>906780</xdr:colOff>
      <xdr:row>35</xdr:row>
      <xdr:rowOff>152400</xdr:rowOff>
    </xdr:to>
    <xdr:sp macro="" textlink="">
      <xdr:nvSpPr>
        <xdr:cNvPr id="1047" name="Rectangle 1">
          <a:extLst>
            <a:ext uri="{FF2B5EF4-FFF2-40B4-BE49-F238E27FC236}">
              <a16:creationId xmlns:a16="http://schemas.microsoft.com/office/drawing/2014/main" id="{5F065AFE-5916-4137-BF4B-08E4D6846267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36</xdr:row>
      <xdr:rowOff>60960</xdr:rowOff>
    </xdr:from>
    <xdr:to>
      <xdr:col>10</xdr:col>
      <xdr:colOff>152400</xdr:colOff>
      <xdr:row>36</xdr:row>
      <xdr:rowOff>152400</xdr:rowOff>
    </xdr:to>
    <xdr:sp macro="" textlink="">
      <xdr:nvSpPr>
        <xdr:cNvPr id="1048" name="Rectangle 1">
          <a:extLst>
            <a:ext uri="{FF2B5EF4-FFF2-40B4-BE49-F238E27FC236}">
              <a16:creationId xmlns:a16="http://schemas.microsoft.com/office/drawing/2014/main" id="{DC7EE10E-C704-4527-A9A3-C96A7D54184D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36</xdr:row>
      <xdr:rowOff>60960</xdr:rowOff>
    </xdr:from>
    <xdr:to>
      <xdr:col>10</xdr:col>
      <xdr:colOff>906780</xdr:colOff>
      <xdr:row>36</xdr:row>
      <xdr:rowOff>152400</xdr:rowOff>
    </xdr:to>
    <xdr:sp macro="" textlink="">
      <xdr:nvSpPr>
        <xdr:cNvPr id="1049" name="Rectangle 1">
          <a:extLst>
            <a:ext uri="{FF2B5EF4-FFF2-40B4-BE49-F238E27FC236}">
              <a16:creationId xmlns:a16="http://schemas.microsoft.com/office/drawing/2014/main" id="{90EAF5BA-9722-4A93-9CD1-DBE97F8DA973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37</xdr:row>
      <xdr:rowOff>60960</xdr:rowOff>
    </xdr:from>
    <xdr:to>
      <xdr:col>10</xdr:col>
      <xdr:colOff>152400</xdr:colOff>
      <xdr:row>37</xdr:row>
      <xdr:rowOff>152400</xdr:rowOff>
    </xdr:to>
    <xdr:sp macro="" textlink="">
      <xdr:nvSpPr>
        <xdr:cNvPr id="1050" name="Rectangle 1">
          <a:extLst>
            <a:ext uri="{FF2B5EF4-FFF2-40B4-BE49-F238E27FC236}">
              <a16:creationId xmlns:a16="http://schemas.microsoft.com/office/drawing/2014/main" id="{3D343E3A-D0A4-4866-88EB-A1DE4B304C68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37</xdr:row>
      <xdr:rowOff>60960</xdr:rowOff>
    </xdr:from>
    <xdr:to>
      <xdr:col>10</xdr:col>
      <xdr:colOff>906780</xdr:colOff>
      <xdr:row>37</xdr:row>
      <xdr:rowOff>152400</xdr:rowOff>
    </xdr:to>
    <xdr:sp macro="" textlink="">
      <xdr:nvSpPr>
        <xdr:cNvPr id="1051" name="Rectangle 1">
          <a:extLst>
            <a:ext uri="{FF2B5EF4-FFF2-40B4-BE49-F238E27FC236}">
              <a16:creationId xmlns:a16="http://schemas.microsoft.com/office/drawing/2014/main" id="{5557FCF2-38A8-464E-BF37-A26ADBD51E17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38</xdr:row>
      <xdr:rowOff>60960</xdr:rowOff>
    </xdr:from>
    <xdr:to>
      <xdr:col>10</xdr:col>
      <xdr:colOff>152400</xdr:colOff>
      <xdr:row>38</xdr:row>
      <xdr:rowOff>152400</xdr:rowOff>
    </xdr:to>
    <xdr:sp macro="" textlink="">
      <xdr:nvSpPr>
        <xdr:cNvPr id="1052" name="Rectangle 1">
          <a:extLst>
            <a:ext uri="{FF2B5EF4-FFF2-40B4-BE49-F238E27FC236}">
              <a16:creationId xmlns:a16="http://schemas.microsoft.com/office/drawing/2014/main" id="{98C29D4E-519D-4E08-9D7A-2E5A586E3948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38</xdr:row>
      <xdr:rowOff>60960</xdr:rowOff>
    </xdr:from>
    <xdr:to>
      <xdr:col>10</xdr:col>
      <xdr:colOff>906780</xdr:colOff>
      <xdr:row>38</xdr:row>
      <xdr:rowOff>152400</xdr:rowOff>
    </xdr:to>
    <xdr:sp macro="" textlink="">
      <xdr:nvSpPr>
        <xdr:cNvPr id="1053" name="Rectangle 1">
          <a:extLst>
            <a:ext uri="{FF2B5EF4-FFF2-40B4-BE49-F238E27FC236}">
              <a16:creationId xmlns:a16="http://schemas.microsoft.com/office/drawing/2014/main" id="{B01F8610-2ACA-4655-B41A-E59EAFD5110A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39</xdr:row>
      <xdr:rowOff>60960</xdr:rowOff>
    </xdr:from>
    <xdr:to>
      <xdr:col>10</xdr:col>
      <xdr:colOff>152400</xdr:colOff>
      <xdr:row>39</xdr:row>
      <xdr:rowOff>152400</xdr:rowOff>
    </xdr:to>
    <xdr:sp macro="" textlink="">
      <xdr:nvSpPr>
        <xdr:cNvPr id="1054" name="Rectangle 1">
          <a:extLst>
            <a:ext uri="{FF2B5EF4-FFF2-40B4-BE49-F238E27FC236}">
              <a16:creationId xmlns:a16="http://schemas.microsoft.com/office/drawing/2014/main" id="{51E2552C-7D2A-4F44-827A-59620EDA6B84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39</xdr:row>
      <xdr:rowOff>60960</xdr:rowOff>
    </xdr:from>
    <xdr:to>
      <xdr:col>10</xdr:col>
      <xdr:colOff>906780</xdr:colOff>
      <xdr:row>39</xdr:row>
      <xdr:rowOff>152400</xdr:rowOff>
    </xdr:to>
    <xdr:sp macro="" textlink="">
      <xdr:nvSpPr>
        <xdr:cNvPr id="1055" name="Rectangle 1">
          <a:extLst>
            <a:ext uri="{FF2B5EF4-FFF2-40B4-BE49-F238E27FC236}">
              <a16:creationId xmlns:a16="http://schemas.microsoft.com/office/drawing/2014/main" id="{B0EB70F2-B038-4835-91B7-886DEE2AE7B3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40</xdr:row>
      <xdr:rowOff>60960</xdr:rowOff>
    </xdr:from>
    <xdr:to>
      <xdr:col>10</xdr:col>
      <xdr:colOff>152400</xdr:colOff>
      <xdr:row>40</xdr:row>
      <xdr:rowOff>152400</xdr:rowOff>
    </xdr:to>
    <xdr:sp macro="" textlink="">
      <xdr:nvSpPr>
        <xdr:cNvPr id="1056" name="Rectangle 1">
          <a:extLst>
            <a:ext uri="{FF2B5EF4-FFF2-40B4-BE49-F238E27FC236}">
              <a16:creationId xmlns:a16="http://schemas.microsoft.com/office/drawing/2014/main" id="{3C7FE641-B9BD-447F-9F75-0C1A2963BC45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40</xdr:row>
      <xdr:rowOff>60960</xdr:rowOff>
    </xdr:from>
    <xdr:to>
      <xdr:col>10</xdr:col>
      <xdr:colOff>906780</xdr:colOff>
      <xdr:row>40</xdr:row>
      <xdr:rowOff>152400</xdr:rowOff>
    </xdr:to>
    <xdr:sp macro="" textlink="">
      <xdr:nvSpPr>
        <xdr:cNvPr id="1057" name="Rectangle 1">
          <a:extLst>
            <a:ext uri="{FF2B5EF4-FFF2-40B4-BE49-F238E27FC236}">
              <a16:creationId xmlns:a16="http://schemas.microsoft.com/office/drawing/2014/main" id="{850BE5E2-4BF7-40B1-89B5-793773D6AC18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41</xdr:row>
      <xdr:rowOff>60960</xdr:rowOff>
    </xdr:from>
    <xdr:to>
      <xdr:col>10</xdr:col>
      <xdr:colOff>152400</xdr:colOff>
      <xdr:row>41</xdr:row>
      <xdr:rowOff>152400</xdr:rowOff>
    </xdr:to>
    <xdr:sp macro="" textlink="">
      <xdr:nvSpPr>
        <xdr:cNvPr id="1058" name="Rectangle 1">
          <a:extLst>
            <a:ext uri="{FF2B5EF4-FFF2-40B4-BE49-F238E27FC236}">
              <a16:creationId xmlns:a16="http://schemas.microsoft.com/office/drawing/2014/main" id="{C83C6238-89C0-48E7-A7F9-6BC9686415C8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41</xdr:row>
      <xdr:rowOff>60960</xdr:rowOff>
    </xdr:from>
    <xdr:to>
      <xdr:col>10</xdr:col>
      <xdr:colOff>906780</xdr:colOff>
      <xdr:row>41</xdr:row>
      <xdr:rowOff>152400</xdr:rowOff>
    </xdr:to>
    <xdr:sp macro="" textlink="">
      <xdr:nvSpPr>
        <xdr:cNvPr id="1059" name="Rectangle 1">
          <a:extLst>
            <a:ext uri="{FF2B5EF4-FFF2-40B4-BE49-F238E27FC236}">
              <a16:creationId xmlns:a16="http://schemas.microsoft.com/office/drawing/2014/main" id="{2F45AC93-44B3-48E3-9B6A-A1DDFDF33D9D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42</xdr:row>
      <xdr:rowOff>60960</xdr:rowOff>
    </xdr:from>
    <xdr:to>
      <xdr:col>10</xdr:col>
      <xdr:colOff>152400</xdr:colOff>
      <xdr:row>42</xdr:row>
      <xdr:rowOff>152400</xdr:rowOff>
    </xdr:to>
    <xdr:sp macro="" textlink="">
      <xdr:nvSpPr>
        <xdr:cNvPr id="1060" name="Rectangle 1">
          <a:extLst>
            <a:ext uri="{FF2B5EF4-FFF2-40B4-BE49-F238E27FC236}">
              <a16:creationId xmlns:a16="http://schemas.microsoft.com/office/drawing/2014/main" id="{78892A8D-0A26-4678-9AE5-D7C8F4D67A2B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42</xdr:row>
      <xdr:rowOff>60960</xdr:rowOff>
    </xdr:from>
    <xdr:to>
      <xdr:col>10</xdr:col>
      <xdr:colOff>906780</xdr:colOff>
      <xdr:row>42</xdr:row>
      <xdr:rowOff>152400</xdr:rowOff>
    </xdr:to>
    <xdr:sp macro="" textlink="">
      <xdr:nvSpPr>
        <xdr:cNvPr id="1061" name="Rectangle 1">
          <a:extLst>
            <a:ext uri="{FF2B5EF4-FFF2-40B4-BE49-F238E27FC236}">
              <a16:creationId xmlns:a16="http://schemas.microsoft.com/office/drawing/2014/main" id="{CF2EDD18-6BB1-4493-84B5-8A49C422524E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43</xdr:row>
      <xdr:rowOff>60960</xdr:rowOff>
    </xdr:from>
    <xdr:to>
      <xdr:col>10</xdr:col>
      <xdr:colOff>152400</xdr:colOff>
      <xdr:row>43</xdr:row>
      <xdr:rowOff>152400</xdr:rowOff>
    </xdr:to>
    <xdr:sp macro="" textlink="">
      <xdr:nvSpPr>
        <xdr:cNvPr id="1062" name="Rectangle 1">
          <a:extLst>
            <a:ext uri="{FF2B5EF4-FFF2-40B4-BE49-F238E27FC236}">
              <a16:creationId xmlns:a16="http://schemas.microsoft.com/office/drawing/2014/main" id="{7C0A12D6-EAA5-4036-9FF4-720887574CE9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43</xdr:row>
      <xdr:rowOff>60960</xdr:rowOff>
    </xdr:from>
    <xdr:to>
      <xdr:col>10</xdr:col>
      <xdr:colOff>906780</xdr:colOff>
      <xdr:row>43</xdr:row>
      <xdr:rowOff>152400</xdr:rowOff>
    </xdr:to>
    <xdr:sp macro="" textlink="">
      <xdr:nvSpPr>
        <xdr:cNvPr id="1063" name="Rectangle 1">
          <a:extLst>
            <a:ext uri="{FF2B5EF4-FFF2-40B4-BE49-F238E27FC236}">
              <a16:creationId xmlns:a16="http://schemas.microsoft.com/office/drawing/2014/main" id="{E07C747B-7E59-4BE8-AC73-539C3864FE54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44</xdr:row>
      <xdr:rowOff>60960</xdr:rowOff>
    </xdr:from>
    <xdr:to>
      <xdr:col>10</xdr:col>
      <xdr:colOff>152400</xdr:colOff>
      <xdr:row>44</xdr:row>
      <xdr:rowOff>152400</xdr:rowOff>
    </xdr:to>
    <xdr:sp macro="" textlink="">
      <xdr:nvSpPr>
        <xdr:cNvPr id="1064" name="Rectangle 1">
          <a:extLst>
            <a:ext uri="{FF2B5EF4-FFF2-40B4-BE49-F238E27FC236}">
              <a16:creationId xmlns:a16="http://schemas.microsoft.com/office/drawing/2014/main" id="{AD1BB890-9000-4D7E-B036-DB2EFDE8EAD7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44</xdr:row>
      <xdr:rowOff>60960</xdr:rowOff>
    </xdr:from>
    <xdr:to>
      <xdr:col>10</xdr:col>
      <xdr:colOff>906780</xdr:colOff>
      <xdr:row>44</xdr:row>
      <xdr:rowOff>152400</xdr:rowOff>
    </xdr:to>
    <xdr:sp macro="" textlink="">
      <xdr:nvSpPr>
        <xdr:cNvPr id="1065" name="Rectangle 1">
          <a:extLst>
            <a:ext uri="{FF2B5EF4-FFF2-40B4-BE49-F238E27FC236}">
              <a16:creationId xmlns:a16="http://schemas.microsoft.com/office/drawing/2014/main" id="{76C2EC6A-FEA9-4F93-9ED0-738E536BB433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45</xdr:row>
      <xdr:rowOff>60960</xdr:rowOff>
    </xdr:from>
    <xdr:to>
      <xdr:col>10</xdr:col>
      <xdr:colOff>152400</xdr:colOff>
      <xdr:row>45</xdr:row>
      <xdr:rowOff>152400</xdr:rowOff>
    </xdr:to>
    <xdr:sp macro="" textlink="">
      <xdr:nvSpPr>
        <xdr:cNvPr id="1066" name="Rectangle 1">
          <a:extLst>
            <a:ext uri="{FF2B5EF4-FFF2-40B4-BE49-F238E27FC236}">
              <a16:creationId xmlns:a16="http://schemas.microsoft.com/office/drawing/2014/main" id="{A4E7888E-D1B7-40A8-B2BD-063AFE91DCBC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45</xdr:row>
      <xdr:rowOff>60960</xdr:rowOff>
    </xdr:from>
    <xdr:to>
      <xdr:col>10</xdr:col>
      <xdr:colOff>906780</xdr:colOff>
      <xdr:row>45</xdr:row>
      <xdr:rowOff>152400</xdr:rowOff>
    </xdr:to>
    <xdr:sp macro="" textlink="">
      <xdr:nvSpPr>
        <xdr:cNvPr id="1067" name="Rectangle 1">
          <a:extLst>
            <a:ext uri="{FF2B5EF4-FFF2-40B4-BE49-F238E27FC236}">
              <a16:creationId xmlns:a16="http://schemas.microsoft.com/office/drawing/2014/main" id="{7D0719DC-19DB-421C-8087-063440ED72FC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46</xdr:row>
      <xdr:rowOff>60960</xdr:rowOff>
    </xdr:from>
    <xdr:to>
      <xdr:col>10</xdr:col>
      <xdr:colOff>152400</xdr:colOff>
      <xdr:row>46</xdr:row>
      <xdr:rowOff>152400</xdr:rowOff>
    </xdr:to>
    <xdr:sp macro="" textlink="">
      <xdr:nvSpPr>
        <xdr:cNvPr id="1068" name="Rectangle 1">
          <a:extLst>
            <a:ext uri="{FF2B5EF4-FFF2-40B4-BE49-F238E27FC236}">
              <a16:creationId xmlns:a16="http://schemas.microsoft.com/office/drawing/2014/main" id="{FBA76401-E303-4A0D-B2D2-8CF8EEDCFD87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46</xdr:row>
      <xdr:rowOff>60960</xdr:rowOff>
    </xdr:from>
    <xdr:to>
      <xdr:col>10</xdr:col>
      <xdr:colOff>906780</xdr:colOff>
      <xdr:row>46</xdr:row>
      <xdr:rowOff>152400</xdr:rowOff>
    </xdr:to>
    <xdr:sp macro="" textlink="">
      <xdr:nvSpPr>
        <xdr:cNvPr id="1069" name="Rectangle 1">
          <a:extLst>
            <a:ext uri="{FF2B5EF4-FFF2-40B4-BE49-F238E27FC236}">
              <a16:creationId xmlns:a16="http://schemas.microsoft.com/office/drawing/2014/main" id="{5E64DDBB-2F4A-4555-99EA-52B55BFBDABD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47</xdr:row>
      <xdr:rowOff>60960</xdr:rowOff>
    </xdr:from>
    <xdr:to>
      <xdr:col>10</xdr:col>
      <xdr:colOff>152400</xdr:colOff>
      <xdr:row>47</xdr:row>
      <xdr:rowOff>152400</xdr:rowOff>
    </xdr:to>
    <xdr:sp macro="" textlink="">
      <xdr:nvSpPr>
        <xdr:cNvPr id="1070" name="Rectangle 1">
          <a:extLst>
            <a:ext uri="{FF2B5EF4-FFF2-40B4-BE49-F238E27FC236}">
              <a16:creationId xmlns:a16="http://schemas.microsoft.com/office/drawing/2014/main" id="{EF6847D4-B104-4E71-BAAE-532E31A82839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47</xdr:row>
      <xdr:rowOff>60960</xdr:rowOff>
    </xdr:from>
    <xdr:to>
      <xdr:col>10</xdr:col>
      <xdr:colOff>906780</xdr:colOff>
      <xdr:row>47</xdr:row>
      <xdr:rowOff>152400</xdr:rowOff>
    </xdr:to>
    <xdr:sp macro="" textlink="">
      <xdr:nvSpPr>
        <xdr:cNvPr id="1071" name="Rectangle 1">
          <a:extLst>
            <a:ext uri="{FF2B5EF4-FFF2-40B4-BE49-F238E27FC236}">
              <a16:creationId xmlns:a16="http://schemas.microsoft.com/office/drawing/2014/main" id="{FF151AE3-6566-4EF8-BC90-1342D10A48AC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48</xdr:row>
      <xdr:rowOff>60960</xdr:rowOff>
    </xdr:from>
    <xdr:to>
      <xdr:col>10</xdr:col>
      <xdr:colOff>152400</xdr:colOff>
      <xdr:row>48</xdr:row>
      <xdr:rowOff>152400</xdr:rowOff>
    </xdr:to>
    <xdr:sp macro="" textlink="">
      <xdr:nvSpPr>
        <xdr:cNvPr id="1072" name="Rectangle 1">
          <a:extLst>
            <a:ext uri="{FF2B5EF4-FFF2-40B4-BE49-F238E27FC236}">
              <a16:creationId xmlns:a16="http://schemas.microsoft.com/office/drawing/2014/main" id="{632590BA-131A-4CF8-9C62-5E7DE4BBC0A7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48</xdr:row>
      <xdr:rowOff>60960</xdr:rowOff>
    </xdr:from>
    <xdr:to>
      <xdr:col>10</xdr:col>
      <xdr:colOff>906780</xdr:colOff>
      <xdr:row>48</xdr:row>
      <xdr:rowOff>152400</xdr:rowOff>
    </xdr:to>
    <xdr:sp macro="" textlink="">
      <xdr:nvSpPr>
        <xdr:cNvPr id="1073" name="Rectangle 1">
          <a:extLst>
            <a:ext uri="{FF2B5EF4-FFF2-40B4-BE49-F238E27FC236}">
              <a16:creationId xmlns:a16="http://schemas.microsoft.com/office/drawing/2014/main" id="{A3151651-0539-42A9-8BAD-153151975E8D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49</xdr:row>
      <xdr:rowOff>60960</xdr:rowOff>
    </xdr:from>
    <xdr:to>
      <xdr:col>10</xdr:col>
      <xdr:colOff>152400</xdr:colOff>
      <xdr:row>49</xdr:row>
      <xdr:rowOff>152400</xdr:rowOff>
    </xdr:to>
    <xdr:sp macro="" textlink="">
      <xdr:nvSpPr>
        <xdr:cNvPr id="1074" name="Rectangle 1">
          <a:extLst>
            <a:ext uri="{FF2B5EF4-FFF2-40B4-BE49-F238E27FC236}">
              <a16:creationId xmlns:a16="http://schemas.microsoft.com/office/drawing/2014/main" id="{E9E954B0-5DB2-4213-833D-FBEC8F953F8B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49</xdr:row>
      <xdr:rowOff>60960</xdr:rowOff>
    </xdr:from>
    <xdr:to>
      <xdr:col>10</xdr:col>
      <xdr:colOff>906780</xdr:colOff>
      <xdr:row>49</xdr:row>
      <xdr:rowOff>152400</xdr:rowOff>
    </xdr:to>
    <xdr:sp macro="" textlink="">
      <xdr:nvSpPr>
        <xdr:cNvPr id="1075" name="Rectangle 1">
          <a:extLst>
            <a:ext uri="{FF2B5EF4-FFF2-40B4-BE49-F238E27FC236}">
              <a16:creationId xmlns:a16="http://schemas.microsoft.com/office/drawing/2014/main" id="{FAEC80D3-1759-4881-9E88-7350141EA3D8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50</xdr:row>
      <xdr:rowOff>60960</xdr:rowOff>
    </xdr:from>
    <xdr:to>
      <xdr:col>10</xdr:col>
      <xdr:colOff>152400</xdr:colOff>
      <xdr:row>50</xdr:row>
      <xdr:rowOff>152400</xdr:rowOff>
    </xdr:to>
    <xdr:sp macro="" textlink="">
      <xdr:nvSpPr>
        <xdr:cNvPr id="1076" name="Rectangle 1">
          <a:extLst>
            <a:ext uri="{FF2B5EF4-FFF2-40B4-BE49-F238E27FC236}">
              <a16:creationId xmlns:a16="http://schemas.microsoft.com/office/drawing/2014/main" id="{41ED44E2-2A97-45F5-BA2D-6C77D85457B3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50</xdr:row>
      <xdr:rowOff>60960</xdr:rowOff>
    </xdr:from>
    <xdr:to>
      <xdr:col>10</xdr:col>
      <xdr:colOff>906780</xdr:colOff>
      <xdr:row>50</xdr:row>
      <xdr:rowOff>152400</xdr:rowOff>
    </xdr:to>
    <xdr:sp macro="" textlink="">
      <xdr:nvSpPr>
        <xdr:cNvPr id="1077" name="Rectangle 1">
          <a:extLst>
            <a:ext uri="{FF2B5EF4-FFF2-40B4-BE49-F238E27FC236}">
              <a16:creationId xmlns:a16="http://schemas.microsoft.com/office/drawing/2014/main" id="{84B2FF64-376E-4DF9-868E-E84F586E75E2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51</xdr:row>
      <xdr:rowOff>60960</xdr:rowOff>
    </xdr:from>
    <xdr:to>
      <xdr:col>10</xdr:col>
      <xdr:colOff>152400</xdr:colOff>
      <xdr:row>51</xdr:row>
      <xdr:rowOff>152400</xdr:rowOff>
    </xdr:to>
    <xdr:sp macro="" textlink="">
      <xdr:nvSpPr>
        <xdr:cNvPr id="1078" name="Rectangle 1">
          <a:extLst>
            <a:ext uri="{FF2B5EF4-FFF2-40B4-BE49-F238E27FC236}">
              <a16:creationId xmlns:a16="http://schemas.microsoft.com/office/drawing/2014/main" id="{8E6BA623-2663-4FDE-8FE3-941B214984DF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51</xdr:row>
      <xdr:rowOff>60960</xdr:rowOff>
    </xdr:from>
    <xdr:to>
      <xdr:col>10</xdr:col>
      <xdr:colOff>906780</xdr:colOff>
      <xdr:row>51</xdr:row>
      <xdr:rowOff>152400</xdr:rowOff>
    </xdr:to>
    <xdr:sp macro="" textlink="">
      <xdr:nvSpPr>
        <xdr:cNvPr id="1079" name="Rectangle 1">
          <a:extLst>
            <a:ext uri="{FF2B5EF4-FFF2-40B4-BE49-F238E27FC236}">
              <a16:creationId xmlns:a16="http://schemas.microsoft.com/office/drawing/2014/main" id="{56921926-2D75-4E1E-BC28-41C4433F0DE3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52</xdr:row>
      <xdr:rowOff>60960</xdr:rowOff>
    </xdr:from>
    <xdr:to>
      <xdr:col>10</xdr:col>
      <xdr:colOff>152400</xdr:colOff>
      <xdr:row>52</xdr:row>
      <xdr:rowOff>152400</xdr:rowOff>
    </xdr:to>
    <xdr:sp macro="" textlink="">
      <xdr:nvSpPr>
        <xdr:cNvPr id="1080" name="Rectangle 1">
          <a:extLst>
            <a:ext uri="{FF2B5EF4-FFF2-40B4-BE49-F238E27FC236}">
              <a16:creationId xmlns:a16="http://schemas.microsoft.com/office/drawing/2014/main" id="{F1935867-E5C6-44D3-84F4-1719BF5B44E5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52</xdr:row>
      <xdr:rowOff>60960</xdr:rowOff>
    </xdr:from>
    <xdr:to>
      <xdr:col>10</xdr:col>
      <xdr:colOff>906780</xdr:colOff>
      <xdr:row>52</xdr:row>
      <xdr:rowOff>152400</xdr:rowOff>
    </xdr:to>
    <xdr:sp macro="" textlink="">
      <xdr:nvSpPr>
        <xdr:cNvPr id="1081" name="Rectangle 1">
          <a:extLst>
            <a:ext uri="{FF2B5EF4-FFF2-40B4-BE49-F238E27FC236}">
              <a16:creationId xmlns:a16="http://schemas.microsoft.com/office/drawing/2014/main" id="{748E3BD6-E357-423B-BD8E-25A163794853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53</xdr:row>
      <xdr:rowOff>60960</xdr:rowOff>
    </xdr:from>
    <xdr:to>
      <xdr:col>10</xdr:col>
      <xdr:colOff>152400</xdr:colOff>
      <xdr:row>53</xdr:row>
      <xdr:rowOff>152400</xdr:rowOff>
    </xdr:to>
    <xdr:sp macro="" textlink="">
      <xdr:nvSpPr>
        <xdr:cNvPr id="1082" name="Rectangle 1">
          <a:extLst>
            <a:ext uri="{FF2B5EF4-FFF2-40B4-BE49-F238E27FC236}">
              <a16:creationId xmlns:a16="http://schemas.microsoft.com/office/drawing/2014/main" id="{819910A9-5CF8-4447-8A66-779BF187BCD3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53</xdr:row>
      <xdr:rowOff>60960</xdr:rowOff>
    </xdr:from>
    <xdr:to>
      <xdr:col>10</xdr:col>
      <xdr:colOff>906780</xdr:colOff>
      <xdr:row>53</xdr:row>
      <xdr:rowOff>152400</xdr:rowOff>
    </xdr:to>
    <xdr:sp macro="" textlink="">
      <xdr:nvSpPr>
        <xdr:cNvPr id="1083" name="Rectangle 1">
          <a:extLst>
            <a:ext uri="{FF2B5EF4-FFF2-40B4-BE49-F238E27FC236}">
              <a16:creationId xmlns:a16="http://schemas.microsoft.com/office/drawing/2014/main" id="{C587FABF-71EB-49DA-925F-A8362E3533ED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60960</xdr:colOff>
      <xdr:row>9</xdr:row>
      <xdr:rowOff>60960</xdr:rowOff>
    </xdr:from>
    <xdr:to>
      <xdr:col>10</xdr:col>
      <xdr:colOff>152400</xdr:colOff>
      <xdr:row>9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A6C7CD7-CE01-4608-9497-0DBCBF8C86E8}"/>
            </a:ext>
          </a:extLst>
        </xdr:cNvPr>
        <xdr:cNvSpPr>
          <a:spLocks noChangeArrowheads="1"/>
        </xdr:cNvSpPr>
      </xdr:nvSpPr>
      <xdr:spPr bwMode="auto">
        <a:xfrm>
          <a:off x="10073640" y="27127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9</xdr:row>
      <xdr:rowOff>60960</xdr:rowOff>
    </xdr:from>
    <xdr:to>
      <xdr:col>10</xdr:col>
      <xdr:colOff>906780</xdr:colOff>
      <xdr:row>9</xdr:row>
      <xdr:rowOff>152400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8A368B51-FF2C-4426-A479-C237487FE713}"/>
            </a:ext>
          </a:extLst>
        </xdr:cNvPr>
        <xdr:cNvSpPr>
          <a:spLocks noChangeArrowheads="1"/>
        </xdr:cNvSpPr>
      </xdr:nvSpPr>
      <xdr:spPr bwMode="auto">
        <a:xfrm>
          <a:off x="10828020" y="27127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10</xdr:row>
      <xdr:rowOff>60960</xdr:rowOff>
    </xdr:from>
    <xdr:to>
      <xdr:col>10</xdr:col>
      <xdr:colOff>152400</xdr:colOff>
      <xdr:row>10</xdr:row>
      <xdr:rowOff>152400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4646A8D7-69F1-413F-BAB4-FF0C5633A2EF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10</xdr:row>
      <xdr:rowOff>60960</xdr:rowOff>
    </xdr:from>
    <xdr:to>
      <xdr:col>10</xdr:col>
      <xdr:colOff>906780</xdr:colOff>
      <xdr:row>10</xdr:row>
      <xdr:rowOff>152400</xdr:rowOff>
    </xdr:to>
    <xdr:sp macro="" textlink="">
      <xdr:nvSpPr>
        <xdr:cNvPr id="5" name="Rectangle 1">
          <a:extLst>
            <a:ext uri="{FF2B5EF4-FFF2-40B4-BE49-F238E27FC236}">
              <a16:creationId xmlns:a16="http://schemas.microsoft.com/office/drawing/2014/main" id="{2EFF69CC-B0AE-49AE-87AA-315A399E1EAA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11</xdr:row>
      <xdr:rowOff>60960</xdr:rowOff>
    </xdr:from>
    <xdr:to>
      <xdr:col>10</xdr:col>
      <xdr:colOff>152400</xdr:colOff>
      <xdr:row>11</xdr:row>
      <xdr:rowOff>152400</xdr:rowOff>
    </xdr:to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6CDC901B-968E-4E85-AE4F-D69F707DEF40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11</xdr:row>
      <xdr:rowOff>60960</xdr:rowOff>
    </xdr:from>
    <xdr:to>
      <xdr:col>10</xdr:col>
      <xdr:colOff>906780</xdr:colOff>
      <xdr:row>11</xdr:row>
      <xdr:rowOff>152400</xdr:rowOff>
    </xdr:to>
    <xdr:sp macro="" textlink="">
      <xdr:nvSpPr>
        <xdr:cNvPr id="7" name="Rectangle 1">
          <a:extLst>
            <a:ext uri="{FF2B5EF4-FFF2-40B4-BE49-F238E27FC236}">
              <a16:creationId xmlns:a16="http://schemas.microsoft.com/office/drawing/2014/main" id="{8CEA277A-8DD5-47C1-B854-565F4561A0A3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12</xdr:row>
      <xdr:rowOff>60960</xdr:rowOff>
    </xdr:from>
    <xdr:to>
      <xdr:col>10</xdr:col>
      <xdr:colOff>152400</xdr:colOff>
      <xdr:row>12</xdr:row>
      <xdr:rowOff>152400</xdr:rowOff>
    </xdr:to>
    <xdr:sp macro="" textlink="">
      <xdr:nvSpPr>
        <xdr:cNvPr id="8" name="Rectangle 1">
          <a:extLst>
            <a:ext uri="{FF2B5EF4-FFF2-40B4-BE49-F238E27FC236}">
              <a16:creationId xmlns:a16="http://schemas.microsoft.com/office/drawing/2014/main" id="{1BF6328A-D43C-4BE1-A32C-B9CF51462E94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12</xdr:row>
      <xdr:rowOff>60960</xdr:rowOff>
    </xdr:from>
    <xdr:to>
      <xdr:col>10</xdr:col>
      <xdr:colOff>906780</xdr:colOff>
      <xdr:row>12</xdr:row>
      <xdr:rowOff>152400</xdr:rowOff>
    </xdr:to>
    <xdr:sp macro="" textlink="">
      <xdr:nvSpPr>
        <xdr:cNvPr id="9" name="Rectangle 1">
          <a:extLst>
            <a:ext uri="{FF2B5EF4-FFF2-40B4-BE49-F238E27FC236}">
              <a16:creationId xmlns:a16="http://schemas.microsoft.com/office/drawing/2014/main" id="{50D6A990-1350-43F3-A3A0-DC25B35AD9C1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13</xdr:row>
      <xdr:rowOff>60960</xdr:rowOff>
    </xdr:from>
    <xdr:to>
      <xdr:col>10</xdr:col>
      <xdr:colOff>152400</xdr:colOff>
      <xdr:row>13</xdr:row>
      <xdr:rowOff>152400</xdr:rowOff>
    </xdr:to>
    <xdr:sp macro="" textlink="">
      <xdr:nvSpPr>
        <xdr:cNvPr id="10" name="Rectangle 1">
          <a:extLst>
            <a:ext uri="{FF2B5EF4-FFF2-40B4-BE49-F238E27FC236}">
              <a16:creationId xmlns:a16="http://schemas.microsoft.com/office/drawing/2014/main" id="{C3D1158C-71C3-47EE-B73C-0607B4EBEDE8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13</xdr:row>
      <xdr:rowOff>60960</xdr:rowOff>
    </xdr:from>
    <xdr:to>
      <xdr:col>10</xdr:col>
      <xdr:colOff>906780</xdr:colOff>
      <xdr:row>13</xdr:row>
      <xdr:rowOff>152400</xdr:rowOff>
    </xdr:to>
    <xdr:sp macro="" textlink="">
      <xdr:nvSpPr>
        <xdr:cNvPr id="11" name="Rectangle 1">
          <a:extLst>
            <a:ext uri="{FF2B5EF4-FFF2-40B4-BE49-F238E27FC236}">
              <a16:creationId xmlns:a16="http://schemas.microsoft.com/office/drawing/2014/main" id="{88669747-2486-4734-B320-BDF15AB4DC3E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14</xdr:row>
      <xdr:rowOff>60960</xdr:rowOff>
    </xdr:from>
    <xdr:to>
      <xdr:col>10</xdr:col>
      <xdr:colOff>152400</xdr:colOff>
      <xdr:row>14</xdr:row>
      <xdr:rowOff>152400</xdr:rowOff>
    </xdr:to>
    <xdr:sp macro="" textlink="">
      <xdr:nvSpPr>
        <xdr:cNvPr id="12" name="Rectangle 1">
          <a:extLst>
            <a:ext uri="{FF2B5EF4-FFF2-40B4-BE49-F238E27FC236}">
              <a16:creationId xmlns:a16="http://schemas.microsoft.com/office/drawing/2014/main" id="{CEBE08A1-5C64-4168-902B-BCA147F6F40A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14</xdr:row>
      <xdr:rowOff>60960</xdr:rowOff>
    </xdr:from>
    <xdr:to>
      <xdr:col>10</xdr:col>
      <xdr:colOff>906780</xdr:colOff>
      <xdr:row>14</xdr:row>
      <xdr:rowOff>152400</xdr:rowOff>
    </xdr:to>
    <xdr:sp macro="" textlink="">
      <xdr:nvSpPr>
        <xdr:cNvPr id="13" name="Rectangle 1">
          <a:extLst>
            <a:ext uri="{FF2B5EF4-FFF2-40B4-BE49-F238E27FC236}">
              <a16:creationId xmlns:a16="http://schemas.microsoft.com/office/drawing/2014/main" id="{8F5E5254-C614-4A6B-8C97-5773D310056A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15</xdr:row>
      <xdr:rowOff>60960</xdr:rowOff>
    </xdr:from>
    <xdr:to>
      <xdr:col>10</xdr:col>
      <xdr:colOff>152400</xdr:colOff>
      <xdr:row>15</xdr:row>
      <xdr:rowOff>152400</xdr:rowOff>
    </xdr:to>
    <xdr:sp macro="" textlink="">
      <xdr:nvSpPr>
        <xdr:cNvPr id="14" name="Rectangle 1">
          <a:extLst>
            <a:ext uri="{FF2B5EF4-FFF2-40B4-BE49-F238E27FC236}">
              <a16:creationId xmlns:a16="http://schemas.microsoft.com/office/drawing/2014/main" id="{770B5079-0CDC-49C8-B863-4F98EBC7BB73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15</xdr:row>
      <xdr:rowOff>60960</xdr:rowOff>
    </xdr:from>
    <xdr:to>
      <xdr:col>10</xdr:col>
      <xdr:colOff>906780</xdr:colOff>
      <xdr:row>15</xdr:row>
      <xdr:rowOff>152400</xdr:rowOff>
    </xdr:to>
    <xdr:sp macro="" textlink="">
      <xdr:nvSpPr>
        <xdr:cNvPr id="15" name="Rectangle 1">
          <a:extLst>
            <a:ext uri="{FF2B5EF4-FFF2-40B4-BE49-F238E27FC236}">
              <a16:creationId xmlns:a16="http://schemas.microsoft.com/office/drawing/2014/main" id="{DADDF973-4CDF-42A5-9C93-C4C7D6601393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16</xdr:row>
      <xdr:rowOff>60960</xdr:rowOff>
    </xdr:from>
    <xdr:to>
      <xdr:col>10</xdr:col>
      <xdr:colOff>152400</xdr:colOff>
      <xdr:row>16</xdr:row>
      <xdr:rowOff>152400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4DDD958D-D457-467D-B1E7-17F97BFDE721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16</xdr:row>
      <xdr:rowOff>60960</xdr:rowOff>
    </xdr:from>
    <xdr:to>
      <xdr:col>10</xdr:col>
      <xdr:colOff>906780</xdr:colOff>
      <xdr:row>16</xdr:row>
      <xdr:rowOff>152400</xdr:rowOff>
    </xdr:to>
    <xdr:sp macro="" textlink="">
      <xdr:nvSpPr>
        <xdr:cNvPr id="17" name="Rectangle 1">
          <a:extLst>
            <a:ext uri="{FF2B5EF4-FFF2-40B4-BE49-F238E27FC236}">
              <a16:creationId xmlns:a16="http://schemas.microsoft.com/office/drawing/2014/main" id="{62BE4A36-6EC3-4A0B-AFC5-E0BD86B0475F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17</xdr:row>
      <xdr:rowOff>60960</xdr:rowOff>
    </xdr:from>
    <xdr:to>
      <xdr:col>10</xdr:col>
      <xdr:colOff>152400</xdr:colOff>
      <xdr:row>17</xdr:row>
      <xdr:rowOff>152400</xdr:rowOff>
    </xdr:to>
    <xdr:sp macro="" textlink="">
      <xdr:nvSpPr>
        <xdr:cNvPr id="18" name="Rectangle 1">
          <a:extLst>
            <a:ext uri="{FF2B5EF4-FFF2-40B4-BE49-F238E27FC236}">
              <a16:creationId xmlns:a16="http://schemas.microsoft.com/office/drawing/2014/main" id="{C65FE869-5DC1-4CDE-9399-0A3B303C3BF1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17</xdr:row>
      <xdr:rowOff>60960</xdr:rowOff>
    </xdr:from>
    <xdr:to>
      <xdr:col>10</xdr:col>
      <xdr:colOff>906780</xdr:colOff>
      <xdr:row>17</xdr:row>
      <xdr:rowOff>152400</xdr:rowOff>
    </xdr:to>
    <xdr:sp macro="" textlink="">
      <xdr:nvSpPr>
        <xdr:cNvPr id="19" name="Rectangle 1">
          <a:extLst>
            <a:ext uri="{FF2B5EF4-FFF2-40B4-BE49-F238E27FC236}">
              <a16:creationId xmlns:a16="http://schemas.microsoft.com/office/drawing/2014/main" id="{D05283A2-E97E-4114-8D35-385929D623FA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18</xdr:row>
      <xdr:rowOff>60960</xdr:rowOff>
    </xdr:from>
    <xdr:to>
      <xdr:col>10</xdr:col>
      <xdr:colOff>152400</xdr:colOff>
      <xdr:row>18</xdr:row>
      <xdr:rowOff>152400</xdr:rowOff>
    </xdr:to>
    <xdr:sp macro="" textlink="">
      <xdr:nvSpPr>
        <xdr:cNvPr id="20" name="Rectangle 1">
          <a:extLst>
            <a:ext uri="{FF2B5EF4-FFF2-40B4-BE49-F238E27FC236}">
              <a16:creationId xmlns:a16="http://schemas.microsoft.com/office/drawing/2014/main" id="{2154F839-159D-4C52-9E04-EFCAD01F31C4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18</xdr:row>
      <xdr:rowOff>60960</xdr:rowOff>
    </xdr:from>
    <xdr:to>
      <xdr:col>10</xdr:col>
      <xdr:colOff>906780</xdr:colOff>
      <xdr:row>18</xdr:row>
      <xdr:rowOff>152400</xdr:rowOff>
    </xdr:to>
    <xdr:sp macro="" textlink="">
      <xdr:nvSpPr>
        <xdr:cNvPr id="21" name="Rectangle 1">
          <a:extLst>
            <a:ext uri="{FF2B5EF4-FFF2-40B4-BE49-F238E27FC236}">
              <a16:creationId xmlns:a16="http://schemas.microsoft.com/office/drawing/2014/main" id="{C1E5F9BD-4EEF-44DA-9C01-0976D5EB86D3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19</xdr:row>
      <xdr:rowOff>60960</xdr:rowOff>
    </xdr:from>
    <xdr:to>
      <xdr:col>10</xdr:col>
      <xdr:colOff>152400</xdr:colOff>
      <xdr:row>19</xdr:row>
      <xdr:rowOff>152400</xdr:rowOff>
    </xdr:to>
    <xdr:sp macro="" textlink="">
      <xdr:nvSpPr>
        <xdr:cNvPr id="22" name="Rectangle 1">
          <a:extLst>
            <a:ext uri="{FF2B5EF4-FFF2-40B4-BE49-F238E27FC236}">
              <a16:creationId xmlns:a16="http://schemas.microsoft.com/office/drawing/2014/main" id="{45ADA45D-E1CE-440E-BEFC-49F5B29E0B72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19</xdr:row>
      <xdr:rowOff>60960</xdr:rowOff>
    </xdr:from>
    <xdr:to>
      <xdr:col>10</xdr:col>
      <xdr:colOff>906780</xdr:colOff>
      <xdr:row>19</xdr:row>
      <xdr:rowOff>152400</xdr:rowOff>
    </xdr:to>
    <xdr:sp macro="" textlink="">
      <xdr:nvSpPr>
        <xdr:cNvPr id="23" name="Rectangle 1">
          <a:extLst>
            <a:ext uri="{FF2B5EF4-FFF2-40B4-BE49-F238E27FC236}">
              <a16:creationId xmlns:a16="http://schemas.microsoft.com/office/drawing/2014/main" id="{ACFD0631-AE15-49F3-8791-F4E5567D71DD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20</xdr:row>
      <xdr:rowOff>60960</xdr:rowOff>
    </xdr:from>
    <xdr:to>
      <xdr:col>10</xdr:col>
      <xdr:colOff>152400</xdr:colOff>
      <xdr:row>20</xdr:row>
      <xdr:rowOff>152400</xdr:rowOff>
    </xdr:to>
    <xdr:sp macro="" textlink="">
      <xdr:nvSpPr>
        <xdr:cNvPr id="24" name="Rectangle 1">
          <a:extLst>
            <a:ext uri="{FF2B5EF4-FFF2-40B4-BE49-F238E27FC236}">
              <a16:creationId xmlns:a16="http://schemas.microsoft.com/office/drawing/2014/main" id="{AC72D610-EDCD-495C-8CEF-55D4D0544ECC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20</xdr:row>
      <xdr:rowOff>60960</xdr:rowOff>
    </xdr:from>
    <xdr:to>
      <xdr:col>10</xdr:col>
      <xdr:colOff>906780</xdr:colOff>
      <xdr:row>20</xdr:row>
      <xdr:rowOff>152400</xdr:rowOff>
    </xdr:to>
    <xdr:sp macro="" textlink="">
      <xdr:nvSpPr>
        <xdr:cNvPr id="25" name="Rectangle 1">
          <a:extLst>
            <a:ext uri="{FF2B5EF4-FFF2-40B4-BE49-F238E27FC236}">
              <a16:creationId xmlns:a16="http://schemas.microsoft.com/office/drawing/2014/main" id="{DDF8582D-D19E-4DC6-99C9-DAB77BA32201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21</xdr:row>
      <xdr:rowOff>60960</xdr:rowOff>
    </xdr:from>
    <xdr:to>
      <xdr:col>10</xdr:col>
      <xdr:colOff>152400</xdr:colOff>
      <xdr:row>21</xdr:row>
      <xdr:rowOff>152400</xdr:rowOff>
    </xdr:to>
    <xdr:sp macro="" textlink="">
      <xdr:nvSpPr>
        <xdr:cNvPr id="26" name="Rectangle 1">
          <a:extLst>
            <a:ext uri="{FF2B5EF4-FFF2-40B4-BE49-F238E27FC236}">
              <a16:creationId xmlns:a16="http://schemas.microsoft.com/office/drawing/2014/main" id="{0D8EB904-F489-4015-851A-75D3300C186F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21</xdr:row>
      <xdr:rowOff>60960</xdr:rowOff>
    </xdr:from>
    <xdr:to>
      <xdr:col>10</xdr:col>
      <xdr:colOff>906780</xdr:colOff>
      <xdr:row>21</xdr:row>
      <xdr:rowOff>152400</xdr:rowOff>
    </xdr:to>
    <xdr:sp macro="" textlink="">
      <xdr:nvSpPr>
        <xdr:cNvPr id="27" name="Rectangle 1">
          <a:extLst>
            <a:ext uri="{FF2B5EF4-FFF2-40B4-BE49-F238E27FC236}">
              <a16:creationId xmlns:a16="http://schemas.microsoft.com/office/drawing/2014/main" id="{117A3096-8F6F-4863-AF5D-FA393C33301C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22</xdr:row>
      <xdr:rowOff>60960</xdr:rowOff>
    </xdr:from>
    <xdr:to>
      <xdr:col>10</xdr:col>
      <xdr:colOff>152400</xdr:colOff>
      <xdr:row>22</xdr:row>
      <xdr:rowOff>152400</xdr:rowOff>
    </xdr:to>
    <xdr:sp macro="" textlink="">
      <xdr:nvSpPr>
        <xdr:cNvPr id="28" name="Rectangle 1">
          <a:extLst>
            <a:ext uri="{FF2B5EF4-FFF2-40B4-BE49-F238E27FC236}">
              <a16:creationId xmlns:a16="http://schemas.microsoft.com/office/drawing/2014/main" id="{7393AE9F-8097-464C-BA10-D6C52BC35FD8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22</xdr:row>
      <xdr:rowOff>60960</xdr:rowOff>
    </xdr:from>
    <xdr:to>
      <xdr:col>10</xdr:col>
      <xdr:colOff>906780</xdr:colOff>
      <xdr:row>22</xdr:row>
      <xdr:rowOff>152400</xdr:rowOff>
    </xdr:to>
    <xdr:sp macro="" textlink="">
      <xdr:nvSpPr>
        <xdr:cNvPr id="29" name="Rectangle 1">
          <a:extLst>
            <a:ext uri="{FF2B5EF4-FFF2-40B4-BE49-F238E27FC236}">
              <a16:creationId xmlns:a16="http://schemas.microsoft.com/office/drawing/2014/main" id="{90F1C9BB-95A9-49FB-99C9-E1487FB4EE60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23</xdr:row>
      <xdr:rowOff>60960</xdr:rowOff>
    </xdr:from>
    <xdr:to>
      <xdr:col>10</xdr:col>
      <xdr:colOff>152400</xdr:colOff>
      <xdr:row>23</xdr:row>
      <xdr:rowOff>152400</xdr:rowOff>
    </xdr:to>
    <xdr:sp macro="" textlink="">
      <xdr:nvSpPr>
        <xdr:cNvPr id="30" name="Rectangle 1">
          <a:extLst>
            <a:ext uri="{FF2B5EF4-FFF2-40B4-BE49-F238E27FC236}">
              <a16:creationId xmlns:a16="http://schemas.microsoft.com/office/drawing/2014/main" id="{A153F516-34D3-47EC-B9D0-93C3D8E7BDEF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23</xdr:row>
      <xdr:rowOff>60960</xdr:rowOff>
    </xdr:from>
    <xdr:to>
      <xdr:col>10</xdr:col>
      <xdr:colOff>906780</xdr:colOff>
      <xdr:row>23</xdr:row>
      <xdr:rowOff>152400</xdr:rowOff>
    </xdr:to>
    <xdr:sp macro="" textlink="">
      <xdr:nvSpPr>
        <xdr:cNvPr id="31" name="Rectangle 1">
          <a:extLst>
            <a:ext uri="{FF2B5EF4-FFF2-40B4-BE49-F238E27FC236}">
              <a16:creationId xmlns:a16="http://schemas.microsoft.com/office/drawing/2014/main" id="{8D0D5219-644B-4693-9FCE-152ECE43F7A1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24</xdr:row>
      <xdr:rowOff>60960</xdr:rowOff>
    </xdr:from>
    <xdr:to>
      <xdr:col>10</xdr:col>
      <xdr:colOff>152400</xdr:colOff>
      <xdr:row>24</xdr:row>
      <xdr:rowOff>152400</xdr:rowOff>
    </xdr:to>
    <xdr:sp macro="" textlink="">
      <xdr:nvSpPr>
        <xdr:cNvPr id="32" name="Rectangle 1">
          <a:extLst>
            <a:ext uri="{FF2B5EF4-FFF2-40B4-BE49-F238E27FC236}">
              <a16:creationId xmlns:a16="http://schemas.microsoft.com/office/drawing/2014/main" id="{1BFD0F57-BC7A-41C1-AB39-7FFF6A91C4E7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24</xdr:row>
      <xdr:rowOff>60960</xdr:rowOff>
    </xdr:from>
    <xdr:to>
      <xdr:col>10</xdr:col>
      <xdr:colOff>906780</xdr:colOff>
      <xdr:row>24</xdr:row>
      <xdr:rowOff>152400</xdr:rowOff>
    </xdr:to>
    <xdr:sp macro="" textlink="">
      <xdr:nvSpPr>
        <xdr:cNvPr id="33" name="Rectangle 1">
          <a:extLst>
            <a:ext uri="{FF2B5EF4-FFF2-40B4-BE49-F238E27FC236}">
              <a16:creationId xmlns:a16="http://schemas.microsoft.com/office/drawing/2014/main" id="{DA39A7D7-9CE5-417D-AFC6-7607B0C1B633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25</xdr:row>
      <xdr:rowOff>60960</xdr:rowOff>
    </xdr:from>
    <xdr:to>
      <xdr:col>10</xdr:col>
      <xdr:colOff>152400</xdr:colOff>
      <xdr:row>25</xdr:row>
      <xdr:rowOff>152400</xdr:rowOff>
    </xdr:to>
    <xdr:sp macro="" textlink="">
      <xdr:nvSpPr>
        <xdr:cNvPr id="34" name="Rectangle 1">
          <a:extLst>
            <a:ext uri="{FF2B5EF4-FFF2-40B4-BE49-F238E27FC236}">
              <a16:creationId xmlns:a16="http://schemas.microsoft.com/office/drawing/2014/main" id="{C0999D2D-7155-4084-8AB8-1FD06A823837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25</xdr:row>
      <xdr:rowOff>60960</xdr:rowOff>
    </xdr:from>
    <xdr:to>
      <xdr:col>10</xdr:col>
      <xdr:colOff>906780</xdr:colOff>
      <xdr:row>25</xdr:row>
      <xdr:rowOff>152400</xdr:rowOff>
    </xdr:to>
    <xdr:sp macro="" textlink="">
      <xdr:nvSpPr>
        <xdr:cNvPr id="35" name="Rectangle 1">
          <a:extLst>
            <a:ext uri="{FF2B5EF4-FFF2-40B4-BE49-F238E27FC236}">
              <a16:creationId xmlns:a16="http://schemas.microsoft.com/office/drawing/2014/main" id="{4F403563-7DC2-47AA-9231-1A37CF69E1B9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26</xdr:row>
      <xdr:rowOff>60960</xdr:rowOff>
    </xdr:from>
    <xdr:to>
      <xdr:col>10</xdr:col>
      <xdr:colOff>152400</xdr:colOff>
      <xdr:row>26</xdr:row>
      <xdr:rowOff>152400</xdr:rowOff>
    </xdr:to>
    <xdr:sp macro="" textlink="">
      <xdr:nvSpPr>
        <xdr:cNvPr id="36" name="Rectangle 1">
          <a:extLst>
            <a:ext uri="{FF2B5EF4-FFF2-40B4-BE49-F238E27FC236}">
              <a16:creationId xmlns:a16="http://schemas.microsoft.com/office/drawing/2014/main" id="{64757BCE-ED86-45FB-9A0F-D6D1A75C29B8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26</xdr:row>
      <xdr:rowOff>60960</xdr:rowOff>
    </xdr:from>
    <xdr:to>
      <xdr:col>10</xdr:col>
      <xdr:colOff>906780</xdr:colOff>
      <xdr:row>26</xdr:row>
      <xdr:rowOff>152400</xdr:rowOff>
    </xdr:to>
    <xdr:sp macro="" textlink="">
      <xdr:nvSpPr>
        <xdr:cNvPr id="37" name="Rectangle 1">
          <a:extLst>
            <a:ext uri="{FF2B5EF4-FFF2-40B4-BE49-F238E27FC236}">
              <a16:creationId xmlns:a16="http://schemas.microsoft.com/office/drawing/2014/main" id="{14AF0CC8-0C22-4284-9072-B0CEC72F2759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27</xdr:row>
      <xdr:rowOff>60960</xdr:rowOff>
    </xdr:from>
    <xdr:to>
      <xdr:col>10</xdr:col>
      <xdr:colOff>152400</xdr:colOff>
      <xdr:row>27</xdr:row>
      <xdr:rowOff>152400</xdr:rowOff>
    </xdr:to>
    <xdr:sp macro="" textlink="">
      <xdr:nvSpPr>
        <xdr:cNvPr id="38" name="Rectangle 1">
          <a:extLst>
            <a:ext uri="{FF2B5EF4-FFF2-40B4-BE49-F238E27FC236}">
              <a16:creationId xmlns:a16="http://schemas.microsoft.com/office/drawing/2014/main" id="{57D71398-F289-4381-AF55-7ABF52A6E879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27</xdr:row>
      <xdr:rowOff>60960</xdr:rowOff>
    </xdr:from>
    <xdr:to>
      <xdr:col>10</xdr:col>
      <xdr:colOff>906780</xdr:colOff>
      <xdr:row>27</xdr:row>
      <xdr:rowOff>152400</xdr:rowOff>
    </xdr:to>
    <xdr:sp macro="" textlink="">
      <xdr:nvSpPr>
        <xdr:cNvPr id="39" name="Rectangle 1">
          <a:extLst>
            <a:ext uri="{FF2B5EF4-FFF2-40B4-BE49-F238E27FC236}">
              <a16:creationId xmlns:a16="http://schemas.microsoft.com/office/drawing/2014/main" id="{DE2E96B9-C751-4D2C-BD45-1957D453BDE5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28</xdr:row>
      <xdr:rowOff>60960</xdr:rowOff>
    </xdr:from>
    <xdr:to>
      <xdr:col>10</xdr:col>
      <xdr:colOff>152400</xdr:colOff>
      <xdr:row>28</xdr:row>
      <xdr:rowOff>152400</xdr:rowOff>
    </xdr:to>
    <xdr:sp macro="" textlink="">
      <xdr:nvSpPr>
        <xdr:cNvPr id="40" name="Rectangle 1">
          <a:extLst>
            <a:ext uri="{FF2B5EF4-FFF2-40B4-BE49-F238E27FC236}">
              <a16:creationId xmlns:a16="http://schemas.microsoft.com/office/drawing/2014/main" id="{02EAA22B-94E0-4BA8-BA91-E1CD56DF6B33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28</xdr:row>
      <xdr:rowOff>60960</xdr:rowOff>
    </xdr:from>
    <xdr:to>
      <xdr:col>10</xdr:col>
      <xdr:colOff>906780</xdr:colOff>
      <xdr:row>28</xdr:row>
      <xdr:rowOff>152400</xdr:rowOff>
    </xdr:to>
    <xdr:sp macro="" textlink="">
      <xdr:nvSpPr>
        <xdr:cNvPr id="41" name="Rectangle 1">
          <a:extLst>
            <a:ext uri="{FF2B5EF4-FFF2-40B4-BE49-F238E27FC236}">
              <a16:creationId xmlns:a16="http://schemas.microsoft.com/office/drawing/2014/main" id="{E795ED8F-6B1D-4DBF-83BF-FE6CE50A3409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29</xdr:row>
      <xdr:rowOff>60960</xdr:rowOff>
    </xdr:from>
    <xdr:to>
      <xdr:col>10</xdr:col>
      <xdr:colOff>152400</xdr:colOff>
      <xdr:row>29</xdr:row>
      <xdr:rowOff>152400</xdr:rowOff>
    </xdr:to>
    <xdr:sp macro="" textlink="">
      <xdr:nvSpPr>
        <xdr:cNvPr id="42" name="Rectangle 1">
          <a:extLst>
            <a:ext uri="{FF2B5EF4-FFF2-40B4-BE49-F238E27FC236}">
              <a16:creationId xmlns:a16="http://schemas.microsoft.com/office/drawing/2014/main" id="{F735268A-1056-4F50-B53D-600BFE90CB54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29</xdr:row>
      <xdr:rowOff>60960</xdr:rowOff>
    </xdr:from>
    <xdr:to>
      <xdr:col>10</xdr:col>
      <xdr:colOff>906780</xdr:colOff>
      <xdr:row>29</xdr:row>
      <xdr:rowOff>152400</xdr:rowOff>
    </xdr:to>
    <xdr:sp macro="" textlink="">
      <xdr:nvSpPr>
        <xdr:cNvPr id="43" name="Rectangle 1">
          <a:extLst>
            <a:ext uri="{FF2B5EF4-FFF2-40B4-BE49-F238E27FC236}">
              <a16:creationId xmlns:a16="http://schemas.microsoft.com/office/drawing/2014/main" id="{D40CF780-F331-4D2C-AE81-C1947B2290B2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30</xdr:row>
      <xdr:rowOff>60960</xdr:rowOff>
    </xdr:from>
    <xdr:to>
      <xdr:col>10</xdr:col>
      <xdr:colOff>152400</xdr:colOff>
      <xdr:row>30</xdr:row>
      <xdr:rowOff>152400</xdr:rowOff>
    </xdr:to>
    <xdr:sp macro="" textlink="">
      <xdr:nvSpPr>
        <xdr:cNvPr id="44" name="Rectangle 1">
          <a:extLst>
            <a:ext uri="{FF2B5EF4-FFF2-40B4-BE49-F238E27FC236}">
              <a16:creationId xmlns:a16="http://schemas.microsoft.com/office/drawing/2014/main" id="{73130B5F-8003-4CEF-AA63-EA80352370B1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30</xdr:row>
      <xdr:rowOff>60960</xdr:rowOff>
    </xdr:from>
    <xdr:to>
      <xdr:col>10</xdr:col>
      <xdr:colOff>906780</xdr:colOff>
      <xdr:row>30</xdr:row>
      <xdr:rowOff>152400</xdr:rowOff>
    </xdr:to>
    <xdr:sp macro="" textlink="">
      <xdr:nvSpPr>
        <xdr:cNvPr id="45" name="Rectangle 1">
          <a:extLst>
            <a:ext uri="{FF2B5EF4-FFF2-40B4-BE49-F238E27FC236}">
              <a16:creationId xmlns:a16="http://schemas.microsoft.com/office/drawing/2014/main" id="{CB193850-2390-4D4F-8406-A41AA8CA09C0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31</xdr:row>
      <xdr:rowOff>60960</xdr:rowOff>
    </xdr:from>
    <xdr:to>
      <xdr:col>10</xdr:col>
      <xdr:colOff>152400</xdr:colOff>
      <xdr:row>31</xdr:row>
      <xdr:rowOff>152400</xdr:rowOff>
    </xdr:to>
    <xdr:sp macro="" textlink="">
      <xdr:nvSpPr>
        <xdr:cNvPr id="46" name="Rectangle 1">
          <a:extLst>
            <a:ext uri="{FF2B5EF4-FFF2-40B4-BE49-F238E27FC236}">
              <a16:creationId xmlns:a16="http://schemas.microsoft.com/office/drawing/2014/main" id="{0100A221-F630-4AAC-B3B5-CCFC9609A224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31</xdr:row>
      <xdr:rowOff>60960</xdr:rowOff>
    </xdr:from>
    <xdr:to>
      <xdr:col>10</xdr:col>
      <xdr:colOff>906780</xdr:colOff>
      <xdr:row>31</xdr:row>
      <xdr:rowOff>152400</xdr:rowOff>
    </xdr:to>
    <xdr:sp macro="" textlink="">
      <xdr:nvSpPr>
        <xdr:cNvPr id="47" name="Rectangle 1">
          <a:extLst>
            <a:ext uri="{FF2B5EF4-FFF2-40B4-BE49-F238E27FC236}">
              <a16:creationId xmlns:a16="http://schemas.microsoft.com/office/drawing/2014/main" id="{9964DB7E-0036-4700-AFDE-A1004D84D0A8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32</xdr:row>
      <xdr:rowOff>60960</xdr:rowOff>
    </xdr:from>
    <xdr:to>
      <xdr:col>10</xdr:col>
      <xdr:colOff>152400</xdr:colOff>
      <xdr:row>32</xdr:row>
      <xdr:rowOff>152400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06A2035E-48BF-4D5A-8668-39E03E014757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32</xdr:row>
      <xdr:rowOff>60960</xdr:rowOff>
    </xdr:from>
    <xdr:to>
      <xdr:col>10</xdr:col>
      <xdr:colOff>906780</xdr:colOff>
      <xdr:row>32</xdr:row>
      <xdr:rowOff>152400</xdr:rowOff>
    </xdr:to>
    <xdr:sp macro="" textlink="">
      <xdr:nvSpPr>
        <xdr:cNvPr id="49" name="Rectangle 1">
          <a:extLst>
            <a:ext uri="{FF2B5EF4-FFF2-40B4-BE49-F238E27FC236}">
              <a16:creationId xmlns:a16="http://schemas.microsoft.com/office/drawing/2014/main" id="{C422CC56-3849-492B-B444-9ABCF2657E2A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33</xdr:row>
      <xdr:rowOff>60960</xdr:rowOff>
    </xdr:from>
    <xdr:to>
      <xdr:col>10</xdr:col>
      <xdr:colOff>152400</xdr:colOff>
      <xdr:row>33</xdr:row>
      <xdr:rowOff>152400</xdr:rowOff>
    </xdr:to>
    <xdr:sp macro="" textlink="">
      <xdr:nvSpPr>
        <xdr:cNvPr id="50" name="Rectangle 1">
          <a:extLst>
            <a:ext uri="{FF2B5EF4-FFF2-40B4-BE49-F238E27FC236}">
              <a16:creationId xmlns:a16="http://schemas.microsoft.com/office/drawing/2014/main" id="{9D5D5A03-CD1F-428D-9EEA-5BAE131FD35D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33</xdr:row>
      <xdr:rowOff>60960</xdr:rowOff>
    </xdr:from>
    <xdr:to>
      <xdr:col>10</xdr:col>
      <xdr:colOff>906780</xdr:colOff>
      <xdr:row>33</xdr:row>
      <xdr:rowOff>152400</xdr:rowOff>
    </xdr:to>
    <xdr:sp macro="" textlink="">
      <xdr:nvSpPr>
        <xdr:cNvPr id="51" name="Rectangle 1">
          <a:extLst>
            <a:ext uri="{FF2B5EF4-FFF2-40B4-BE49-F238E27FC236}">
              <a16:creationId xmlns:a16="http://schemas.microsoft.com/office/drawing/2014/main" id="{C30A2BF4-589A-4D22-BCF2-598634E4CA0F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34</xdr:row>
      <xdr:rowOff>60960</xdr:rowOff>
    </xdr:from>
    <xdr:to>
      <xdr:col>10</xdr:col>
      <xdr:colOff>152400</xdr:colOff>
      <xdr:row>34</xdr:row>
      <xdr:rowOff>152400</xdr:rowOff>
    </xdr:to>
    <xdr:sp macro="" textlink="">
      <xdr:nvSpPr>
        <xdr:cNvPr id="52" name="Rectangle 1">
          <a:extLst>
            <a:ext uri="{FF2B5EF4-FFF2-40B4-BE49-F238E27FC236}">
              <a16:creationId xmlns:a16="http://schemas.microsoft.com/office/drawing/2014/main" id="{4E252DB9-77B3-45BB-BE6D-E4EE734333BE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34</xdr:row>
      <xdr:rowOff>60960</xdr:rowOff>
    </xdr:from>
    <xdr:to>
      <xdr:col>10</xdr:col>
      <xdr:colOff>906780</xdr:colOff>
      <xdr:row>34</xdr:row>
      <xdr:rowOff>152400</xdr:rowOff>
    </xdr:to>
    <xdr:sp macro="" textlink="">
      <xdr:nvSpPr>
        <xdr:cNvPr id="53" name="Rectangle 1">
          <a:extLst>
            <a:ext uri="{FF2B5EF4-FFF2-40B4-BE49-F238E27FC236}">
              <a16:creationId xmlns:a16="http://schemas.microsoft.com/office/drawing/2014/main" id="{CCD4C0F2-13D6-42CB-8DCA-1CF2E61738BD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35</xdr:row>
      <xdr:rowOff>60960</xdr:rowOff>
    </xdr:from>
    <xdr:to>
      <xdr:col>10</xdr:col>
      <xdr:colOff>152400</xdr:colOff>
      <xdr:row>35</xdr:row>
      <xdr:rowOff>152400</xdr:rowOff>
    </xdr:to>
    <xdr:sp macro="" textlink="">
      <xdr:nvSpPr>
        <xdr:cNvPr id="54" name="Rectangle 1">
          <a:extLst>
            <a:ext uri="{FF2B5EF4-FFF2-40B4-BE49-F238E27FC236}">
              <a16:creationId xmlns:a16="http://schemas.microsoft.com/office/drawing/2014/main" id="{1BAB86EB-0250-4B0B-BF25-7DAB4BC904DC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35</xdr:row>
      <xdr:rowOff>60960</xdr:rowOff>
    </xdr:from>
    <xdr:to>
      <xdr:col>10</xdr:col>
      <xdr:colOff>906780</xdr:colOff>
      <xdr:row>35</xdr:row>
      <xdr:rowOff>152400</xdr:rowOff>
    </xdr:to>
    <xdr:sp macro="" textlink="">
      <xdr:nvSpPr>
        <xdr:cNvPr id="55" name="Rectangle 1">
          <a:extLst>
            <a:ext uri="{FF2B5EF4-FFF2-40B4-BE49-F238E27FC236}">
              <a16:creationId xmlns:a16="http://schemas.microsoft.com/office/drawing/2014/main" id="{00555285-BF0E-4242-A099-A4ECDB0179E0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36</xdr:row>
      <xdr:rowOff>60960</xdr:rowOff>
    </xdr:from>
    <xdr:to>
      <xdr:col>10</xdr:col>
      <xdr:colOff>152400</xdr:colOff>
      <xdr:row>36</xdr:row>
      <xdr:rowOff>152400</xdr:rowOff>
    </xdr:to>
    <xdr:sp macro="" textlink="">
      <xdr:nvSpPr>
        <xdr:cNvPr id="56" name="Rectangle 1">
          <a:extLst>
            <a:ext uri="{FF2B5EF4-FFF2-40B4-BE49-F238E27FC236}">
              <a16:creationId xmlns:a16="http://schemas.microsoft.com/office/drawing/2014/main" id="{E4582D3A-8410-4E14-906D-99777B14F34E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36</xdr:row>
      <xdr:rowOff>60960</xdr:rowOff>
    </xdr:from>
    <xdr:to>
      <xdr:col>10</xdr:col>
      <xdr:colOff>906780</xdr:colOff>
      <xdr:row>36</xdr:row>
      <xdr:rowOff>152400</xdr:rowOff>
    </xdr:to>
    <xdr:sp macro="" textlink="">
      <xdr:nvSpPr>
        <xdr:cNvPr id="57" name="Rectangle 1">
          <a:extLst>
            <a:ext uri="{FF2B5EF4-FFF2-40B4-BE49-F238E27FC236}">
              <a16:creationId xmlns:a16="http://schemas.microsoft.com/office/drawing/2014/main" id="{A1F2C32E-3C58-400A-9AB9-F733296A1FA5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37</xdr:row>
      <xdr:rowOff>60960</xdr:rowOff>
    </xdr:from>
    <xdr:to>
      <xdr:col>10</xdr:col>
      <xdr:colOff>152400</xdr:colOff>
      <xdr:row>37</xdr:row>
      <xdr:rowOff>152400</xdr:rowOff>
    </xdr:to>
    <xdr:sp macro="" textlink="">
      <xdr:nvSpPr>
        <xdr:cNvPr id="58" name="Rectangle 1">
          <a:extLst>
            <a:ext uri="{FF2B5EF4-FFF2-40B4-BE49-F238E27FC236}">
              <a16:creationId xmlns:a16="http://schemas.microsoft.com/office/drawing/2014/main" id="{3F85A14E-0365-470A-A1FE-24CAFC2B995C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37</xdr:row>
      <xdr:rowOff>60960</xdr:rowOff>
    </xdr:from>
    <xdr:to>
      <xdr:col>10</xdr:col>
      <xdr:colOff>906780</xdr:colOff>
      <xdr:row>37</xdr:row>
      <xdr:rowOff>152400</xdr:rowOff>
    </xdr:to>
    <xdr:sp macro="" textlink="">
      <xdr:nvSpPr>
        <xdr:cNvPr id="59" name="Rectangle 1">
          <a:extLst>
            <a:ext uri="{FF2B5EF4-FFF2-40B4-BE49-F238E27FC236}">
              <a16:creationId xmlns:a16="http://schemas.microsoft.com/office/drawing/2014/main" id="{6470DA48-9BB8-4888-A681-C6EB6C0D1A4E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38</xdr:row>
      <xdr:rowOff>60960</xdr:rowOff>
    </xdr:from>
    <xdr:to>
      <xdr:col>10</xdr:col>
      <xdr:colOff>152400</xdr:colOff>
      <xdr:row>38</xdr:row>
      <xdr:rowOff>152400</xdr:rowOff>
    </xdr:to>
    <xdr:sp macro="" textlink="">
      <xdr:nvSpPr>
        <xdr:cNvPr id="60" name="Rectangle 1">
          <a:extLst>
            <a:ext uri="{FF2B5EF4-FFF2-40B4-BE49-F238E27FC236}">
              <a16:creationId xmlns:a16="http://schemas.microsoft.com/office/drawing/2014/main" id="{BC66B207-153D-485A-AF95-3185F1257C63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38</xdr:row>
      <xdr:rowOff>60960</xdr:rowOff>
    </xdr:from>
    <xdr:to>
      <xdr:col>10</xdr:col>
      <xdr:colOff>906780</xdr:colOff>
      <xdr:row>38</xdr:row>
      <xdr:rowOff>152400</xdr:rowOff>
    </xdr:to>
    <xdr:sp macro="" textlink="">
      <xdr:nvSpPr>
        <xdr:cNvPr id="61" name="Rectangle 1">
          <a:extLst>
            <a:ext uri="{FF2B5EF4-FFF2-40B4-BE49-F238E27FC236}">
              <a16:creationId xmlns:a16="http://schemas.microsoft.com/office/drawing/2014/main" id="{5D56E048-3CFB-4131-8E54-9375348E3D56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39</xdr:row>
      <xdr:rowOff>60960</xdr:rowOff>
    </xdr:from>
    <xdr:to>
      <xdr:col>10</xdr:col>
      <xdr:colOff>152400</xdr:colOff>
      <xdr:row>39</xdr:row>
      <xdr:rowOff>152400</xdr:rowOff>
    </xdr:to>
    <xdr:sp macro="" textlink="">
      <xdr:nvSpPr>
        <xdr:cNvPr id="62" name="Rectangle 1">
          <a:extLst>
            <a:ext uri="{FF2B5EF4-FFF2-40B4-BE49-F238E27FC236}">
              <a16:creationId xmlns:a16="http://schemas.microsoft.com/office/drawing/2014/main" id="{5F6BD070-23A8-43A0-82D3-0D683EA31AE2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39</xdr:row>
      <xdr:rowOff>60960</xdr:rowOff>
    </xdr:from>
    <xdr:to>
      <xdr:col>10</xdr:col>
      <xdr:colOff>906780</xdr:colOff>
      <xdr:row>39</xdr:row>
      <xdr:rowOff>152400</xdr:rowOff>
    </xdr:to>
    <xdr:sp macro="" textlink="">
      <xdr:nvSpPr>
        <xdr:cNvPr id="63" name="Rectangle 1">
          <a:extLst>
            <a:ext uri="{FF2B5EF4-FFF2-40B4-BE49-F238E27FC236}">
              <a16:creationId xmlns:a16="http://schemas.microsoft.com/office/drawing/2014/main" id="{C409BF00-F092-4E4E-B83A-935D6740EC6C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40</xdr:row>
      <xdr:rowOff>60960</xdr:rowOff>
    </xdr:from>
    <xdr:to>
      <xdr:col>10</xdr:col>
      <xdr:colOff>152400</xdr:colOff>
      <xdr:row>40</xdr:row>
      <xdr:rowOff>152400</xdr:rowOff>
    </xdr:to>
    <xdr:sp macro="" textlink="">
      <xdr:nvSpPr>
        <xdr:cNvPr id="64" name="Rectangle 1">
          <a:extLst>
            <a:ext uri="{FF2B5EF4-FFF2-40B4-BE49-F238E27FC236}">
              <a16:creationId xmlns:a16="http://schemas.microsoft.com/office/drawing/2014/main" id="{8074592F-3C82-4F99-AA56-B0538612FA24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40</xdr:row>
      <xdr:rowOff>60960</xdr:rowOff>
    </xdr:from>
    <xdr:to>
      <xdr:col>10</xdr:col>
      <xdr:colOff>906780</xdr:colOff>
      <xdr:row>40</xdr:row>
      <xdr:rowOff>152400</xdr:rowOff>
    </xdr:to>
    <xdr:sp macro="" textlink="">
      <xdr:nvSpPr>
        <xdr:cNvPr id="65" name="Rectangle 1">
          <a:extLst>
            <a:ext uri="{FF2B5EF4-FFF2-40B4-BE49-F238E27FC236}">
              <a16:creationId xmlns:a16="http://schemas.microsoft.com/office/drawing/2014/main" id="{D67795CF-9B95-4E19-9A19-E05B7765ED2F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41</xdr:row>
      <xdr:rowOff>60960</xdr:rowOff>
    </xdr:from>
    <xdr:to>
      <xdr:col>10</xdr:col>
      <xdr:colOff>152400</xdr:colOff>
      <xdr:row>41</xdr:row>
      <xdr:rowOff>152400</xdr:rowOff>
    </xdr:to>
    <xdr:sp macro="" textlink="">
      <xdr:nvSpPr>
        <xdr:cNvPr id="66" name="Rectangle 1">
          <a:extLst>
            <a:ext uri="{FF2B5EF4-FFF2-40B4-BE49-F238E27FC236}">
              <a16:creationId xmlns:a16="http://schemas.microsoft.com/office/drawing/2014/main" id="{CDD5EDA2-CDF3-4CB8-9E6E-6B81DDA7DE07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41</xdr:row>
      <xdr:rowOff>60960</xdr:rowOff>
    </xdr:from>
    <xdr:to>
      <xdr:col>10</xdr:col>
      <xdr:colOff>906780</xdr:colOff>
      <xdr:row>41</xdr:row>
      <xdr:rowOff>152400</xdr:rowOff>
    </xdr:to>
    <xdr:sp macro="" textlink="">
      <xdr:nvSpPr>
        <xdr:cNvPr id="67" name="Rectangle 1">
          <a:extLst>
            <a:ext uri="{FF2B5EF4-FFF2-40B4-BE49-F238E27FC236}">
              <a16:creationId xmlns:a16="http://schemas.microsoft.com/office/drawing/2014/main" id="{4DB9AA2F-9907-4BF5-A784-B8BBC6B4F7B7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42</xdr:row>
      <xdr:rowOff>60960</xdr:rowOff>
    </xdr:from>
    <xdr:to>
      <xdr:col>10</xdr:col>
      <xdr:colOff>152400</xdr:colOff>
      <xdr:row>42</xdr:row>
      <xdr:rowOff>152400</xdr:rowOff>
    </xdr:to>
    <xdr:sp macro="" textlink="">
      <xdr:nvSpPr>
        <xdr:cNvPr id="68" name="Rectangle 1">
          <a:extLst>
            <a:ext uri="{FF2B5EF4-FFF2-40B4-BE49-F238E27FC236}">
              <a16:creationId xmlns:a16="http://schemas.microsoft.com/office/drawing/2014/main" id="{F6CD1118-3F2F-4FBB-9659-D4A5B725E6F9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42</xdr:row>
      <xdr:rowOff>60960</xdr:rowOff>
    </xdr:from>
    <xdr:to>
      <xdr:col>10</xdr:col>
      <xdr:colOff>906780</xdr:colOff>
      <xdr:row>42</xdr:row>
      <xdr:rowOff>152400</xdr:rowOff>
    </xdr:to>
    <xdr:sp macro="" textlink="">
      <xdr:nvSpPr>
        <xdr:cNvPr id="69" name="Rectangle 1">
          <a:extLst>
            <a:ext uri="{FF2B5EF4-FFF2-40B4-BE49-F238E27FC236}">
              <a16:creationId xmlns:a16="http://schemas.microsoft.com/office/drawing/2014/main" id="{53402482-DF09-46B5-ADD4-71C3229FCABB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43</xdr:row>
      <xdr:rowOff>60960</xdr:rowOff>
    </xdr:from>
    <xdr:to>
      <xdr:col>10</xdr:col>
      <xdr:colOff>152400</xdr:colOff>
      <xdr:row>43</xdr:row>
      <xdr:rowOff>152400</xdr:rowOff>
    </xdr:to>
    <xdr:sp macro="" textlink="">
      <xdr:nvSpPr>
        <xdr:cNvPr id="70" name="Rectangle 1">
          <a:extLst>
            <a:ext uri="{FF2B5EF4-FFF2-40B4-BE49-F238E27FC236}">
              <a16:creationId xmlns:a16="http://schemas.microsoft.com/office/drawing/2014/main" id="{AC9F15BC-0D49-4E96-8C8C-3E1BC9446C2A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43</xdr:row>
      <xdr:rowOff>60960</xdr:rowOff>
    </xdr:from>
    <xdr:to>
      <xdr:col>10</xdr:col>
      <xdr:colOff>906780</xdr:colOff>
      <xdr:row>43</xdr:row>
      <xdr:rowOff>152400</xdr:rowOff>
    </xdr:to>
    <xdr:sp macro="" textlink="">
      <xdr:nvSpPr>
        <xdr:cNvPr id="71" name="Rectangle 1">
          <a:extLst>
            <a:ext uri="{FF2B5EF4-FFF2-40B4-BE49-F238E27FC236}">
              <a16:creationId xmlns:a16="http://schemas.microsoft.com/office/drawing/2014/main" id="{13741641-48D9-471A-98EE-E275BDE5377C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44</xdr:row>
      <xdr:rowOff>60960</xdr:rowOff>
    </xdr:from>
    <xdr:to>
      <xdr:col>10</xdr:col>
      <xdr:colOff>152400</xdr:colOff>
      <xdr:row>44</xdr:row>
      <xdr:rowOff>152400</xdr:rowOff>
    </xdr:to>
    <xdr:sp macro="" textlink="">
      <xdr:nvSpPr>
        <xdr:cNvPr id="72" name="Rectangle 1">
          <a:extLst>
            <a:ext uri="{FF2B5EF4-FFF2-40B4-BE49-F238E27FC236}">
              <a16:creationId xmlns:a16="http://schemas.microsoft.com/office/drawing/2014/main" id="{4A0F1129-5F77-469B-AAB6-C881B433ED3F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44</xdr:row>
      <xdr:rowOff>60960</xdr:rowOff>
    </xdr:from>
    <xdr:to>
      <xdr:col>10</xdr:col>
      <xdr:colOff>906780</xdr:colOff>
      <xdr:row>44</xdr:row>
      <xdr:rowOff>152400</xdr:rowOff>
    </xdr:to>
    <xdr:sp macro="" textlink="">
      <xdr:nvSpPr>
        <xdr:cNvPr id="73" name="Rectangle 1">
          <a:extLst>
            <a:ext uri="{FF2B5EF4-FFF2-40B4-BE49-F238E27FC236}">
              <a16:creationId xmlns:a16="http://schemas.microsoft.com/office/drawing/2014/main" id="{3A627BE6-BD5C-489A-95B8-1AB412CAF347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45</xdr:row>
      <xdr:rowOff>60960</xdr:rowOff>
    </xdr:from>
    <xdr:to>
      <xdr:col>10</xdr:col>
      <xdr:colOff>152400</xdr:colOff>
      <xdr:row>45</xdr:row>
      <xdr:rowOff>152400</xdr:rowOff>
    </xdr:to>
    <xdr:sp macro="" textlink="">
      <xdr:nvSpPr>
        <xdr:cNvPr id="74" name="Rectangle 1">
          <a:extLst>
            <a:ext uri="{FF2B5EF4-FFF2-40B4-BE49-F238E27FC236}">
              <a16:creationId xmlns:a16="http://schemas.microsoft.com/office/drawing/2014/main" id="{C15D4999-D9FD-4D95-9F08-5A6DAB77757A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45</xdr:row>
      <xdr:rowOff>60960</xdr:rowOff>
    </xdr:from>
    <xdr:to>
      <xdr:col>10</xdr:col>
      <xdr:colOff>906780</xdr:colOff>
      <xdr:row>45</xdr:row>
      <xdr:rowOff>152400</xdr:rowOff>
    </xdr:to>
    <xdr:sp macro="" textlink="">
      <xdr:nvSpPr>
        <xdr:cNvPr id="75" name="Rectangle 1">
          <a:extLst>
            <a:ext uri="{FF2B5EF4-FFF2-40B4-BE49-F238E27FC236}">
              <a16:creationId xmlns:a16="http://schemas.microsoft.com/office/drawing/2014/main" id="{0E16F42B-775B-4723-ABE6-AC5236C1A5CE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46</xdr:row>
      <xdr:rowOff>60960</xdr:rowOff>
    </xdr:from>
    <xdr:to>
      <xdr:col>10</xdr:col>
      <xdr:colOff>152400</xdr:colOff>
      <xdr:row>46</xdr:row>
      <xdr:rowOff>152400</xdr:rowOff>
    </xdr:to>
    <xdr:sp macro="" textlink="">
      <xdr:nvSpPr>
        <xdr:cNvPr id="76" name="Rectangle 1">
          <a:extLst>
            <a:ext uri="{FF2B5EF4-FFF2-40B4-BE49-F238E27FC236}">
              <a16:creationId xmlns:a16="http://schemas.microsoft.com/office/drawing/2014/main" id="{692F6D9E-A572-43B3-B545-9D8EC1F84F05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46</xdr:row>
      <xdr:rowOff>60960</xdr:rowOff>
    </xdr:from>
    <xdr:to>
      <xdr:col>10</xdr:col>
      <xdr:colOff>906780</xdr:colOff>
      <xdr:row>46</xdr:row>
      <xdr:rowOff>152400</xdr:rowOff>
    </xdr:to>
    <xdr:sp macro="" textlink="">
      <xdr:nvSpPr>
        <xdr:cNvPr id="77" name="Rectangle 1">
          <a:extLst>
            <a:ext uri="{FF2B5EF4-FFF2-40B4-BE49-F238E27FC236}">
              <a16:creationId xmlns:a16="http://schemas.microsoft.com/office/drawing/2014/main" id="{6347EEF3-C8DF-45C5-B3C9-B5C1CEDF37C4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47</xdr:row>
      <xdr:rowOff>60960</xdr:rowOff>
    </xdr:from>
    <xdr:to>
      <xdr:col>10</xdr:col>
      <xdr:colOff>152400</xdr:colOff>
      <xdr:row>47</xdr:row>
      <xdr:rowOff>152400</xdr:rowOff>
    </xdr:to>
    <xdr:sp macro="" textlink="">
      <xdr:nvSpPr>
        <xdr:cNvPr id="78" name="Rectangle 1">
          <a:extLst>
            <a:ext uri="{FF2B5EF4-FFF2-40B4-BE49-F238E27FC236}">
              <a16:creationId xmlns:a16="http://schemas.microsoft.com/office/drawing/2014/main" id="{07C54ABD-7E26-45E4-BD24-90C851A4C66F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47</xdr:row>
      <xdr:rowOff>60960</xdr:rowOff>
    </xdr:from>
    <xdr:to>
      <xdr:col>10</xdr:col>
      <xdr:colOff>906780</xdr:colOff>
      <xdr:row>47</xdr:row>
      <xdr:rowOff>152400</xdr:rowOff>
    </xdr:to>
    <xdr:sp macro="" textlink="">
      <xdr:nvSpPr>
        <xdr:cNvPr id="79" name="Rectangle 1">
          <a:extLst>
            <a:ext uri="{FF2B5EF4-FFF2-40B4-BE49-F238E27FC236}">
              <a16:creationId xmlns:a16="http://schemas.microsoft.com/office/drawing/2014/main" id="{4B4CF317-3611-4DD1-9A47-F35C27207D6F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48</xdr:row>
      <xdr:rowOff>60960</xdr:rowOff>
    </xdr:from>
    <xdr:to>
      <xdr:col>10</xdr:col>
      <xdr:colOff>152400</xdr:colOff>
      <xdr:row>48</xdr:row>
      <xdr:rowOff>152400</xdr:rowOff>
    </xdr:to>
    <xdr:sp macro="" textlink="">
      <xdr:nvSpPr>
        <xdr:cNvPr id="80" name="Rectangle 1">
          <a:extLst>
            <a:ext uri="{FF2B5EF4-FFF2-40B4-BE49-F238E27FC236}">
              <a16:creationId xmlns:a16="http://schemas.microsoft.com/office/drawing/2014/main" id="{A6D68825-B9FE-44FC-A752-5068CB90044E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48</xdr:row>
      <xdr:rowOff>60960</xdr:rowOff>
    </xdr:from>
    <xdr:to>
      <xdr:col>10</xdr:col>
      <xdr:colOff>906780</xdr:colOff>
      <xdr:row>48</xdr:row>
      <xdr:rowOff>152400</xdr:rowOff>
    </xdr:to>
    <xdr:sp macro="" textlink="">
      <xdr:nvSpPr>
        <xdr:cNvPr id="81" name="Rectangle 1">
          <a:extLst>
            <a:ext uri="{FF2B5EF4-FFF2-40B4-BE49-F238E27FC236}">
              <a16:creationId xmlns:a16="http://schemas.microsoft.com/office/drawing/2014/main" id="{5456A8F4-3DC6-4419-AA1C-9E0AB7D85F69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49</xdr:row>
      <xdr:rowOff>60960</xdr:rowOff>
    </xdr:from>
    <xdr:to>
      <xdr:col>10</xdr:col>
      <xdr:colOff>152400</xdr:colOff>
      <xdr:row>49</xdr:row>
      <xdr:rowOff>152400</xdr:rowOff>
    </xdr:to>
    <xdr:sp macro="" textlink="">
      <xdr:nvSpPr>
        <xdr:cNvPr id="82" name="Rectangle 1">
          <a:extLst>
            <a:ext uri="{FF2B5EF4-FFF2-40B4-BE49-F238E27FC236}">
              <a16:creationId xmlns:a16="http://schemas.microsoft.com/office/drawing/2014/main" id="{DF1E6623-B83D-4E1E-8168-9ECB6F9AD8A0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49</xdr:row>
      <xdr:rowOff>60960</xdr:rowOff>
    </xdr:from>
    <xdr:to>
      <xdr:col>10</xdr:col>
      <xdr:colOff>906780</xdr:colOff>
      <xdr:row>49</xdr:row>
      <xdr:rowOff>152400</xdr:rowOff>
    </xdr:to>
    <xdr:sp macro="" textlink="">
      <xdr:nvSpPr>
        <xdr:cNvPr id="83" name="Rectangle 1">
          <a:extLst>
            <a:ext uri="{FF2B5EF4-FFF2-40B4-BE49-F238E27FC236}">
              <a16:creationId xmlns:a16="http://schemas.microsoft.com/office/drawing/2014/main" id="{659C3BA8-2848-4162-9420-91846BF2E979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50</xdr:row>
      <xdr:rowOff>60960</xdr:rowOff>
    </xdr:from>
    <xdr:to>
      <xdr:col>10</xdr:col>
      <xdr:colOff>152400</xdr:colOff>
      <xdr:row>50</xdr:row>
      <xdr:rowOff>152400</xdr:rowOff>
    </xdr:to>
    <xdr:sp macro="" textlink="">
      <xdr:nvSpPr>
        <xdr:cNvPr id="84" name="Rectangle 1">
          <a:extLst>
            <a:ext uri="{FF2B5EF4-FFF2-40B4-BE49-F238E27FC236}">
              <a16:creationId xmlns:a16="http://schemas.microsoft.com/office/drawing/2014/main" id="{A591E700-0CCA-441E-BC5C-3DB92F96B326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50</xdr:row>
      <xdr:rowOff>60960</xdr:rowOff>
    </xdr:from>
    <xdr:to>
      <xdr:col>10</xdr:col>
      <xdr:colOff>906780</xdr:colOff>
      <xdr:row>50</xdr:row>
      <xdr:rowOff>152400</xdr:rowOff>
    </xdr:to>
    <xdr:sp macro="" textlink="">
      <xdr:nvSpPr>
        <xdr:cNvPr id="85" name="Rectangle 1">
          <a:extLst>
            <a:ext uri="{FF2B5EF4-FFF2-40B4-BE49-F238E27FC236}">
              <a16:creationId xmlns:a16="http://schemas.microsoft.com/office/drawing/2014/main" id="{D2214FA1-7F56-49ED-ADDD-7F9EE8FBE8C4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51</xdr:row>
      <xdr:rowOff>60960</xdr:rowOff>
    </xdr:from>
    <xdr:to>
      <xdr:col>10</xdr:col>
      <xdr:colOff>152400</xdr:colOff>
      <xdr:row>51</xdr:row>
      <xdr:rowOff>152400</xdr:rowOff>
    </xdr:to>
    <xdr:sp macro="" textlink="">
      <xdr:nvSpPr>
        <xdr:cNvPr id="86" name="Rectangle 1">
          <a:extLst>
            <a:ext uri="{FF2B5EF4-FFF2-40B4-BE49-F238E27FC236}">
              <a16:creationId xmlns:a16="http://schemas.microsoft.com/office/drawing/2014/main" id="{C8268301-755B-4DDD-85A7-2BC9578AC0F0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51</xdr:row>
      <xdr:rowOff>60960</xdr:rowOff>
    </xdr:from>
    <xdr:to>
      <xdr:col>10</xdr:col>
      <xdr:colOff>906780</xdr:colOff>
      <xdr:row>51</xdr:row>
      <xdr:rowOff>152400</xdr:rowOff>
    </xdr:to>
    <xdr:sp macro="" textlink="">
      <xdr:nvSpPr>
        <xdr:cNvPr id="87" name="Rectangle 1">
          <a:extLst>
            <a:ext uri="{FF2B5EF4-FFF2-40B4-BE49-F238E27FC236}">
              <a16:creationId xmlns:a16="http://schemas.microsoft.com/office/drawing/2014/main" id="{1220F860-4E2C-4136-BC21-257B93AFFDDC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52</xdr:row>
      <xdr:rowOff>60960</xdr:rowOff>
    </xdr:from>
    <xdr:to>
      <xdr:col>10</xdr:col>
      <xdr:colOff>152400</xdr:colOff>
      <xdr:row>52</xdr:row>
      <xdr:rowOff>152400</xdr:rowOff>
    </xdr:to>
    <xdr:sp macro="" textlink="">
      <xdr:nvSpPr>
        <xdr:cNvPr id="88" name="Rectangle 1">
          <a:extLst>
            <a:ext uri="{FF2B5EF4-FFF2-40B4-BE49-F238E27FC236}">
              <a16:creationId xmlns:a16="http://schemas.microsoft.com/office/drawing/2014/main" id="{D9EBD414-8C9B-4E19-A6B7-5CCD4F85C523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52</xdr:row>
      <xdr:rowOff>60960</xdr:rowOff>
    </xdr:from>
    <xdr:to>
      <xdr:col>10</xdr:col>
      <xdr:colOff>906780</xdr:colOff>
      <xdr:row>52</xdr:row>
      <xdr:rowOff>152400</xdr:rowOff>
    </xdr:to>
    <xdr:sp macro="" textlink="">
      <xdr:nvSpPr>
        <xdr:cNvPr id="89" name="Rectangle 1">
          <a:extLst>
            <a:ext uri="{FF2B5EF4-FFF2-40B4-BE49-F238E27FC236}">
              <a16:creationId xmlns:a16="http://schemas.microsoft.com/office/drawing/2014/main" id="{8BC9631C-E0B5-4780-BA79-7A605BE93B15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53</xdr:row>
      <xdr:rowOff>60960</xdr:rowOff>
    </xdr:from>
    <xdr:to>
      <xdr:col>10</xdr:col>
      <xdr:colOff>152400</xdr:colOff>
      <xdr:row>53</xdr:row>
      <xdr:rowOff>152400</xdr:rowOff>
    </xdr:to>
    <xdr:sp macro="" textlink="">
      <xdr:nvSpPr>
        <xdr:cNvPr id="90" name="Rectangle 1">
          <a:extLst>
            <a:ext uri="{FF2B5EF4-FFF2-40B4-BE49-F238E27FC236}">
              <a16:creationId xmlns:a16="http://schemas.microsoft.com/office/drawing/2014/main" id="{B91220B2-0FD2-42C3-BEF1-B59FA8B63DE0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53</xdr:row>
      <xdr:rowOff>60960</xdr:rowOff>
    </xdr:from>
    <xdr:to>
      <xdr:col>10</xdr:col>
      <xdr:colOff>906780</xdr:colOff>
      <xdr:row>53</xdr:row>
      <xdr:rowOff>152400</xdr:rowOff>
    </xdr:to>
    <xdr:sp macro="" textlink="">
      <xdr:nvSpPr>
        <xdr:cNvPr id="91" name="Rectangle 1">
          <a:extLst>
            <a:ext uri="{FF2B5EF4-FFF2-40B4-BE49-F238E27FC236}">
              <a16:creationId xmlns:a16="http://schemas.microsoft.com/office/drawing/2014/main" id="{DC1E18F0-3819-4BDC-BA45-0A8D81382D4E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60960</xdr:colOff>
      <xdr:row>9</xdr:row>
      <xdr:rowOff>60960</xdr:rowOff>
    </xdr:from>
    <xdr:to>
      <xdr:col>10</xdr:col>
      <xdr:colOff>152400</xdr:colOff>
      <xdr:row>9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BAE08DC-A481-494C-A1A7-82B20B1B4624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9</xdr:row>
      <xdr:rowOff>60960</xdr:rowOff>
    </xdr:from>
    <xdr:to>
      <xdr:col>10</xdr:col>
      <xdr:colOff>906780</xdr:colOff>
      <xdr:row>9</xdr:row>
      <xdr:rowOff>152400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890AAF18-9A43-422C-9DEA-312F54A85EE0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10</xdr:row>
      <xdr:rowOff>60960</xdr:rowOff>
    </xdr:from>
    <xdr:to>
      <xdr:col>10</xdr:col>
      <xdr:colOff>152400</xdr:colOff>
      <xdr:row>10</xdr:row>
      <xdr:rowOff>152400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4127286A-15C5-420F-BD39-DCCC9AF98771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10</xdr:row>
      <xdr:rowOff>60960</xdr:rowOff>
    </xdr:from>
    <xdr:to>
      <xdr:col>10</xdr:col>
      <xdr:colOff>906780</xdr:colOff>
      <xdr:row>10</xdr:row>
      <xdr:rowOff>152400</xdr:rowOff>
    </xdr:to>
    <xdr:sp macro="" textlink="">
      <xdr:nvSpPr>
        <xdr:cNvPr id="5" name="Rectangle 1">
          <a:extLst>
            <a:ext uri="{FF2B5EF4-FFF2-40B4-BE49-F238E27FC236}">
              <a16:creationId xmlns:a16="http://schemas.microsoft.com/office/drawing/2014/main" id="{677C3A61-9706-488E-A13F-67F3988AD763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11</xdr:row>
      <xdr:rowOff>60960</xdr:rowOff>
    </xdr:from>
    <xdr:to>
      <xdr:col>10</xdr:col>
      <xdr:colOff>152400</xdr:colOff>
      <xdr:row>11</xdr:row>
      <xdr:rowOff>152400</xdr:rowOff>
    </xdr:to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284B92F5-B413-45BC-95C2-DF74828F3F1F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11</xdr:row>
      <xdr:rowOff>60960</xdr:rowOff>
    </xdr:from>
    <xdr:to>
      <xdr:col>10</xdr:col>
      <xdr:colOff>906780</xdr:colOff>
      <xdr:row>11</xdr:row>
      <xdr:rowOff>152400</xdr:rowOff>
    </xdr:to>
    <xdr:sp macro="" textlink="">
      <xdr:nvSpPr>
        <xdr:cNvPr id="7" name="Rectangle 1">
          <a:extLst>
            <a:ext uri="{FF2B5EF4-FFF2-40B4-BE49-F238E27FC236}">
              <a16:creationId xmlns:a16="http://schemas.microsoft.com/office/drawing/2014/main" id="{7D8A97C9-E656-4525-B3B8-D41E95FD45EC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12</xdr:row>
      <xdr:rowOff>60960</xdr:rowOff>
    </xdr:from>
    <xdr:to>
      <xdr:col>10</xdr:col>
      <xdr:colOff>152400</xdr:colOff>
      <xdr:row>12</xdr:row>
      <xdr:rowOff>152400</xdr:rowOff>
    </xdr:to>
    <xdr:sp macro="" textlink="">
      <xdr:nvSpPr>
        <xdr:cNvPr id="8" name="Rectangle 1">
          <a:extLst>
            <a:ext uri="{FF2B5EF4-FFF2-40B4-BE49-F238E27FC236}">
              <a16:creationId xmlns:a16="http://schemas.microsoft.com/office/drawing/2014/main" id="{290C40AB-ED9A-4612-AC52-B1F5B8D20DEA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12</xdr:row>
      <xdr:rowOff>60960</xdr:rowOff>
    </xdr:from>
    <xdr:to>
      <xdr:col>10</xdr:col>
      <xdr:colOff>906780</xdr:colOff>
      <xdr:row>12</xdr:row>
      <xdr:rowOff>152400</xdr:rowOff>
    </xdr:to>
    <xdr:sp macro="" textlink="">
      <xdr:nvSpPr>
        <xdr:cNvPr id="9" name="Rectangle 1">
          <a:extLst>
            <a:ext uri="{FF2B5EF4-FFF2-40B4-BE49-F238E27FC236}">
              <a16:creationId xmlns:a16="http://schemas.microsoft.com/office/drawing/2014/main" id="{4E617A34-F058-4124-8FFE-2699FA6C0130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13</xdr:row>
      <xdr:rowOff>60960</xdr:rowOff>
    </xdr:from>
    <xdr:to>
      <xdr:col>10</xdr:col>
      <xdr:colOff>152400</xdr:colOff>
      <xdr:row>13</xdr:row>
      <xdr:rowOff>152400</xdr:rowOff>
    </xdr:to>
    <xdr:sp macro="" textlink="">
      <xdr:nvSpPr>
        <xdr:cNvPr id="10" name="Rectangle 1">
          <a:extLst>
            <a:ext uri="{FF2B5EF4-FFF2-40B4-BE49-F238E27FC236}">
              <a16:creationId xmlns:a16="http://schemas.microsoft.com/office/drawing/2014/main" id="{AAC084DC-236D-40B0-ACF8-B36DB79F32EE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13</xdr:row>
      <xdr:rowOff>60960</xdr:rowOff>
    </xdr:from>
    <xdr:to>
      <xdr:col>10</xdr:col>
      <xdr:colOff>906780</xdr:colOff>
      <xdr:row>13</xdr:row>
      <xdr:rowOff>152400</xdr:rowOff>
    </xdr:to>
    <xdr:sp macro="" textlink="">
      <xdr:nvSpPr>
        <xdr:cNvPr id="11" name="Rectangle 1">
          <a:extLst>
            <a:ext uri="{FF2B5EF4-FFF2-40B4-BE49-F238E27FC236}">
              <a16:creationId xmlns:a16="http://schemas.microsoft.com/office/drawing/2014/main" id="{5447E342-8C53-4CD3-BAA1-D436006AED91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14</xdr:row>
      <xdr:rowOff>60960</xdr:rowOff>
    </xdr:from>
    <xdr:to>
      <xdr:col>10</xdr:col>
      <xdr:colOff>152400</xdr:colOff>
      <xdr:row>14</xdr:row>
      <xdr:rowOff>152400</xdr:rowOff>
    </xdr:to>
    <xdr:sp macro="" textlink="">
      <xdr:nvSpPr>
        <xdr:cNvPr id="12" name="Rectangle 1">
          <a:extLst>
            <a:ext uri="{FF2B5EF4-FFF2-40B4-BE49-F238E27FC236}">
              <a16:creationId xmlns:a16="http://schemas.microsoft.com/office/drawing/2014/main" id="{717A8363-49D6-4FB8-8332-D8BD472E8289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14</xdr:row>
      <xdr:rowOff>60960</xdr:rowOff>
    </xdr:from>
    <xdr:to>
      <xdr:col>10</xdr:col>
      <xdr:colOff>906780</xdr:colOff>
      <xdr:row>14</xdr:row>
      <xdr:rowOff>152400</xdr:rowOff>
    </xdr:to>
    <xdr:sp macro="" textlink="">
      <xdr:nvSpPr>
        <xdr:cNvPr id="13" name="Rectangle 1">
          <a:extLst>
            <a:ext uri="{FF2B5EF4-FFF2-40B4-BE49-F238E27FC236}">
              <a16:creationId xmlns:a16="http://schemas.microsoft.com/office/drawing/2014/main" id="{365F30B5-986E-44D5-943E-C6F7D20E3F21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15</xdr:row>
      <xdr:rowOff>60960</xdr:rowOff>
    </xdr:from>
    <xdr:to>
      <xdr:col>10</xdr:col>
      <xdr:colOff>152400</xdr:colOff>
      <xdr:row>15</xdr:row>
      <xdr:rowOff>152400</xdr:rowOff>
    </xdr:to>
    <xdr:sp macro="" textlink="">
      <xdr:nvSpPr>
        <xdr:cNvPr id="14" name="Rectangle 1">
          <a:extLst>
            <a:ext uri="{FF2B5EF4-FFF2-40B4-BE49-F238E27FC236}">
              <a16:creationId xmlns:a16="http://schemas.microsoft.com/office/drawing/2014/main" id="{458A93E3-25C4-4E13-BB41-841FB8078EEF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15</xdr:row>
      <xdr:rowOff>60960</xdr:rowOff>
    </xdr:from>
    <xdr:to>
      <xdr:col>10</xdr:col>
      <xdr:colOff>906780</xdr:colOff>
      <xdr:row>15</xdr:row>
      <xdr:rowOff>152400</xdr:rowOff>
    </xdr:to>
    <xdr:sp macro="" textlink="">
      <xdr:nvSpPr>
        <xdr:cNvPr id="15" name="Rectangle 1">
          <a:extLst>
            <a:ext uri="{FF2B5EF4-FFF2-40B4-BE49-F238E27FC236}">
              <a16:creationId xmlns:a16="http://schemas.microsoft.com/office/drawing/2014/main" id="{DE26474B-79BA-41B0-B1C9-F256D747CE08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16</xdr:row>
      <xdr:rowOff>60960</xdr:rowOff>
    </xdr:from>
    <xdr:to>
      <xdr:col>10</xdr:col>
      <xdr:colOff>152400</xdr:colOff>
      <xdr:row>16</xdr:row>
      <xdr:rowOff>152400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9CAD9A43-C217-4BFB-93C4-58079A5AF885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16</xdr:row>
      <xdr:rowOff>60960</xdr:rowOff>
    </xdr:from>
    <xdr:to>
      <xdr:col>10</xdr:col>
      <xdr:colOff>906780</xdr:colOff>
      <xdr:row>16</xdr:row>
      <xdr:rowOff>152400</xdr:rowOff>
    </xdr:to>
    <xdr:sp macro="" textlink="">
      <xdr:nvSpPr>
        <xdr:cNvPr id="17" name="Rectangle 1">
          <a:extLst>
            <a:ext uri="{FF2B5EF4-FFF2-40B4-BE49-F238E27FC236}">
              <a16:creationId xmlns:a16="http://schemas.microsoft.com/office/drawing/2014/main" id="{A04C4245-8675-4BCB-AAF4-75D6569291FD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17</xdr:row>
      <xdr:rowOff>60960</xdr:rowOff>
    </xdr:from>
    <xdr:to>
      <xdr:col>10</xdr:col>
      <xdr:colOff>152400</xdr:colOff>
      <xdr:row>17</xdr:row>
      <xdr:rowOff>152400</xdr:rowOff>
    </xdr:to>
    <xdr:sp macro="" textlink="">
      <xdr:nvSpPr>
        <xdr:cNvPr id="18" name="Rectangle 1">
          <a:extLst>
            <a:ext uri="{FF2B5EF4-FFF2-40B4-BE49-F238E27FC236}">
              <a16:creationId xmlns:a16="http://schemas.microsoft.com/office/drawing/2014/main" id="{231E475F-5E7A-41B9-938C-17294C2BEEDB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17</xdr:row>
      <xdr:rowOff>60960</xdr:rowOff>
    </xdr:from>
    <xdr:to>
      <xdr:col>10</xdr:col>
      <xdr:colOff>906780</xdr:colOff>
      <xdr:row>17</xdr:row>
      <xdr:rowOff>152400</xdr:rowOff>
    </xdr:to>
    <xdr:sp macro="" textlink="">
      <xdr:nvSpPr>
        <xdr:cNvPr id="19" name="Rectangle 1">
          <a:extLst>
            <a:ext uri="{FF2B5EF4-FFF2-40B4-BE49-F238E27FC236}">
              <a16:creationId xmlns:a16="http://schemas.microsoft.com/office/drawing/2014/main" id="{4F482269-CAA7-4133-91D2-F41104A68595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18</xdr:row>
      <xdr:rowOff>60960</xdr:rowOff>
    </xdr:from>
    <xdr:to>
      <xdr:col>10</xdr:col>
      <xdr:colOff>152400</xdr:colOff>
      <xdr:row>18</xdr:row>
      <xdr:rowOff>152400</xdr:rowOff>
    </xdr:to>
    <xdr:sp macro="" textlink="">
      <xdr:nvSpPr>
        <xdr:cNvPr id="20" name="Rectangle 1">
          <a:extLst>
            <a:ext uri="{FF2B5EF4-FFF2-40B4-BE49-F238E27FC236}">
              <a16:creationId xmlns:a16="http://schemas.microsoft.com/office/drawing/2014/main" id="{EDF62B19-EAF7-42B9-906A-3EDBC15BF6EB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18</xdr:row>
      <xdr:rowOff>60960</xdr:rowOff>
    </xdr:from>
    <xdr:to>
      <xdr:col>10</xdr:col>
      <xdr:colOff>906780</xdr:colOff>
      <xdr:row>18</xdr:row>
      <xdr:rowOff>152400</xdr:rowOff>
    </xdr:to>
    <xdr:sp macro="" textlink="">
      <xdr:nvSpPr>
        <xdr:cNvPr id="21" name="Rectangle 1">
          <a:extLst>
            <a:ext uri="{FF2B5EF4-FFF2-40B4-BE49-F238E27FC236}">
              <a16:creationId xmlns:a16="http://schemas.microsoft.com/office/drawing/2014/main" id="{E3EBBFA5-6B7C-4E04-AC65-1741C0AAF87F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19</xdr:row>
      <xdr:rowOff>60960</xdr:rowOff>
    </xdr:from>
    <xdr:to>
      <xdr:col>10</xdr:col>
      <xdr:colOff>152400</xdr:colOff>
      <xdr:row>19</xdr:row>
      <xdr:rowOff>152400</xdr:rowOff>
    </xdr:to>
    <xdr:sp macro="" textlink="">
      <xdr:nvSpPr>
        <xdr:cNvPr id="22" name="Rectangle 1">
          <a:extLst>
            <a:ext uri="{FF2B5EF4-FFF2-40B4-BE49-F238E27FC236}">
              <a16:creationId xmlns:a16="http://schemas.microsoft.com/office/drawing/2014/main" id="{4A7482F8-E8BE-4800-B7DB-6039FC78CFC5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19</xdr:row>
      <xdr:rowOff>60960</xdr:rowOff>
    </xdr:from>
    <xdr:to>
      <xdr:col>10</xdr:col>
      <xdr:colOff>906780</xdr:colOff>
      <xdr:row>19</xdr:row>
      <xdr:rowOff>152400</xdr:rowOff>
    </xdr:to>
    <xdr:sp macro="" textlink="">
      <xdr:nvSpPr>
        <xdr:cNvPr id="23" name="Rectangle 1">
          <a:extLst>
            <a:ext uri="{FF2B5EF4-FFF2-40B4-BE49-F238E27FC236}">
              <a16:creationId xmlns:a16="http://schemas.microsoft.com/office/drawing/2014/main" id="{2C53B31B-8145-49D7-9D98-D4D1BDB907EB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20</xdr:row>
      <xdr:rowOff>60960</xdr:rowOff>
    </xdr:from>
    <xdr:to>
      <xdr:col>10</xdr:col>
      <xdr:colOff>152400</xdr:colOff>
      <xdr:row>20</xdr:row>
      <xdr:rowOff>152400</xdr:rowOff>
    </xdr:to>
    <xdr:sp macro="" textlink="">
      <xdr:nvSpPr>
        <xdr:cNvPr id="24" name="Rectangle 1">
          <a:extLst>
            <a:ext uri="{FF2B5EF4-FFF2-40B4-BE49-F238E27FC236}">
              <a16:creationId xmlns:a16="http://schemas.microsoft.com/office/drawing/2014/main" id="{6FE2C974-07B7-47CA-94A0-4D6FA6AFCA63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20</xdr:row>
      <xdr:rowOff>60960</xdr:rowOff>
    </xdr:from>
    <xdr:to>
      <xdr:col>10</xdr:col>
      <xdr:colOff>906780</xdr:colOff>
      <xdr:row>20</xdr:row>
      <xdr:rowOff>152400</xdr:rowOff>
    </xdr:to>
    <xdr:sp macro="" textlink="">
      <xdr:nvSpPr>
        <xdr:cNvPr id="25" name="Rectangle 1">
          <a:extLst>
            <a:ext uri="{FF2B5EF4-FFF2-40B4-BE49-F238E27FC236}">
              <a16:creationId xmlns:a16="http://schemas.microsoft.com/office/drawing/2014/main" id="{C835D3D9-CFE5-4568-819B-5AEF04E8D81E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21</xdr:row>
      <xdr:rowOff>60960</xdr:rowOff>
    </xdr:from>
    <xdr:to>
      <xdr:col>10</xdr:col>
      <xdr:colOff>152400</xdr:colOff>
      <xdr:row>21</xdr:row>
      <xdr:rowOff>152400</xdr:rowOff>
    </xdr:to>
    <xdr:sp macro="" textlink="">
      <xdr:nvSpPr>
        <xdr:cNvPr id="26" name="Rectangle 1">
          <a:extLst>
            <a:ext uri="{FF2B5EF4-FFF2-40B4-BE49-F238E27FC236}">
              <a16:creationId xmlns:a16="http://schemas.microsoft.com/office/drawing/2014/main" id="{A810CC8F-48D1-4FAE-843C-A4AB061AF2BA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21</xdr:row>
      <xdr:rowOff>60960</xdr:rowOff>
    </xdr:from>
    <xdr:to>
      <xdr:col>10</xdr:col>
      <xdr:colOff>906780</xdr:colOff>
      <xdr:row>21</xdr:row>
      <xdr:rowOff>152400</xdr:rowOff>
    </xdr:to>
    <xdr:sp macro="" textlink="">
      <xdr:nvSpPr>
        <xdr:cNvPr id="27" name="Rectangle 1">
          <a:extLst>
            <a:ext uri="{FF2B5EF4-FFF2-40B4-BE49-F238E27FC236}">
              <a16:creationId xmlns:a16="http://schemas.microsoft.com/office/drawing/2014/main" id="{8E8621B9-5738-4721-B3A7-3E104179AC3C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22</xdr:row>
      <xdr:rowOff>60960</xdr:rowOff>
    </xdr:from>
    <xdr:to>
      <xdr:col>10</xdr:col>
      <xdr:colOff>152400</xdr:colOff>
      <xdr:row>22</xdr:row>
      <xdr:rowOff>152400</xdr:rowOff>
    </xdr:to>
    <xdr:sp macro="" textlink="">
      <xdr:nvSpPr>
        <xdr:cNvPr id="28" name="Rectangle 1">
          <a:extLst>
            <a:ext uri="{FF2B5EF4-FFF2-40B4-BE49-F238E27FC236}">
              <a16:creationId xmlns:a16="http://schemas.microsoft.com/office/drawing/2014/main" id="{DB26E056-3DA1-4B51-BCFB-40C48C0F6396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22</xdr:row>
      <xdr:rowOff>60960</xdr:rowOff>
    </xdr:from>
    <xdr:to>
      <xdr:col>10</xdr:col>
      <xdr:colOff>906780</xdr:colOff>
      <xdr:row>22</xdr:row>
      <xdr:rowOff>152400</xdr:rowOff>
    </xdr:to>
    <xdr:sp macro="" textlink="">
      <xdr:nvSpPr>
        <xdr:cNvPr id="29" name="Rectangle 1">
          <a:extLst>
            <a:ext uri="{FF2B5EF4-FFF2-40B4-BE49-F238E27FC236}">
              <a16:creationId xmlns:a16="http://schemas.microsoft.com/office/drawing/2014/main" id="{20754B1A-855C-4007-840E-16FD56D21CF5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23</xdr:row>
      <xdr:rowOff>60960</xdr:rowOff>
    </xdr:from>
    <xdr:to>
      <xdr:col>10</xdr:col>
      <xdr:colOff>152400</xdr:colOff>
      <xdr:row>23</xdr:row>
      <xdr:rowOff>152400</xdr:rowOff>
    </xdr:to>
    <xdr:sp macro="" textlink="">
      <xdr:nvSpPr>
        <xdr:cNvPr id="30" name="Rectangle 1">
          <a:extLst>
            <a:ext uri="{FF2B5EF4-FFF2-40B4-BE49-F238E27FC236}">
              <a16:creationId xmlns:a16="http://schemas.microsoft.com/office/drawing/2014/main" id="{E313B51D-B7CC-491E-9CCD-8EB35FFB8D69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23</xdr:row>
      <xdr:rowOff>60960</xdr:rowOff>
    </xdr:from>
    <xdr:to>
      <xdr:col>10</xdr:col>
      <xdr:colOff>906780</xdr:colOff>
      <xdr:row>23</xdr:row>
      <xdr:rowOff>152400</xdr:rowOff>
    </xdr:to>
    <xdr:sp macro="" textlink="">
      <xdr:nvSpPr>
        <xdr:cNvPr id="31" name="Rectangle 1">
          <a:extLst>
            <a:ext uri="{FF2B5EF4-FFF2-40B4-BE49-F238E27FC236}">
              <a16:creationId xmlns:a16="http://schemas.microsoft.com/office/drawing/2014/main" id="{9A6CE207-77F7-4082-8AEF-7F03FFFE4FE3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24</xdr:row>
      <xdr:rowOff>60960</xdr:rowOff>
    </xdr:from>
    <xdr:to>
      <xdr:col>10</xdr:col>
      <xdr:colOff>152400</xdr:colOff>
      <xdr:row>24</xdr:row>
      <xdr:rowOff>152400</xdr:rowOff>
    </xdr:to>
    <xdr:sp macro="" textlink="">
      <xdr:nvSpPr>
        <xdr:cNvPr id="32" name="Rectangle 1">
          <a:extLst>
            <a:ext uri="{FF2B5EF4-FFF2-40B4-BE49-F238E27FC236}">
              <a16:creationId xmlns:a16="http://schemas.microsoft.com/office/drawing/2014/main" id="{EE190747-019C-4B75-BB18-87E473BCF8C8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24</xdr:row>
      <xdr:rowOff>60960</xdr:rowOff>
    </xdr:from>
    <xdr:to>
      <xdr:col>10</xdr:col>
      <xdr:colOff>906780</xdr:colOff>
      <xdr:row>24</xdr:row>
      <xdr:rowOff>152400</xdr:rowOff>
    </xdr:to>
    <xdr:sp macro="" textlink="">
      <xdr:nvSpPr>
        <xdr:cNvPr id="33" name="Rectangle 1">
          <a:extLst>
            <a:ext uri="{FF2B5EF4-FFF2-40B4-BE49-F238E27FC236}">
              <a16:creationId xmlns:a16="http://schemas.microsoft.com/office/drawing/2014/main" id="{234DBB5D-383C-440F-8634-1E39C4DFBB0D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25</xdr:row>
      <xdr:rowOff>60960</xdr:rowOff>
    </xdr:from>
    <xdr:to>
      <xdr:col>10</xdr:col>
      <xdr:colOff>152400</xdr:colOff>
      <xdr:row>25</xdr:row>
      <xdr:rowOff>152400</xdr:rowOff>
    </xdr:to>
    <xdr:sp macro="" textlink="">
      <xdr:nvSpPr>
        <xdr:cNvPr id="34" name="Rectangle 1">
          <a:extLst>
            <a:ext uri="{FF2B5EF4-FFF2-40B4-BE49-F238E27FC236}">
              <a16:creationId xmlns:a16="http://schemas.microsoft.com/office/drawing/2014/main" id="{43662E35-6402-4068-86DF-CA1C33A0FB80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25</xdr:row>
      <xdr:rowOff>60960</xdr:rowOff>
    </xdr:from>
    <xdr:to>
      <xdr:col>10</xdr:col>
      <xdr:colOff>906780</xdr:colOff>
      <xdr:row>25</xdr:row>
      <xdr:rowOff>152400</xdr:rowOff>
    </xdr:to>
    <xdr:sp macro="" textlink="">
      <xdr:nvSpPr>
        <xdr:cNvPr id="35" name="Rectangle 1">
          <a:extLst>
            <a:ext uri="{FF2B5EF4-FFF2-40B4-BE49-F238E27FC236}">
              <a16:creationId xmlns:a16="http://schemas.microsoft.com/office/drawing/2014/main" id="{9AF47F2C-D287-4260-B6AB-1BBA28BECA35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26</xdr:row>
      <xdr:rowOff>60960</xdr:rowOff>
    </xdr:from>
    <xdr:to>
      <xdr:col>10</xdr:col>
      <xdr:colOff>152400</xdr:colOff>
      <xdr:row>26</xdr:row>
      <xdr:rowOff>152400</xdr:rowOff>
    </xdr:to>
    <xdr:sp macro="" textlink="">
      <xdr:nvSpPr>
        <xdr:cNvPr id="36" name="Rectangle 1">
          <a:extLst>
            <a:ext uri="{FF2B5EF4-FFF2-40B4-BE49-F238E27FC236}">
              <a16:creationId xmlns:a16="http://schemas.microsoft.com/office/drawing/2014/main" id="{27228E4B-11C9-4C5E-97A3-2CA9DB9F7939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26</xdr:row>
      <xdr:rowOff>60960</xdr:rowOff>
    </xdr:from>
    <xdr:to>
      <xdr:col>10</xdr:col>
      <xdr:colOff>906780</xdr:colOff>
      <xdr:row>26</xdr:row>
      <xdr:rowOff>152400</xdr:rowOff>
    </xdr:to>
    <xdr:sp macro="" textlink="">
      <xdr:nvSpPr>
        <xdr:cNvPr id="37" name="Rectangle 1">
          <a:extLst>
            <a:ext uri="{FF2B5EF4-FFF2-40B4-BE49-F238E27FC236}">
              <a16:creationId xmlns:a16="http://schemas.microsoft.com/office/drawing/2014/main" id="{6C3EAEF5-5A1E-4407-B71A-62B4AE732CC4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27</xdr:row>
      <xdr:rowOff>60960</xdr:rowOff>
    </xdr:from>
    <xdr:to>
      <xdr:col>10</xdr:col>
      <xdr:colOff>152400</xdr:colOff>
      <xdr:row>27</xdr:row>
      <xdr:rowOff>152400</xdr:rowOff>
    </xdr:to>
    <xdr:sp macro="" textlink="">
      <xdr:nvSpPr>
        <xdr:cNvPr id="38" name="Rectangle 1">
          <a:extLst>
            <a:ext uri="{FF2B5EF4-FFF2-40B4-BE49-F238E27FC236}">
              <a16:creationId xmlns:a16="http://schemas.microsoft.com/office/drawing/2014/main" id="{9E43E275-B312-4621-A987-DA026724D949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27</xdr:row>
      <xdr:rowOff>60960</xdr:rowOff>
    </xdr:from>
    <xdr:to>
      <xdr:col>10</xdr:col>
      <xdr:colOff>906780</xdr:colOff>
      <xdr:row>27</xdr:row>
      <xdr:rowOff>152400</xdr:rowOff>
    </xdr:to>
    <xdr:sp macro="" textlink="">
      <xdr:nvSpPr>
        <xdr:cNvPr id="39" name="Rectangle 1">
          <a:extLst>
            <a:ext uri="{FF2B5EF4-FFF2-40B4-BE49-F238E27FC236}">
              <a16:creationId xmlns:a16="http://schemas.microsoft.com/office/drawing/2014/main" id="{C2417C2A-DA50-4578-B51F-7B7F4F1166C1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28</xdr:row>
      <xdr:rowOff>60960</xdr:rowOff>
    </xdr:from>
    <xdr:to>
      <xdr:col>10</xdr:col>
      <xdr:colOff>152400</xdr:colOff>
      <xdr:row>28</xdr:row>
      <xdr:rowOff>152400</xdr:rowOff>
    </xdr:to>
    <xdr:sp macro="" textlink="">
      <xdr:nvSpPr>
        <xdr:cNvPr id="40" name="Rectangle 1">
          <a:extLst>
            <a:ext uri="{FF2B5EF4-FFF2-40B4-BE49-F238E27FC236}">
              <a16:creationId xmlns:a16="http://schemas.microsoft.com/office/drawing/2014/main" id="{E39E20E6-BB35-467B-8736-426E4652FFA4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28</xdr:row>
      <xdr:rowOff>60960</xdr:rowOff>
    </xdr:from>
    <xdr:to>
      <xdr:col>10</xdr:col>
      <xdr:colOff>906780</xdr:colOff>
      <xdr:row>28</xdr:row>
      <xdr:rowOff>152400</xdr:rowOff>
    </xdr:to>
    <xdr:sp macro="" textlink="">
      <xdr:nvSpPr>
        <xdr:cNvPr id="41" name="Rectangle 1">
          <a:extLst>
            <a:ext uri="{FF2B5EF4-FFF2-40B4-BE49-F238E27FC236}">
              <a16:creationId xmlns:a16="http://schemas.microsoft.com/office/drawing/2014/main" id="{C6F95335-25A9-4406-8307-8044D6AA93BD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29</xdr:row>
      <xdr:rowOff>60960</xdr:rowOff>
    </xdr:from>
    <xdr:to>
      <xdr:col>10</xdr:col>
      <xdr:colOff>152400</xdr:colOff>
      <xdr:row>29</xdr:row>
      <xdr:rowOff>152400</xdr:rowOff>
    </xdr:to>
    <xdr:sp macro="" textlink="">
      <xdr:nvSpPr>
        <xdr:cNvPr id="42" name="Rectangle 1">
          <a:extLst>
            <a:ext uri="{FF2B5EF4-FFF2-40B4-BE49-F238E27FC236}">
              <a16:creationId xmlns:a16="http://schemas.microsoft.com/office/drawing/2014/main" id="{6E7BB2B4-56BF-40C1-A376-2E94420BCFF2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29</xdr:row>
      <xdr:rowOff>60960</xdr:rowOff>
    </xdr:from>
    <xdr:to>
      <xdr:col>10</xdr:col>
      <xdr:colOff>906780</xdr:colOff>
      <xdr:row>29</xdr:row>
      <xdr:rowOff>152400</xdr:rowOff>
    </xdr:to>
    <xdr:sp macro="" textlink="">
      <xdr:nvSpPr>
        <xdr:cNvPr id="43" name="Rectangle 1">
          <a:extLst>
            <a:ext uri="{FF2B5EF4-FFF2-40B4-BE49-F238E27FC236}">
              <a16:creationId xmlns:a16="http://schemas.microsoft.com/office/drawing/2014/main" id="{04ADFE1B-C61A-4DEF-A5CB-2C06FBF99DB7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30</xdr:row>
      <xdr:rowOff>60960</xdr:rowOff>
    </xdr:from>
    <xdr:to>
      <xdr:col>10</xdr:col>
      <xdr:colOff>152400</xdr:colOff>
      <xdr:row>30</xdr:row>
      <xdr:rowOff>152400</xdr:rowOff>
    </xdr:to>
    <xdr:sp macro="" textlink="">
      <xdr:nvSpPr>
        <xdr:cNvPr id="44" name="Rectangle 1">
          <a:extLst>
            <a:ext uri="{FF2B5EF4-FFF2-40B4-BE49-F238E27FC236}">
              <a16:creationId xmlns:a16="http://schemas.microsoft.com/office/drawing/2014/main" id="{E9F77457-D644-45D6-98CD-AD2A0024B307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30</xdr:row>
      <xdr:rowOff>60960</xdr:rowOff>
    </xdr:from>
    <xdr:to>
      <xdr:col>10</xdr:col>
      <xdr:colOff>906780</xdr:colOff>
      <xdr:row>30</xdr:row>
      <xdr:rowOff>152400</xdr:rowOff>
    </xdr:to>
    <xdr:sp macro="" textlink="">
      <xdr:nvSpPr>
        <xdr:cNvPr id="45" name="Rectangle 1">
          <a:extLst>
            <a:ext uri="{FF2B5EF4-FFF2-40B4-BE49-F238E27FC236}">
              <a16:creationId xmlns:a16="http://schemas.microsoft.com/office/drawing/2014/main" id="{A1B18F66-A7F3-4DB7-BA71-CC27155D82EF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31</xdr:row>
      <xdr:rowOff>60960</xdr:rowOff>
    </xdr:from>
    <xdr:to>
      <xdr:col>10</xdr:col>
      <xdr:colOff>152400</xdr:colOff>
      <xdr:row>31</xdr:row>
      <xdr:rowOff>152400</xdr:rowOff>
    </xdr:to>
    <xdr:sp macro="" textlink="">
      <xdr:nvSpPr>
        <xdr:cNvPr id="46" name="Rectangle 1">
          <a:extLst>
            <a:ext uri="{FF2B5EF4-FFF2-40B4-BE49-F238E27FC236}">
              <a16:creationId xmlns:a16="http://schemas.microsoft.com/office/drawing/2014/main" id="{DFE64345-C96F-4F46-B468-40F0AF276C4D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31</xdr:row>
      <xdr:rowOff>60960</xdr:rowOff>
    </xdr:from>
    <xdr:to>
      <xdr:col>10</xdr:col>
      <xdr:colOff>906780</xdr:colOff>
      <xdr:row>31</xdr:row>
      <xdr:rowOff>152400</xdr:rowOff>
    </xdr:to>
    <xdr:sp macro="" textlink="">
      <xdr:nvSpPr>
        <xdr:cNvPr id="47" name="Rectangle 1">
          <a:extLst>
            <a:ext uri="{FF2B5EF4-FFF2-40B4-BE49-F238E27FC236}">
              <a16:creationId xmlns:a16="http://schemas.microsoft.com/office/drawing/2014/main" id="{327EFFCC-D2C6-4C52-AC96-83D4C916A453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32</xdr:row>
      <xdr:rowOff>60960</xdr:rowOff>
    </xdr:from>
    <xdr:to>
      <xdr:col>10</xdr:col>
      <xdr:colOff>152400</xdr:colOff>
      <xdr:row>32</xdr:row>
      <xdr:rowOff>152400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897C7507-3702-49CE-8F79-2680E34B8C05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32</xdr:row>
      <xdr:rowOff>60960</xdr:rowOff>
    </xdr:from>
    <xdr:to>
      <xdr:col>10</xdr:col>
      <xdr:colOff>906780</xdr:colOff>
      <xdr:row>32</xdr:row>
      <xdr:rowOff>152400</xdr:rowOff>
    </xdr:to>
    <xdr:sp macro="" textlink="">
      <xdr:nvSpPr>
        <xdr:cNvPr id="49" name="Rectangle 1">
          <a:extLst>
            <a:ext uri="{FF2B5EF4-FFF2-40B4-BE49-F238E27FC236}">
              <a16:creationId xmlns:a16="http://schemas.microsoft.com/office/drawing/2014/main" id="{59EF79ED-FFCB-421E-BFC9-15B9054B7331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33</xdr:row>
      <xdr:rowOff>60960</xdr:rowOff>
    </xdr:from>
    <xdr:to>
      <xdr:col>10</xdr:col>
      <xdr:colOff>152400</xdr:colOff>
      <xdr:row>33</xdr:row>
      <xdr:rowOff>152400</xdr:rowOff>
    </xdr:to>
    <xdr:sp macro="" textlink="">
      <xdr:nvSpPr>
        <xdr:cNvPr id="50" name="Rectangle 1">
          <a:extLst>
            <a:ext uri="{FF2B5EF4-FFF2-40B4-BE49-F238E27FC236}">
              <a16:creationId xmlns:a16="http://schemas.microsoft.com/office/drawing/2014/main" id="{3023D519-B3FD-4923-AE0F-4BBA757E8F49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33</xdr:row>
      <xdr:rowOff>60960</xdr:rowOff>
    </xdr:from>
    <xdr:to>
      <xdr:col>10</xdr:col>
      <xdr:colOff>906780</xdr:colOff>
      <xdr:row>33</xdr:row>
      <xdr:rowOff>152400</xdr:rowOff>
    </xdr:to>
    <xdr:sp macro="" textlink="">
      <xdr:nvSpPr>
        <xdr:cNvPr id="51" name="Rectangle 1">
          <a:extLst>
            <a:ext uri="{FF2B5EF4-FFF2-40B4-BE49-F238E27FC236}">
              <a16:creationId xmlns:a16="http://schemas.microsoft.com/office/drawing/2014/main" id="{298334F1-05D8-4243-805F-B70680E57EB8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34</xdr:row>
      <xdr:rowOff>60960</xdr:rowOff>
    </xdr:from>
    <xdr:to>
      <xdr:col>10</xdr:col>
      <xdr:colOff>152400</xdr:colOff>
      <xdr:row>34</xdr:row>
      <xdr:rowOff>152400</xdr:rowOff>
    </xdr:to>
    <xdr:sp macro="" textlink="">
      <xdr:nvSpPr>
        <xdr:cNvPr id="52" name="Rectangle 1">
          <a:extLst>
            <a:ext uri="{FF2B5EF4-FFF2-40B4-BE49-F238E27FC236}">
              <a16:creationId xmlns:a16="http://schemas.microsoft.com/office/drawing/2014/main" id="{1EAC1CC9-4C55-4885-9618-9325A7B574B1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34</xdr:row>
      <xdr:rowOff>60960</xdr:rowOff>
    </xdr:from>
    <xdr:to>
      <xdr:col>10</xdr:col>
      <xdr:colOff>906780</xdr:colOff>
      <xdr:row>34</xdr:row>
      <xdr:rowOff>152400</xdr:rowOff>
    </xdr:to>
    <xdr:sp macro="" textlink="">
      <xdr:nvSpPr>
        <xdr:cNvPr id="53" name="Rectangle 1">
          <a:extLst>
            <a:ext uri="{FF2B5EF4-FFF2-40B4-BE49-F238E27FC236}">
              <a16:creationId xmlns:a16="http://schemas.microsoft.com/office/drawing/2014/main" id="{E5F8B4EC-7AC5-43D6-92C4-02D73126949D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35</xdr:row>
      <xdr:rowOff>60960</xdr:rowOff>
    </xdr:from>
    <xdr:to>
      <xdr:col>10</xdr:col>
      <xdr:colOff>152400</xdr:colOff>
      <xdr:row>35</xdr:row>
      <xdr:rowOff>152400</xdr:rowOff>
    </xdr:to>
    <xdr:sp macro="" textlink="">
      <xdr:nvSpPr>
        <xdr:cNvPr id="54" name="Rectangle 1">
          <a:extLst>
            <a:ext uri="{FF2B5EF4-FFF2-40B4-BE49-F238E27FC236}">
              <a16:creationId xmlns:a16="http://schemas.microsoft.com/office/drawing/2014/main" id="{9F954DF8-A5D1-457A-AFDB-D842B888087B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35</xdr:row>
      <xdr:rowOff>60960</xdr:rowOff>
    </xdr:from>
    <xdr:to>
      <xdr:col>10</xdr:col>
      <xdr:colOff>906780</xdr:colOff>
      <xdr:row>35</xdr:row>
      <xdr:rowOff>152400</xdr:rowOff>
    </xdr:to>
    <xdr:sp macro="" textlink="">
      <xdr:nvSpPr>
        <xdr:cNvPr id="55" name="Rectangle 1">
          <a:extLst>
            <a:ext uri="{FF2B5EF4-FFF2-40B4-BE49-F238E27FC236}">
              <a16:creationId xmlns:a16="http://schemas.microsoft.com/office/drawing/2014/main" id="{155B565C-9803-4774-9A69-EC80D1B19801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36</xdr:row>
      <xdr:rowOff>60960</xdr:rowOff>
    </xdr:from>
    <xdr:to>
      <xdr:col>10</xdr:col>
      <xdr:colOff>152400</xdr:colOff>
      <xdr:row>36</xdr:row>
      <xdr:rowOff>152400</xdr:rowOff>
    </xdr:to>
    <xdr:sp macro="" textlink="">
      <xdr:nvSpPr>
        <xdr:cNvPr id="56" name="Rectangle 1">
          <a:extLst>
            <a:ext uri="{FF2B5EF4-FFF2-40B4-BE49-F238E27FC236}">
              <a16:creationId xmlns:a16="http://schemas.microsoft.com/office/drawing/2014/main" id="{32C4246E-7FD8-4E5F-8D11-072E7691C420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36</xdr:row>
      <xdr:rowOff>60960</xdr:rowOff>
    </xdr:from>
    <xdr:to>
      <xdr:col>10</xdr:col>
      <xdr:colOff>906780</xdr:colOff>
      <xdr:row>36</xdr:row>
      <xdr:rowOff>152400</xdr:rowOff>
    </xdr:to>
    <xdr:sp macro="" textlink="">
      <xdr:nvSpPr>
        <xdr:cNvPr id="57" name="Rectangle 1">
          <a:extLst>
            <a:ext uri="{FF2B5EF4-FFF2-40B4-BE49-F238E27FC236}">
              <a16:creationId xmlns:a16="http://schemas.microsoft.com/office/drawing/2014/main" id="{8EDE89F4-98C2-4BA6-90DD-1458D2CFEC32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37</xdr:row>
      <xdr:rowOff>60960</xdr:rowOff>
    </xdr:from>
    <xdr:to>
      <xdr:col>10</xdr:col>
      <xdr:colOff>152400</xdr:colOff>
      <xdr:row>37</xdr:row>
      <xdr:rowOff>152400</xdr:rowOff>
    </xdr:to>
    <xdr:sp macro="" textlink="">
      <xdr:nvSpPr>
        <xdr:cNvPr id="58" name="Rectangle 1">
          <a:extLst>
            <a:ext uri="{FF2B5EF4-FFF2-40B4-BE49-F238E27FC236}">
              <a16:creationId xmlns:a16="http://schemas.microsoft.com/office/drawing/2014/main" id="{9F0AD1C3-CF1A-405B-8E93-0FA91D52543A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37</xdr:row>
      <xdr:rowOff>60960</xdr:rowOff>
    </xdr:from>
    <xdr:to>
      <xdr:col>10</xdr:col>
      <xdr:colOff>906780</xdr:colOff>
      <xdr:row>37</xdr:row>
      <xdr:rowOff>152400</xdr:rowOff>
    </xdr:to>
    <xdr:sp macro="" textlink="">
      <xdr:nvSpPr>
        <xdr:cNvPr id="59" name="Rectangle 1">
          <a:extLst>
            <a:ext uri="{FF2B5EF4-FFF2-40B4-BE49-F238E27FC236}">
              <a16:creationId xmlns:a16="http://schemas.microsoft.com/office/drawing/2014/main" id="{7311B44B-2490-4291-83E7-311BA58CBA88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38</xdr:row>
      <xdr:rowOff>60960</xdr:rowOff>
    </xdr:from>
    <xdr:to>
      <xdr:col>10</xdr:col>
      <xdr:colOff>152400</xdr:colOff>
      <xdr:row>38</xdr:row>
      <xdr:rowOff>152400</xdr:rowOff>
    </xdr:to>
    <xdr:sp macro="" textlink="">
      <xdr:nvSpPr>
        <xdr:cNvPr id="60" name="Rectangle 1">
          <a:extLst>
            <a:ext uri="{FF2B5EF4-FFF2-40B4-BE49-F238E27FC236}">
              <a16:creationId xmlns:a16="http://schemas.microsoft.com/office/drawing/2014/main" id="{4017DAB1-BE00-46E1-8DE4-F9E40AA18083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38</xdr:row>
      <xdr:rowOff>60960</xdr:rowOff>
    </xdr:from>
    <xdr:to>
      <xdr:col>10</xdr:col>
      <xdr:colOff>906780</xdr:colOff>
      <xdr:row>38</xdr:row>
      <xdr:rowOff>152400</xdr:rowOff>
    </xdr:to>
    <xdr:sp macro="" textlink="">
      <xdr:nvSpPr>
        <xdr:cNvPr id="61" name="Rectangle 1">
          <a:extLst>
            <a:ext uri="{FF2B5EF4-FFF2-40B4-BE49-F238E27FC236}">
              <a16:creationId xmlns:a16="http://schemas.microsoft.com/office/drawing/2014/main" id="{8964545D-2EBA-45F0-BEA0-B5FB05567581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39</xdr:row>
      <xdr:rowOff>60960</xdr:rowOff>
    </xdr:from>
    <xdr:to>
      <xdr:col>10</xdr:col>
      <xdr:colOff>152400</xdr:colOff>
      <xdr:row>39</xdr:row>
      <xdr:rowOff>152400</xdr:rowOff>
    </xdr:to>
    <xdr:sp macro="" textlink="">
      <xdr:nvSpPr>
        <xdr:cNvPr id="62" name="Rectangle 1">
          <a:extLst>
            <a:ext uri="{FF2B5EF4-FFF2-40B4-BE49-F238E27FC236}">
              <a16:creationId xmlns:a16="http://schemas.microsoft.com/office/drawing/2014/main" id="{3FBBE51E-5206-4BF9-A236-F9ADE8E7EBC6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39</xdr:row>
      <xdr:rowOff>60960</xdr:rowOff>
    </xdr:from>
    <xdr:to>
      <xdr:col>10</xdr:col>
      <xdr:colOff>906780</xdr:colOff>
      <xdr:row>39</xdr:row>
      <xdr:rowOff>152400</xdr:rowOff>
    </xdr:to>
    <xdr:sp macro="" textlink="">
      <xdr:nvSpPr>
        <xdr:cNvPr id="63" name="Rectangle 1">
          <a:extLst>
            <a:ext uri="{FF2B5EF4-FFF2-40B4-BE49-F238E27FC236}">
              <a16:creationId xmlns:a16="http://schemas.microsoft.com/office/drawing/2014/main" id="{C064F6B3-EA75-4CD2-9F1B-E700080C1BDA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40</xdr:row>
      <xdr:rowOff>60960</xdr:rowOff>
    </xdr:from>
    <xdr:to>
      <xdr:col>10</xdr:col>
      <xdr:colOff>152400</xdr:colOff>
      <xdr:row>40</xdr:row>
      <xdr:rowOff>152400</xdr:rowOff>
    </xdr:to>
    <xdr:sp macro="" textlink="">
      <xdr:nvSpPr>
        <xdr:cNvPr id="64" name="Rectangle 1">
          <a:extLst>
            <a:ext uri="{FF2B5EF4-FFF2-40B4-BE49-F238E27FC236}">
              <a16:creationId xmlns:a16="http://schemas.microsoft.com/office/drawing/2014/main" id="{D9297097-8956-40AD-ADA2-C1BADAE44797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40</xdr:row>
      <xdr:rowOff>60960</xdr:rowOff>
    </xdr:from>
    <xdr:to>
      <xdr:col>10</xdr:col>
      <xdr:colOff>906780</xdr:colOff>
      <xdr:row>40</xdr:row>
      <xdr:rowOff>152400</xdr:rowOff>
    </xdr:to>
    <xdr:sp macro="" textlink="">
      <xdr:nvSpPr>
        <xdr:cNvPr id="65" name="Rectangle 1">
          <a:extLst>
            <a:ext uri="{FF2B5EF4-FFF2-40B4-BE49-F238E27FC236}">
              <a16:creationId xmlns:a16="http://schemas.microsoft.com/office/drawing/2014/main" id="{705C0530-4612-48E3-8810-5536BD29128A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41</xdr:row>
      <xdr:rowOff>60960</xdr:rowOff>
    </xdr:from>
    <xdr:to>
      <xdr:col>10</xdr:col>
      <xdr:colOff>152400</xdr:colOff>
      <xdr:row>41</xdr:row>
      <xdr:rowOff>152400</xdr:rowOff>
    </xdr:to>
    <xdr:sp macro="" textlink="">
      <xdr:nvSpPr>
        <xdr:cNvPr id="66" name="Rectangle 1">
          <a:extLst>
            <a:ext uri="{FF2B5EF4-FFF2-40B4-BE49-F238E27FC236}">
              <a16:creationId xmlns:a16="http://schemas.microsoft.com/office/drawing/2014/main" id="{9B7A4521-3AE4-44DC-A752-92CFE7C862E4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41</xdr:row>
      <xdr:rowOff>60960</xdr:rowOff>
    </xdr:from>
    <xdr:to>
      <xdr:col>10</xdr:col>
      <xdr:colOff>906780</xdr:colOff>
      <xdr:row>41</xdr:row>
      <xdr:rowOff>152400</xdr:rowOff>
    </xdr:to>
    <xdr:sp macro="" textlink="">
      <xdr:nvSpPr>
        <xdr:cNvPr id="67" name="Rectangle 1">
          <a:extLst>
            <a:ext uri="{FF2B5EF4-FFF2-40B4-BE49-F238E27FC236}">
              <a16:creationId xmlns:a16="http://schemas.microsoft.com/office/drawing/2014/main" id="{CCCE4565-3E8D-4531-ACC7-F3528327282F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42</xdr:row>
      <xdr:rowOff>60960</xdr:rowOff>
    </xdr:from>
    <xdr:to>
      <xdr:col>10</xdr:col>
      <xdr:colOff>152400</xdr:colOff>
      <xdr:row>42</xdr:row>
      <xdr:rowOff>152400</xdr:rowOff>
    </xdr:to>
    <xdr:sp macro="" textlink="">
      <xdr:nvSpPr>
        <xdr:cNvPr id="68" name="Rectangle 1">
          <a:extLst>
            <a:ext uri="{FF2B5EF4-FFF2-40B4-BE49-F238E27FC236}">
              <a16:creationId xmlns:a16="http://schemas.microsoft.com/office/drawing/2014/main" id="{DFFF8CC8-6498-4035-B7B4-C002970DB193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42</xdr:row>
      <xdr:rowOff>60960</xdr:rowOff>
    </xdr:from>
    <xdr:to>
      <xdr:col>10</xdr:col>
      <xdr:colOff>906780</xdr:colOff>
      <xdr:row>42</xdr:row>
      <xdr:rowOff>152400</xdr:rowOff>
    </xdr:to>
    <xdr:sp macro="" textlink="">
      <xdr:nvSpPr>
        <xdr:cNvPr id="69" name="Rectangle 1">
          <a:extLst>
            <a:ext uri="{FF2B5EF4-FFF2-40B4-BE49-F238E27FC236}">
              <a16:creationId xmlns:a16="http://schemas.microsoft.com/office/drawing/2014/main" id="{BBA95781-57C8-498F-986E-2C167FC0A856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43</xdr:row>
      <xdr:rowOff>60960</xdr:rowOff>
    </xdr:from>
    <xdr:to>
      <xdr:col>10</xdr:col>
      <xdr:colOff>152400</xdr:colOff>
      <xdr:row>43</xdr:row>
      <xdr:rowOff>152400</xdr:rowOff>
    </xdr:to>
    <xdr:sp macro="" textlink="">
      <xdr:nvSpPr>
        <xdr:cNvPr id="70" name="Rectangle 1">
          <a:extLst>
            <a:ext uri="{FF2B5EF4-FFF2-40B4-BE49-F238E27FC236}">
              <a16:creationId xmlns:a16="http://schemas.microsoft.com/office/drawing/2014/main" id="{AB9677E6-11A8-4784-AF82-51DA6218FD81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43</xdr:row>
      <xdr:rowOff>60960</xdr:rowOff>
    </xdr:from>
    <xdr:to>
      <xdr:col>10</xdr:col>
      <xdr:colOff>906780</xdr:colOff>
      <xdr:row>43</xdr:row>
      <xdr:rowOff>152400</xdr:rowOff>
    </xdr:to>
    <xdr:sp macro="" textlink="">
      <xdr:nvSpPr>
        <xdr:cNvPr id="71" name="Rectangle 1">
          <a:extLst>
            <a:ext uri="{FF2B5EF4-FFF2-40B4-BE49-F238E27FC236}">
              <a16:creationId xmlns:a16="http://schemas.microsoft.com/office/drawing/2014/main" id="{EDFF4336-954C-4F58-8AAD-F84C33A1B6FA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44</xdr:row>
      <xdr:rowOff>60960</xdr:rowOff>
    </xdr:from>
    <xdr:to>
      <xdr:col>10</xdr:col>
      <xdr:colOff>152400</xdr:colOff>
      <xdr:row>44</xdr:row>
      <xdr:rowOff>152400</xdr:rowOff>
    </xdr:to>
    <xdr:sp macro="" textlink="">
      <xdr:nvSpPr>
        <xdr:cNvPr id="72" name="Rectangle 1">
          <a:extLst>
            <a:ext uri="{FF2B5EF4-FFF2-40B4-BE49-F238E27FC236}">
              <a16:creationId xmlns:a16="http://schemas.microsoft.com/office/drawing/2014/main" id="{D4BBAFF6-3D63-4D6C-9B2D-0075773819AA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44</xdr:row>
      <xdr:rowOff>60960</xdr:rowOff>
    </xdr:from>
    <xdr:to>
      <xdr:col>10</xdr:col>
      <xdr:colOff>906780</xdr:colOff>
      <xdr:row>44</xdr:row>
      <xdr:rowOff>152400</xdr:rowOff>
    </xdr:to>
    <xdr:sp macro="" textlink="">
      <xdr:nvSpPr>
        <xdr:cNvPr id="73" name="Rectangle 1">
          <a:extLst>
            <a:ext uri="{FF2B5EF4-FFF2-40B4-BE49-F238E27FC236}">
              <a16:creationId xmlns:a16="http://schemas.microsoft.com/office/drawing/2014/main" id="{5CC5748C-506E-4CEA-B48C-10D5ADFCEDDE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45</xdr:row>
      <xdr:rowOff>60960</xdr:rowOff>
    </xdr:from>
    <xdr:to>
      <xdr:col>10</xdr:col>
      <xdr:colOff>152400</xdr:colOff>
      <xdr:row>45</xdr:row>
      <xdr:rowOff>152400</xdr:rowOff>
    </xdr:to>
    <xdr:sp macro="" textlink="">
      <xdr:nvSpPr>
        <xdr:cNvPr id="74" name="Rectangle 1">
          <a:extLst>
            <a:ext uri="{FF2B5EF4-FFF2-40B4-BE49-F238E27FC236}">
              <a16:creationId xmlns:a16="http://schemas.microsoft.com/office/drawing/2014/main" id="{38562845-B983-4845-A9F0-18BDC648A2EE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45</xdr:row>
      <xdr:rowOff>60960</xdr:rowOff>
    </xdr:from>
    <xdr:to>
      <xdr:col>10</xdr:col>
      <xdr:colOff>906780</xdr:colOff>
      <xdr:row>45</xdr:row>
      <xdr:rowOff>152400</xdr:rowOff>
    </xdr:to>
    <xdr:sp macro="" textlink="">
      <xdr:nvSpPr>
        <xdr:cNvPr id="75" name="Rectangle 1">
          <a:extLst>
            <a:ext uri="{FF2B5EF4-FFF2-40B4-BE49-F238E27FC236}">
              <a16:creationId xmlns:a16="http://schemas.microsoft.com/office/drawing/2014/main" id="{B22CFE1C-69BD-407D-B959-02DCD47E85C3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46</xdr:row>
      <xdr:rowOff>60960</xdr:rowOff>
    </xdr:from>
    <xdr:to>
      <xdr:col>10</xdr:col>
      <xdr:colOff>152400</xdr:colOff>
      <xdr:row>46</xdr:row>
      <xdr:rowOff>152400</xdr:rowOff>
    </xdr:to>
    <xdr:sp macro="" textlink="">
      <xdr:nvSpPr>
        <xdr:cNvPr id="76" name="Rectangle 1">
          <a:extLst>
            <a:ext uri="{FF2B5EF4-FFF2-40B4-BE49-F238E27FC236}">
              <a16:creationId xmlns:a16="http://schemas.microsoft.com/office/drawing/2014/main" id="{B70ED1FB-AFDB-439F-97AB-7E3264DAEC6D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46</xdr:row>
      <xdr:rowOff>60960</xdr:rowOff>
    </xdr:from>
    <xdr:to>
      <xdr:col>10</xdr:col>
      <xdr:colOff>906780</xdr:colOff>
      <xdr:row>46</xdr:row>
      <xdr:rowOff>152400</xdr:rowOff>
    </xdr:to>
    <xdr:sp macro="" textlink="">
      <xdr:nvSpPr>
        <xdr:cNvPr id="77" name="Rectangle 1">
          <a:extLst>
            <a:ext uri="{FF2B5EF4-FFF2-40B4-BE49-F238E27FC236}">
              <a16:creationId xmlns:a16="http://schemas.microsoft.com/office/drawing/2014/main" id="{C5E5CB53-2ABC-442D-BCAF-64A0A871D5E4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47</xdr:row>
      <xdr:rowOff>60960</xdr:rowOff>
    </xdr:from>
    <xdr:to>
      <xdr:col>10</xdr:col>
      <xdr:colOff>152400</xdr:colOff>
      <xdr:row>47</xdr:row>
      <xdr:rowOff>152400</xdr:rowOff>
    </xdr:to>
    <xdr:sp macro="" textlink="">
      <xdr:nvSpPr>
        <xdr:cNvPr id="78" name="Rectangle 1">
          <a:extLst>
            <a:ext uri="{FF2B5EF4-FFF2-40B4-BE49-F238E27FC236}">
              <a16:creationId xmlns:a16="http://schemas.microsoft.com/office/drawing/2014/main" id="{74F290B8-08AC-4F80-840B-2C7A3820214D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47</xdr:row>
      <xdr:rowOff>60960</xdr:rowOff>
    </xdr:from>
    <xdr:to>
      <xdr:col>10</xdr:col>
      <xdr:colOff>906780</xdr:colOff>
      <xdr:row>47</xdr:row>
      <xdr:rowOff>152400</xdr:rowOff>
    </xdr:to>
    <xdr:sp macro="" textlink="">
      <xdr:nvSpPr>
        <xdr:cNvPr id="79" name="Rectangle 1">
          <a:extLst>
            <a:ext uri="{FF2B5EF4-FFF2-40B4-BE49-F238E27FC236}">
              <a16:creationId xmlns:a16="http://schemas.microsoft.com/office/drawing/2014/main" id="{244EF299-75E5-4CCC-B47A-E057D2F0C974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48</xdr:row>
      <xdr:rowOff>60960</xdr:rowOff>
    </xdr:from>
    <xdr:to>
      <xdr:col>10</xdr:col>
      <xdr:colOff>152400</xdr:colOff>
      <xdr:row>48</xdr:row>
      <xdr:rowOff>152400</xdr:rowOff>
    </xdr:to>
    <xdr:sp macro="" textlink="">
      <xdr:nvSpPr>
        <xdr:cNvPr id="80" name="Rectangle 1">
          <a:extLst>
            <a:ext uri="{FF2B5EF4-FFF2-40B4-BE49-F238E27FC236}">
              <a16:creationId xmlns:a16="http://schemas.microsoft.com/office/drawing/2014/main" id="{0943E939-7F80-464C-8FA3-0DCE9D86D267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48</xdr:row>
      <xdr:rowOff>60960</xdr:rowOff>
    </xdr:from>
    <xdr:to>
      <xdr:col>10</xdr:col>
      <xdr:colOff>906780</xdr:colOff>
      <xdr:row>48</xdr:row>
      <xdr:rowOff>152400</xdr:rowOff>
    </xdr:to>
    <xdr:sp macro="" textlink="">
      <xdr:nvSpPr>
        <xdr:cNvPr id="81" name="Rectangle 1">
          <a:extLst>
            <a:ext uri="{FF2B5EF4-FFF2-40B4-BE49-F238E27FC236}">
              <a16:creationId xmlns:a16="http://schemas.microsoft.com/office/drawing/2014/main" id="{5C6FE10B-08FA-4F64-A515-34AB8A7459A0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49</xdr:row>
      <xdr:rowOff>60960</xdr:rowOff>
    </xdr:from>
    <xdr:to>
      <xdr:col>10</xdr:col>
      <xdr:colOff>152400</xdr:colOff>
      <xdr:row>49</xdr:row>
      <xdr:rowOff>152400</xdr:rowOff>
    </xdr:to>
    <xdr:sp macro="" textlink="">
      <xdr:nvSpPr>
        <xdr:cNvPr id="82" name="Rectangle 1">
          <a:extLst>
            <a:ext uri="{FF2B5EF4-FFF2-40B4-BE49-F238E27FC236}">
              <a16:creationId xmlns:a16="http://schemas.microsoft.com/office/drawing/2014/main" id="{60D8EAE2-DA26-4A59-9D34-F61F413BBE50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49</xdr:row>
      <xdr:rowOff>60960</xdr:rowOff>
    </xdr:from>
    <xdr:to>
      <xdr:col>10</xdr:col>
      <xdr:colOff>906780</xdr:colOff>
      <xdr:row>49</xdr:row>
      <xdr:rowOff>152400</xdr:rowOff>
    </xdr:to>
    <xdr:sp macro="" textlink="">
      <xdr:nvSpPr>
        <xdr:cNvPr id="83" name="Rectangle 1">
          <a:extLst>
            <a:ext uri="{FF2B5EF4-FFF2-40B4-BE49-F238E27FC236}">
              <a16:creationId xmlns:a16="http://schemas.microsoft.com/office/drawing/2014/main" id="{60128424-BC60-4FA3-83A3-313D67DB6D7A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50</xdr:row>
      <xdr:rowOff>60960</xdr:rowOff>
    </xdr:from>
    <xdr:to>
      <xdr:col>10</xdr:col>
      <xdr:colOff>152400</xdr:colOff>
      <xdr:row>50</xdr:row>
      <xdr:rowOff>152400</xdr:rowOff>
    </xdr:to>
    <xdr:sp macro="" textlink="">
      <xdr:nvSpPr>
        <xdr:cNvPr id="84" name="Rectangle 1">
          <a:extLst>
            <a:ext uri="{FF2B5EF4-FFF2-40B4-BE49-F238E27FC236}">
              <a16:creationId xmlns:a16="http://schemas.microsoft.com/office/drawing/2014/main" id="{BB2AA576-ECF9-4CED-AA87-E9026E554A2A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50</xdr:row>
      <xdr:rowOff>60960</xdr:rowOff>
    </xdr:from>
    <xdr:to>
      <xdr:col>10</xdr:col>
      <xdr:colOff>906780</xdr:colOff>
      <xdr:row>50</xdr:row>
      <xdr:rowOff>152400</xdr:rowOff>
    </xdr:to>
    <xdr:sp macro="" textlink="">
      <xdr:nvSpPr>
        <xdr:cNvPr id="85" name="Rectangle 1">
          <a:extLst>
            <a:ext uri="{FF2B5EF4-FFF2-40B4-BE49-F238E27FC236}">
              <a16:creationId xmlns:a16="http://schemas.microsoft.com/office/drawing/2014/main" id="{A9614C70-9FBC-49E3-875C-53F585F306F0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51</xdr:row>
      <xdr:rowOff>60960</xdr:rowOff>
    </xdr:from>
    <xdr:to>
      <xdr:col>10</xdr:col>
      <xdr:colOff>152400</xdr:colOff>
      <xdr:row>51</xdr:row>
      <xdr:rowOff>152400</xdr:rowOff>
    </xdr:to>
    <xdr:sp macro="" textlink="">
      <xdr:nvSpPr>
        <xdr:cNvPr id="86" name="Rectangle 1">
          <a:extLst>
            <a:ext uri="{FF2B5EF4-FFF2-40B4-BE49-F238E27FC236}">
              <a16:creationId xmlns:a16="http://schemas.microsoft.com/office/drawing/2014/main" id="{5D7A83BA-A4B2-4E10-92A4-7185BF01EA33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51</xdr:row>
      <xdr:rowOff>60960</xdr:rowOff>
    </xdr:from>
    <xdr:to>
      <xdr:col>10</xdr:col>
      <xdr:colOff>906780</xdr:colOff>
      <xdr:row>51</xdr:row>
      <xdr:rowOff>152400</xdr:rowOff>
    </xdr:to>
    <xdr:sp macro="" textlink="">
      <xdr:nvSpPr>
        <xdr:cNvPr id="87" name="Rectangle 1">
          <a:extLst>
            <a:ext uri="{FF2B5EF4-FFF2-40B4-BE49-F238E27FC236}">
              <a16:creationId xmlns:a16="http://schemas.microsoft.com/office/drawing/2014/main" id="{A4D38435-65CC-45EC-A76B-338EAFDCE27C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52</xdr:row>
      <xdr:rowOff>60960</xdr:rowOff>
    </xdr:from>
    <xdr:to>
      <xdr:col>10</xdr:col>
      <xdr:colOff>152400</xdr:colOff>
      <xdr:row>52</xdr:row>
      <xdr:rowOff>152400</xdr:rowOff>
    </xdr:to>
    <xdr:sp macro="" textlink="">
      <xdr:nvSpPr>
        <xdr:cNvPr id="88" name="Rectangle 1">
          <a:extLst>
            <a:ext uri="{FF2B5EF4-FFF2-40B4-BE49-F238E27FC236}">
              <a16:creationId xmlns:a16="http://schemas.microsoft.com/office/drawing/2014/main" id="{704DD8A6-2ADD-4E43-B770-C9D322EC4BBE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52</xdr:row>
      <xdr:rowOff>60960</xdr:rowOff>
    </xdr:from>
    <xdr:to>
      <xdr:col>10</xdr:col>
      <xdr:colOff>906780</xdr:colOff>
      <xdr:row>52</xdr:row>
      <xdr:rowOff>152400</xdr:rowOff>
    </xdr:to>
    <xdr:sp macro="" textlink="">
      <xdr:nvSpPr>
        <xdr:cNvPr id="89" name="Rectangle 1">
          <a:extLst>
            <a:ext uri="{FF2B5EF4-FFF2-40B4-BE49-F238E27FC236}">
              <a16:creationId xmlns:a16="http://schemas.microsoft.com/office/drawing/2014/main" id="{351E5615-EC9F-4EEB-A9DE-7F27C7E500F0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53</xdr:row>
      <xdr:rowOff>60960</xdr:rowOff>
    </xdr:from>
    <xdr:to>
      <xdr:col>10</xdr:col>
      <xdr:colOff>152400</xdr:colOff>
      <xdr:row>53</xdr:row>
      <xdr:rowOff>152400</xdr:rowOff>
    </xdr:to>
    <xdr:sp macro="" textlink="">
      <xdr:nvSpPr>
        <xdr:cNvPr id="90" name="Rectangle 1">
          <a:extLst>
            <a:ext uri="{FF2B5EF4-FFF2-40B4-BE49-F238E27FC236}">
              <a16:creationId xmlns:a16="http://schemas.microsoft.com/office/drawing/2014/main" id="{A012401B-2BF2-465B-B6DD-95BF277D79F5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53</xdr:row>
      <xdr:rowOff>60960</xdr:rowOff>
    </xdr:from>
    <xdr:to>
      <xdr:col>10</xdr:col>
      <xdr:colOff>906780</xdr:colOff>
      <xdr:row>53</xdr:row>
      <xdr:rowOff>152400</xdr:rowOff>
    </xdr:to>
    <xdr:sp macro="" textlink="">
      <xdr:nvSpPr>
        <xdr:cNvPr id="91" name="Rectangle 1">
          <a:extLst>
            <a:ext uri="{FF2B5EF4-FFF2-40B4-BE49-F238E27FC236}">
              <a16:creationId xmlns:a16="http://schemas.microsoft.com/office/drawing/2014/main" id="{55012C03-97B9-449D-8A63-F5E0FDD0D55A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60960</xdr:colOff>
      <xdr:row>9</xdr:row>
      <xdr:rowOff>60960</xdr:rowOff>
    </xdr:from>
    <xdr:to>
      <xdr:col>10</xdr:col>
      <xdr:colOff>152400</xdr:colOff>
      <xdr:row>9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5CB8A99-5F43-42F9-B1A2-11665046B3B3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9</xdr:row>
      <xdr:rowOff>60960</xdr:rowOff>
    </xdr:from>
    <xdr:to>
      <xdr:col>10</xdr:col>
      <xdr:colOff>906780</xdr:colOff>
      <xdr:row>9</xdr:row>
      <xdr:rowOff>152400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B9046F93-6D48-4203-A4D3-BB4902765204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10</xdr:row>
      <xdr:rowOff>60960</xdr:rowOff>
    </xdr:from>
    <xdr:to>
      <xdr:col>10</xdr:col>
      <xdr:colOff>152400</xdr:colOff>
      <xdr:row>10</xdr:row>
      <xdr:rowOff>152400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6D6ECC89-B391-4DFD-B4E5-071089A86D7D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10</xdr:row>
      <xdr:rowOff>60960</xdr:rowOff>
    </xdr:from>
    <xdr:to>
      <xdr:col>10</xdr:col>
      <xdr:colOff>906780</xdr:colOff>
      <xdr:row>10</xdr:row>
      <xdr:rowOff>152400</xdr:rowOff>
    </xdr:to>
    <xdr:sp macro="" textlink="">
      <xdr:nvSpPr>
        <xdr:cNvPr id="5" name="Rectangle 1">
          <a:extLst>
            <a:ext uri="{FF2B5EF4-FFF2-40B4-BE49-F238E27FC236}">
              <a16:creationId xmlns:a16="http://schemas.microsoft.com/office/drawing/2014/main" id="{798CA6AA-0EE0-4B20-B6D4-E28390D2F631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11</xdr:row>
      <xdr:rowOff>60960</xdr:rowOff>
    </xdr:from>
    <xdr:to>
      <xdr:col>10</xdr:col>
      <xdr:colOff>152400</xdr:colOff>
      <xdr:row>11</xdr:row>
      <xdr:rowOff>152400</xdr:rowOff>
    </xdr:to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696D0839-579E-4AD1-8723-9FA8F4AD3769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11</xdr:row>
      <xdr:rowOff>60960</xdr:rowOff>
    </xdr:from>
    <xdr:to>
      <xdr:col>10</xdr:col>
      <xdr:colOff>906780</xdr:colOff>
      <xdr:row>11</xdr:row>
      <xdr:rowOff>152400</xdr:rowOff>
    </xdr:to>
    <xdr:sp macro="" textlink="">
      <xdr:nvSpPr>
        <xdr:cNvPr id="7" name="Rectangle 1">
          <a:extLst>
            <a:ext uri="{FF2B5EF4-FFF2-40B4-BE49-F238E27FC236}">
              <a16:creationId xmlns:a16="http://schemas.microsoft.com/office/drawing/2014/main" id="{F2B3C744-4CC8-4A3C-9657-BFF9A7E1B1DE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12</xdr:row>
      <xdr:rowOff>60960</xdr:rowOff>
    </xdr:from>
    <xdr:to>
      <xdr:col>10</xdr:col>
      <xdr:colOff>152400</xdr:colOff>
      <xdr:row>12</xdr:row>
      <xdr:rowOff>152400</xdr:rowOff>
    </xdr:to>
    <xdr:sp macro="" textlink="">
      <xdr:nvSpPr>
        <xdr:cNvPr id="8" name="Rectangle 1">
          <a:extLst>
            <a:ext uri="{FF2B5EF4-FFF2-40B4-BE49-F238E27FC236}">
              <a16:creationId xmlns:a16="http://schemas.microsoft.com/office/drawing/2014/main" id="{7D37EC38-C920-4E5C-9867-098F4BB0E9D7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12</xdr:row>
      <xdr:rowOff>60960</xdr:rowOff>
    </xdr:from>
    <xdr:to>
      <xdr:col>10</xdr:col>
      <xdr:colOff>906780</xdr:colOff>
      <xdr:row>12</xdr:row>
      <xdr:rowOff>152400</xdr:rowOff>
    </xdr:to>
    <xdr:sp macro="" textlink="">
      <xdr:nvSpPr>
        <xdr:cNvPr id="9" name="Rectangle 1">
          <a:extLst>
            <a:ext uri="{FF2B5EF4-FFF2-40B4-BE49-F238E27FC236}">
              <a16:creationId xmlns:a16="http://schemas.microsoft.com/office/drawing/2014/main" id="{093A757D-3646-4EF6-ABB8-B07684E31E42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13</xdr:row>
      <xdr:rowOff>60960</xdr:rowOff>
    </xdr:from>
    <xdr:to>
      <xdr:col>10</xdr:col>
      <xdr:colOff>152400</xdr:colOff>
      <xdr:row>13</xdr:row>
      <xdr:rowOff>152400</xdr:rowOff>
    </xdr:to>
    <xdr:sp macro="" textlink="">
      <xdr:nvSpPr>
        <xdr:cNvPr id="10" name="Rectangle 1">
          <a:extLst>
            <a:ext uri="{FF2B5EF4-FFF2-40B4-BE49-F238E27FC236}">
              <a16:creationId xmlns:a16="http://schemas.microsoft.com/office/drawing/2014/main" id="{DA73D317-0E69-4721-B55D-E8B132F12CA8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13</xdr:row>
      <xdr:rowOff>60960</xdr:rowOff>
    </xdr:from>
    <xdr:to>
      <xdr:col>10</xdr:col>
      <xdr:colOff>906780</xdr:colOff>
      <xdr:row>13</xdr:row>
      <xdr:rowOff>152400</xdr:rowOff>
    </xdr:to>
    <xdr:sp macro="" textlink="">
      <xdr:nvSpPr>
        <xdr:cNvPr id="11" name="Rectangle 1">
          <a:extLst>
            <a:ext uri="{FF2B5EF4-FFF2-40B4-BE49-F238E27FC236}">
              <a16:creationId xmlns:a16="http://schemas.microsoft.com/office/drawing/2014/main" id="{0D8441A3-1CBA-4212-A220-BCBEF651FA93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14</xdr:row>
      <xdr:rowOff>60960</xdr:rowOff>
    </xdr:from>
    <xdr:to>
      <xdr:col>10</xdr:col>
      <xdr:colOff>152400</xdr:colOff>
      <xdr:row>14</xdr:row>
      <xdr:rowOff>152400</xdr:rowOff>
    </xdr:to>
    <xdr:sp macro="" textlink="">
      <xdr:nvSpPr>
        <xdr:cNvPr id="12" name="Rectangle 1">
          <a:extLst>
            <a:ext uri="{FF2B5EF4-FFF2-40B4-BE49-F238E27FC236}">
              <a16:creationId xmlns:a16="http://schemas.microsoft.com/office/drawing/2014/main" id="{69F208AE-A7BF-475E-9116-C30AC34F7574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14</xdr:row>
      <xdr:rowOff>60960</xdr:rowOff>
    </xdr:from>
    <xdr:to>
      <xdr:col>10</xdr:col>
      <xdr:colOff>906780</xdr:colOff>
      <xdr:row>14</xdr:row>
      <xdr:rowOff>152400</xdr:rowOff>
    </xdr:to>
    <xdr:sp macro="" textlink="">
      <xdr:nvSpPr>
        <xdr:cNvPr id="13" name="Rectangle 1">
          <a:extLst>
            <a:ext uri="{FF2B5EF4-FFF2-40B4-BE49-F238E27FC236}">
              <a16:creationId xmlns:a16="http://schemas.microsoft.com/office/drawing/2014/main" id="{1773D315-080B-494E-9426-A9EB02755F2D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15</xdr:row>
      <xdr:rowOff>60960</xdr:rowOff>
    </xdr:from>
    <xdr:to>
      <xdr:col>10</xdr:col>
      <xdr:colOff>152400</xdr:colOff>
      <xdr:row>15</xdr:row>
      <xdr:rowOff>152400</xdr:rowOff>
    </xdr:to>
    <xdr:sp macro="" textlink="">
      <xdr:nvSpPr>
        <xdr:cNvPr id="14" name="Rectangle 1">
          <a:extLst>
            <a:ext uri="{FF2B5EF4-FFF2-40B4-BE49-F238E27FC236}">
              <a16:creationId xmlns:a16="http://schemas.microsoft.com/office/drawing/2014/main" id="{88B3ABD3-3C22-4ADF-A203-A806D9108C22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15</xdr:row>
      <xdr:rowOff>60960</xdr:rowOff>
    </xdr:from>
    <xdr:to>
      <xdr:col>10</xdr:col>
      <xdr:colOff>906780</xdr:colOff>
      <xdr:row>15</xdr:row>
      <xdr:rowOff>152400</xdr:rowOff>
    </xdr:to>
    <xdr:sp macro="" textlink="">
      <xdr:nvSpPr>
        <xdr:cNvPr id="15" name="Rectangle 1">
          <a:extLst>
            <a:ext uri="{FF2B5EF4-FFF2-40B4-BE49-F238E27FC236}">
              <a16:creationId xmlns:a16="http://schemas.microsoft.com/office/drawing/2014/main" id="{6E244E6B-8267-4513-979F-16A4D8EABC73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16</xdr:row>
      <xdr:rowOff>60960</xdr:rowOff>
    </xdr:from>
    <xdr:to>
      <xdr:col>10</xdr:col>
      <xdr:colOff>152400</xdr:colOff>
      <xdr:row>16</xdr:row>
      <xdr:rowOff>152400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C3BB0792-C49C-458F-B918-24B29F55CF8B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16</xdr:row>
      <xdr:rowOff>60960</xdr:rowOff>
    </xdr:from>
    <xdr:to>
      <xdr:col>10</xdr:col>
      <xdr:colOff>906780</xdr:colOff>
      <xdr:row>16</xdr:row>
      <xdr:rowOff>152400</xdr:rowOff>
    </xdr:to>
    <xdr:sp macro="" textlink="">
      <xdr:nvSpPr>
        <xdr:cNvPr id="17" name="Rectangle 1">
          <a:extLst>
            <a:ext uri="{FF2B5EF4-FFF2-40B4-BE49-F238E27FC236}">
              <a16:creationId xmlns:a16="http://schemas.microsoft.com/office/drawing/2014/main" id="{DC3E25A8-AC94-4C22-8299-04166852C365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17</xdr:row>
      <xdr:rowOff>60960</xdr:rowOff>
    </xdr:from>
    <xdr:to>
      <xdr:col>10</xdr:col>
      <xdr:colOff>152400</xdr:colOff>
      <xdr:row>17</xdr:row>
      <xdr:rowOff>152400</xdr:rowOff>
    </xdr:to>
    <xdr:sp macro="" textlink="">
      <xdr:nvSpPr>
        <xdr:cNvPr id="18" name="Rectangle 1">
          <a:extLst>
            <a:ext uri="{FF2B5EF4-FFF2-40B4-BE49-F238E27FC236}">
              <a16:creationId xmlns:a16="http://schemas.microsoft.com/office/drawing/2014/main" id="{CE0DA624-F9F4-4D55-ACB9-3AB365F45D56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17</xdr:row>
      <xdr:rowOff>60960</xdr:rowOff>
    </xdr:from>
    <xdr:to>
      <xdr:col>10</xdr:col>
      <xdr:colOff>906780</xdr:colOff>
      <xdr:row>17</xdr:row>
      <xdr:rowOff>152400</xdr:rowOff>
    </xdr:to>
    <xdr:sp macro="" textlink="">
      <xdr:nvSpPr>
        <xdr:cNvPr id="19" name="Rectangle 1">
          <a:extLst>
            <a:ext uri="{FF2B5EF4-FFF2-40B4-BE49-F238E27FC236}">
              <a16:creationId xmlns:a16="http://schemas.microsoft.com/office/drawing/2014/main" id="{8AC8E856-E277-4D54-8DF4-F080E73F8E05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18</xdr:row>
      <xdr:rowOff>60960</xdr:rowOff>
    </xdr:from>
    <xdr:to>
      <xdr:col>10</xdr:col>
      <xdr:colOff>152400</xdr:colOff>
      <xdr:row>18</xdr:row>
      <xdr:rowOff>152400</xdr:rowOff>
    </xdr:to>
    <xdr:sp macro="" textlink="">
      <xdr:nvSpPr>
        <xdr:cNvPr id="20" name="Rectangle 1">
          <a:extLst>
            <a:ext uri="{FF2B5EF4-FFF2-40B4-BE49-F238E27FC236}">
              <a16:creationId xmlns:a16="http://schemas.microsoft.com/office/drawing/2014/main" id="{A9607BA0-DC6B-4C79-B86E-5A878BE72FF6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18</xdr:row>
      <xdr:rowOff>60960</xdr:rowOff>
    </xdr:from>
    <xdr:to>
      <xdr:col>10</xdr:col>
      <xdr:colOff>906780</xdr:colOff>
      <xdr:row>18</xdr:row>
      <xdr:rowOff>152400</xdr:rowOff>
    </xdr:to>
    <xdr:sp macro="" textlink="">
      <xdr:nvSpPr>
        <xdr:cNvPr id="21" name="Rectangle 1">
          <a:extLst>
            <a:ext uri="{FF2B5EF4-FFF2-40B4-BE49-F238E27FC236}">
              <a16:creationId xmlns:a16="http://schemas.microsoft.com/office/drawing/2014/main" id="{D8ACFE32-96CB-440A-8E0D-4C9A7C92F89D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19</xdr:row>
      <xdr:rowOff>60960</xdr:rowOff>
    </xdr:from>
    <xdr:to>
      <xdr:col>10</xdr:col>
      <xdr:colOff>152400</xdr:colOff>
      <xdr:row>19</xdr:row>
      <xdr:rowOff>152400</xdr:rowOff>
    </xdr:to>
    <xdr:sp macro="" textlink="">
      <xdr:nvSpPr>
        <xdr:cNvPr id="22" name="Rectangle 1">
          <a:extLst>
            <a:ext uri="{FF2B5EF4-FFF2-40B4-BE49-F238E27FC236}">
              <a16:creationId xmlns:a16="http://schemas.microsoft.com/office/drawing/2014/main" id="{9D76AFC0-85E5-4511-8FDD-37E1191B6D21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19</xdr:row>
      <xdr:rowOff>60960</xdr:rowOff>
    </xdr:from>
    <xdr:to>
      <xdr:col>10</xdr:col>
      <xdr:colOff>906780</xdr:colOff>
      <xdr:row>19</xdr:row>
      <xdr:rowOff>152400</xdr:rowOff>
    </xdr:to>
    <xdr:sp macro="" textlink="">
      <xdr:nvSpPr>
        <xdr:cNvPr id="23" name="Rectangle 1">
          <a:extLst>
            <a:ext uri="{FF2B5EF4-FFF2-40B4-BE49-F238E27FC236}">
              <a16:creationId xmlns:a16="http://schemas.microsoft.com/office/drawing/2014/main" id="{23374ABA-6D27-4C6A-8F67-D50B8A7DDB61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20</xdr:row>
      <xdr:rowOff>60960</xdr:rowOff>
    </xdr:from>
    <xdr:to>
      <xdr:col>10</xdr:col>
      <xdr:colOff>152400</xdr:colOff>
      <xdr:row>20</xdr:row>
      <xdr:rowOff>152400</xdr:rowOff>
    </xdr:to>
    <xdr:sp macro="" textlink="">
      <xdr:nvSpPr>
        <xdr:cNvPr id="24" name="Rectangle 1">
          <a:extLst>
            <a:ext uri="{FF2B5EF4-FFF2-40B4-BE49-F238E27FC236}">
              <a16:creationId xmlns:a16="http://schemas.microsoft.com/office/drawing/2014/main" id="{58C2EC39-F3A4-4D0B-9798-4DAE55DE2647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20</xdr:row>
      <xdr:rowOff>60960</xdr:rowOff>
    </xdr:from>
    <xdr:to>
      <xdr:col>10</xdr:col>
      <xdr:colOff>906780</xdr:colOff>
      <xdr:row>20</xdr:row>
      <xdr:rowOff>152400</xdr:rowOff>
    </xdr:to>
    <xdr:sp macro="" textlink="">
      <xdr:nvSpPr>
        <xdr:cNvPr id="25" name="Rectangle 1">
          <a:extLst>
            <a:ext uri="{FF2B5EF4-FFF2-40B4-BE49-F238E27FC236}">
              <a16:creationId xmlns:a16="http://schemas.microsoft.com/office/drawing/2014/main" id="{D288DCB3-8F47-4C34-9530-E0CBE807D8EB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21</xdr:row>
      <xdr:rowOff>60960</xdr:rowOff>
    </xdr:from>
    <xdr:to>
      <xdr:col>10</xdr:col>
      <xdr:colOff>152400</xdr:colOff>
      <xdr:row>21</xdr:row>
      <xdr:rowOff>152400</xdr:rowOff>
    </xdr:to>
    <xdr:sp macro="" textlink="">
      <xdr:nvSpPr>
        <xdr:cNvPr id="26" name="Rectangle 1">
          <a:extLst>
            <a:ext uri="{FF2B5EF4-FFF2-40B4-BE49-F238E27FC236}">
              <a16:creationId xmlns:a16="http://schemas.microsoft.com/office/drawing/2014/main" id="{9E9148C4-23DE-4E08-B575-1C622BBF0D71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21</xdr:row>
      <xdr:rowOff>60960</xdr:rowOff>
    </xdr:from>
    <xdr:to>
      <xdr:col>10</xdr:col>
      <xdr:colOff>906780</xdr:colOff>
      <xdr:row>21</xdr:row>
      <xdr:rowOff>152400</xdr:rowOff>
    </xdr:to>
    <xdr:sp macro="" textlink="">
      <xdr:nvSpPr>
        <xdr:cNvPr id="27" name="Rectangle 1">
          <a:extLst>
            <a:ext uri="{FF2B5EF4-FFF2-40B4-BE49-F238E27FC236}">
              <a16:creationId xmlns:a16="http://schemas.microsoft.com/office/drawing/2014/main" id="{D85E7A7E-4CEB-4EAC-9AFA-2BC922CB5187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22</xdr:row>
      <xdr:rowOff>60960</xdr:rowOff>
    </xdr:from>
    <xdr:to>
      <xdr:col>10</xdr:col>
      <xdr:colOff>152400</xdr:colOff>
      <xdr:row>22</xdr:row>
      <xdr:rowOff>152400</xdr:rowOff>
    </xdr:to>
    <xdr:sp macro="" textlink="">
      <xdr:nvSpPr>
        <xdr:cNvPr id="28" name="Rectangle 1">
          <a:extLst>
            <a:ext uri="{FF2B5EF4-FFF2-40B4-BE49-F238E27FC236}">
              <a16:creationId xmlns:a16="http://schemas.microsoft.com/office/drawing/2014/main" id="{E0F5F754-B506-4F99-A257-1CDB7306DECD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22</xdr:row>
      <xdr:rowOff>60960</xdr:rowOff>
    </xdr:from>
    <xdr:to>
      <xdr:col>10</xdr:col>
      <xdr:colOff>906780</xdr:colOff>
      <xdr:row>22</xdr:row>
      <xdr:rowOff>152400</xdr:rowOff>
    </xdr:to>
    <xdr:sp macro="" textlink="">
      <xdr:nvSpPr>
        <xdr:cNvPr id="29" name="Rectangle 1">
          <a:extLst>
            <a:ext uri="{FF2B5EF4-FFF2-40B4-BE49-F238E27FC236}">
              <a16:creationId xmlns:a16="http://schemas.microsoft.com/office/drawing/2014/main" id="{12F55762-4E2A-496B-91B2-987B1A33D378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23</xdr:row>
      <xdr:rowOff>60960</xdr:rowOff>
    </xdr:from>
    <xdr:to>
      <xdr:col>10</xdr:col>
      <xdr:colOff>152400</xdr:colOff>
      <xdr:row>23</xdr:row>
      <xdr:rowOff>152400</xdr:rowOff>
    </xdr:to>
    <xdr:sp macro="" textlink="">
      <xdr:nvSpPr>
        <xdr:cNvPr id="30" name="Rectangle 1">
          <a:extLst>
            <a:ext uri="{FF2B5EF4-FFF2-40B4-BE49-F238E27FC236}">
              <a16:creationId xmlns:a16="http://schemas.microsoft.com/office/drawing/2014/main" id="{F58DAFE3-0387-4E8E-9BB2-ACF84CD66EBA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23</xdr:row>
      <xdr:rowOff>60960</xdr:rowOff>
    </xdr:from>
    <xdr:to>
      <xdr:col>10</xdr:col>
      <xdr:colOff>906780</xdr:colOff>
      <xdr:row>23</xdr:row>
      <xdr:rowOff>152400</xdr:rowOff>
    </xdr:to>
    <xdr:sp macro="" textlink="">
      <xdr:nvSpPr>
        <xdr:cNvPr id="31" name="Rectangle 1">
          <a:extLst>
            <a:ext uri="{FF2B5EF4-FFF2-40B4-BE49-F238E27FC236}">
              <a16:creationId xmlns:a16="http://schemas.microsoft.com/office/drawing/2014/main" id="{59DF5C3F-21B1-459F-9D86-6E802B3A1284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24</xdr:row>
      <xdr:rowOff>60960</xdr:rowOff>
    </xdr:from>
    <xdr:to>
      <xdr:col>10</xdr:col>
      <xdr:colOff>152400</xdr:colOff>
      <xdr:row>24</xdr:row>
      <xdr:rowOff>152400</xdr:rowOff>
    </xdr:to>
    <xdr:sp macro="" textlink="">
      <xdr:nvSpPr>
        <xdr:cNvPr id="32" name="Rectangle 1">
          <a:extLst>
            <a:ext uri="{FF2B5EF4-FFF2-40B4-BE49-F238E27FC236}">
              <a16:creationId xmlns:a16="http://schemas.microsoft.com/office/drawing/2014/main" id="{C31107E3-B359-4966-9D64-97413DDA6FE6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24</xdr:row>
      <xdr:rowOff>60960</xdr:rowOff>
    </xdr:from>
    <xdr:to>
      <xdr:col>10</xdr:col>
      <xdr:colOff>906780</xdr:colOff>
      <xdr:row>24</xdr:row>
      <xdr:rowOff>152400</xdr:rowOff>
    </xdr:to>
    <xdr:sp macro="" textlink="">
      <xdr:nvSpPr>
        <xdr:cNvPr id="33" name="Rectangle 1">
          <a:extLst>
            <a:ext uri="{FF2B5EF4-FFF2-40B4-BE49-F238E27FC236}">
              <a16:creationId xmlns:a16="http://schemas.microsoft.com/office/drawing/2014/main" id="{73C048A9-B2E8-4FA1-90D7-0CC9C3044C5E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25</xdr:row>
      <xdr:rowOff>60960</xdr:rowOff>
    </xdr:from>
    <xdr:to>
      <xdr:col>10</xdr:col>
      <xdr:colOff>152400</xdr:colOff>
      <xdr:row>25</xdr:row>
      <xdr:rowOff>152400</xdr:rowOff>
    </xdr:to>
    <xdr:sp macro="" textlink="">
      <xdr:nvSpPr>
        <xdr:cNvPr id="34" name="Rectangle 1">
          <a:extLst>
            <a:ext uri="{FF2B5EF4-FFF2-40B4-BE49-F238E27FC236}">
              <a16:creationId xmlns:a16="http://schemas.microsoft.com/office/drawing/2014/main" id="{DB6DE5F6-47F9-4677-A44E-54E912120693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25</xdr:row>
      <xdr:rowOff>60960</xdr:rowOff>
    </xdr:from>
    <xdr:to>
      <xdr:col>10</xdr:col>
      <xdr:colOff>906780</xdr:colOff>
      <xdr:row>25</xdr:row>
      <xdr:rowOff>152400</xdr:rowOff>
    </xdr:to>
    <xdr:sp macro="" textlink="">
      <xdr:nvSpPr>
        <xdr:cNvPr id="35" name="Rectangle 1">
          <a:extLst>
            <a:ext uri="{FF2B5EF4-FFF2-40B4-BE49-F238E27FC236}">
              <a16:creationId xmlns:a16="http://schemas.microsoft.com/office/drawing/2014/main" id="{720F7B84-915F-4DB1-87D2-8E59C51350F7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26</xdr:row>
      <xdr:rowOff>60960</xdr:rowOff>
    </xdr:from>
    <xdr:to>
      <xdr:col>10</xdr:col>
      <xdr:colOff>152400</xdr:colOff>
      <xdr:row>26</xdr:row>
      <xdr:rowOff>152400</xdr:rowOff>
    </xdr:to>
    <xdr:sp macro="" textlink="">
      <xdr:nvSpPr>
        <xdr:cNvPr id="36" name="Rectangle 1">
          <a:extLst>
            <a:ext uri="{FF2B5EF4-FFF2-40B4-BE49-F238E27FC236}">
              <a16:creationId xmlns:a16="http://schemas.microsoft.com/office/drawing/2014/main" id="{54858AD2-5E8E-4B69-999D-EBABE8B0302F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26</xdr:row>
      <xdr:rowOff>60960</xdr:rowOff>
    </xdr:from>
    <xdr:to>
      <xdr:col>10</xdr:col>
      <xdr:colOff>906780</xdr:colOff>
      <xdr:row>26</xdr:row>
      <xdr:rowOff>152400</xdr:rowOff>
    </xdr:to>
    <xdr:sp macro="" textlink="">
      <xdr:nvSpPr>
        <xdr:cNvPr id="37" name="Rectangle 1">
          <a:extLst>
            <a:ext uri="{FF2B5EF4-FFF2-40B4-BE49-F238E27FC236}">
              <a16:creationId xmlns:a16="http://schemas.microsoft.com/office/drawing/2014/main" id="{F792109A-AF44-449E-A799-EA622A77080D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27</xdr:row>
      <xdr:rowOff>60960</xdr:rowOff>
    </xdr:from>
    <xdr:to>
      <xdr:col>10</xdr:col>
      <xdr:colOff>152400</xdr:colOff>
      <xdr:row>27</xdr:row>
      <xdr:rowOff>152400</xdr:rowOff>
    </xdr:to>
    <xdr:sp macro="" textlink="">
      <xdr:nvSpPr>
        <xdr:cNvPr id="38" name="Rectangle 1">
          <a:extLst>
            <a:ext uri="{FF2B5EF4-FFF2-40B4-BE49-F238E27FC236}">
              <a16:creationId xmlns:a16="http://schemas.microsoft.com/office/drawing/2014/main" id="{71B34951-46C7-4CA6-9AC9-E9FBA7AC8CA8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27</xdr:row>
      <xdr:rowOff>60960</xdr:rowOff>
    </xdr:from>
    <xdr:to>
      <xdr:col>10</xdr:col>
      <xdr:colOff>906780</xdr:colOff>
      <xdr:row>27</xdr:row>
      <xdr:rowOff>152400</xdr:rowOff>
    </xdr:to>
    <xdr:sp macro="" textlink="">
      <xdr:nvSpPr>
        <xdr:cNvPr id="39" name="Rectangle 1">
          <a:extLst>
            <a:ext uri="{FF2B5EF4-FFF2-40B4-BE49-F238E27FC236}">
              <a16:creationId xmlns:a16="http://schemas.microsoft.com/office/drawing/2014/main" id="{7312B463-5BEC-485C-817A-6838E0714F6E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28</xdr:row>
      <xdr:rowOff>60960</xdr:rowOff>
    </xdr:from>
    <xdr:to>
      <xdr:col>10</xdr:col>
      <xdr:colOff>152400</xdr:colOff>
      <xdr:row>28</xdr:row>
      <xdr:rowOff>152400</xdr:rowOff>
    </xdr:to>
    <xdr:sp macro="" textlink="">
      <xdr:nvSpPr>
        <xdr:cNvPr id="40" name="Rectangle 1">
          <a:extLst>
            <a:ext uri="{FF2B5EF4-FFF2-40B4-BE49-F238E27FC236}">
              <a16:creationId xmlns:a16="http://schemas.microsoft.com/office/drawing/2014/main" id="{F7077892-B2A3-4BF5-A5D3-FE50848E50FF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28</xdr:row>
      <xdr:rowOff>60960</xdr:rowOff>
    </xdr:from>
    <xdr:to>
      <xdr:col>10</xdr:col>
      <xdr:colOff>906780</xdr:colOff>
      <xdr:row>28</xdr:row>
      <xdr:rowOff>152400</xdr:rowOff>
    </xdr:to>
    <xdr:sp macro="" textlink="">
      <xdr:nvSpPr>
        <xdr:cNvPr id="41" name="Rectangle 1">
          <a:extLst>
            <a:ext uri="{FF2B5EF4-FFF2-40B4-BE49-F238E27FC236}">
              <a16:creationId xmlns:a16="http://schemas.microsoft.com/office/drawing/2014/main" id="{88580310-C714-40BA-BF50-111FADB696B2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29</xdr:row>
      <xdr:rowOff>60960</xdr:rowOff>
    </xdr:from>
    <xdr:to>
      <xdr:col>10</xdr:col>
      <xdr:colOff>152400</xdr:colOff>
      <xdr:row>29</xdr:row>
      <xdr:rowOff>152400</xdr:rowOff>
    </xdr:to>
    <xdr:sp macro="" textlink="">
      <xdr:nvSpPr>
        <xdr:cNvPr id="42" name="Rectangle 1">
          <a:extLst>
            <a:ext uri="{FF2B5EF4-FFF2-40B4-BE49-F238E27FC236}">
              <a16:creationId xmlns:a16="http://schemas.microsoft.com/office/drawing/2014/main" id="{183F069F-14D6-42AD-959D-EF944953ED31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29</xdr:row>
      <xdr:rowOff>60960</xdr:rowOff>
    </xdr:from>
    <xdr:to>
      <xdr:col>10</xdr:col>
      <xdr:colOff>906780</xdr:colOff>
      <xdr:row>29</xdr:row>
      <xdr:rowOff>152400</xdr:rowOff>
    </xdr:to>
    <xdr:sp macro="" textlink="">
      <xdr:nvSpPr>
        <xdr:cNvPr id="43" name="Rectangle 1">
          <a:extLst>
            <a:ext uri="{FF2B5EF4-FFF2-40B4-BE49-F238E27FC236}">
              <a16:creationId xmlns:a16="http://schemas.microsoft.com/office/drawing/2014/main" id="{8C090159-5CCE-46AC-AC56-F3597DF75479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30</xdr:row>
      <xdr:rowOff>60960</xdr:rowOff>
    </xdr:from>
    <xdr:to>
      <xdr:col>10</xdr:col>
      <xdr:colOff>152400</xdr:colOff>
      <xdr:row>30</xdr:row>
      <xdr:rowOff>152400</xdr:rowOff>
    </xdr:to>
    <xdr:sp macro="" textlink="">
      <xdr:nvSpPr>
        <xdr:cNvPr id="44" name="Rectangle 1">
          <a:extLst>
            <a:ext uri="{FF2B5EF4-FFF2-40B4-BE49-F238E27FC236}">
              <a16:creationId xmlns:a16="http://schemas.microsoft.com/office/drawing/2014/main" id="{3082D20D-E40D-4C7A-8581-9C3438CB09EC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30</xdr:row>
      <xdr:rowOff>60960</xdr:rowOff>
    </xdr:from>
    <xdr:to>
      <xdr:col>10</xdr:col>
      <xdr:colOff>906780</xdr:colOff>
      <xdr:row>30</xdr:row>
      <xdr:rowOff>152400</xdr:rowOff>
    </xdr:to>
    <xdr:sp macro="" textlink="">
      <xdr:nvSpPr>
        <xdr:cNvPr id="45" name="Rectangle 1">
          <a:extLst>
            <a:ext uri="{FF2B5EF4-FFF2-40B4-BE49-F238E27FC236}">
              <a16:creationId xmlns:a16="http://schemas.microsoft.com/office/drawing/2014/main" id="{9F2A56C4-A8CD-4464-8F43-91813BDB8433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31</xdr:row>
      <xdr:rowOff>60960</xdr:rowOff>
    </xdr:from>
    <xdr:to>
      <xdr:col>10</xdr:col>
      <xdr:colOff>152400</xdr:colOff>
      <xdr:row>31</xdr:row>
      <xdr:rowOff>152400</xdr:rowOff>
    </xdr:to>
    <xdr:sp macro="" textlink="">
      <xdr:nvSpPr>
        <xdr:cNvPr id="46" name="Rectangle 1">
          <a:extLst>
            <a:ext uri="{FF2B5EF4-FFF2-40B4-BE49-F238E27FC236}">
              <a16:creationId xmlns:a16="http://schemas.microsoft.com/office/drawing/2014/main" id="{AAFB93FB-6F22-475A-BB45-DB12B95C22CE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31</xdr:row>
      <xdr:rowOff>60960</xdr:rowOff>
    </xdr:from>
    <xdr:to>
      <xdr:col>10</xdr:col>
      <xdr:colOff>906780</xdr:colOff>
      <xdr:row>31</xdr:row>
      <xdr:rowOff>152400</xdr:rowOff>
    </xdr:to>
    <xdr:sp macro="" textlink="">
      <xdr:nvSpPr>
        <xdr:cNvPr id="47" name="Rectangle 1">
          <a:extLst>
            <a:ext uri="{FF2B5EF4-FFF2-40B4-BE49-F238E27FC236}">
              <a16:creationId xmlns:a16="http://schemas.microsoft.com/office/drawing/2014/main" id="{DD726E34-8C27-4789-89BF-416CFCF270E3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32</xdr:row>
      <xdr:rowOff>60960</xdr:rowOff>
    </xdr:from>
    <xdr:to>
      <xdr:col>10</xdr:col>
      <xdr:colOff>152400</xdr:colOff>
      <xdr:row>32</xdr:row>
      <xdr:rowOff>152400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284D70CB-EC5B-4D2F-9896-2AB4EB650846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32</xdr:row>
      <xdr:rowOff>60960</xdr:rowOff>
    </xdr:from>
    <xdr:to>
      <xdr:col>10</xdr:col>
      <xdr:colOff>906780</xdr:colOff>
      <xdr:row>32</xdr:row>
      <xdr:rowOff>152400</xdr:rowOff>
    </xdr:to>
    <xdr:sp macro="" textlink="">
      <xdr:nvSpPr>
        <xdr:cNvPr id="49" name="Rectangle 1">
          <a:extLst>
            <a:ext uri="{FF2B5EF4-FFF2-40B4-BE49-F238E27FC236}">
              <a16:creationId xmlns:a16="http://schemas.microsoft.com/office/drawing/2014/main" id="{1E9C2A54-0B2D-4399-BAE7-F26AACE7832B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33</xdr:row>
      <xdr:rowOff>60960</xdr:rowOff>
    </xdr:from>
    <xdr:to>
      <xdr:col>10</xdr:col>
      <xdr:colOff>152400</xdr:colOff>
      <xdr:row>33</xdr:row>
      <xdr:rowOff>152400</xdr:rowOff>
    </xdr:to>
    <xdr:sp macro="" textlink="">
      <xdr:nvSpPr>
        <xdr:cNvPr id="50" name="Rectangle 1">
          <a:extLst>
            <a:ext uri="{FF2B5EF4-FFF2-40B4-BE49-F238E27FC236}">
              <a16:creationId xmlns:a16="http://schemas.microsoft.com/office/drawing/2014/main" id="{78EDCA5D-5F06-4750-8261-D297DF0AB3B1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33</xdr:row>
      <xdr:rowOff>60960</xdr:rowOff>
    </xdr:from>
    <xdr:to>
      <xdr:col>10</xdr:col>
      <xdr:colOff>906780</xdr:colOff>
      <xdr:row>33</xdr:row>
      <xdr:rowOff>152400</xdr:rowOff>
    </xdr:to>
    <xdr:sp macro="" textlink="">
      <xdr:nvSpPr>
        <xdr:cNvPr id="51" name="Rectangle 1">
          <a:extLst>
            <a:ext uri="{FF2B5EF4-FFF2-40B4-BE49-F238E27FC236}">
              <a16:creationId xmlns:a16="http://schemas.microsoft.com/office/drawing/2014/main" id="{664A8C30-61A8-46FD-999A-93EED0D63ADC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34</xdr:row>
      <xdr:rowOff>60960</xdr:rowOff>
    </xdr:from>
    <xdr:to>
      <xdr:col>10</xdr:col>
      <xdr:colOff>152400</xdr:colOff>
      <xdr:row>34</xdr:row>
      <xdr:rowOff>152400</xdr:rowOff>
    </xdr:to>
    <xdr:sp macro="" textlink="">
      <xdr:nvSpPr>
        <xdr:cNvPr id="52" name="Rectangle 1">
          <a:extLst>
            <a:ext uri="{FF2B5EF4-FFF2-40B4-BE49-F238E27FC236}">
              <a16:creationId xmlns:a16="http://schemas.microsoft.com/office/drawing/2014/main" id="{D6EF6DFF-7386-4204-9B6D-D9F3C5134D6E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34</xdr:row>
      <xdr:rowOff>60960</xdr:rowOff>
    </xdr:from>
    <xdr:to>
      <xdr:col>10</xdr:col>
      <xdr:colOff>906780</xdr:colOff>
      <xdr:row>34</xdr:row>
      <xdr:rowOff>152400</xdr:rowOff>
    </xdr:to>
    <xdr:sp macro="" textlink="">
      <xdr:nvSpPr>
        <xdr:cNvPr id="53" name="Rectangle 1">
          <a:extLst>
            <a:ext uri="{FF2B5EF4-FFF2-40B4-BE49-F238E27FC236}">
              <a16:creationId xmlns:a16="http://schemas.microsoft.com/office/drawing/2014/main" id="{00203C97-7EAA-406E-B1B8-202C0DE2C058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35</xdr:row>
      <xdr:rowOff>60960</xdr:rowOff>
    </xdr:from>
    <xdr:to>
      <xdr:col>10</xdr:col>
      <xdr:colOff>152400</xdr:colOff>
      <xdr:row>35</xdr:row>
      <xdr:rowOff>152400</xdr:rowOff>
    </xdr:to>
    <xdr:sp macro="" textlink="">
      <xdr:nvSpPr>
        <xdr:cNvPr id="54" name="Rectangle 1">
          <a:extLst>
            <a:ext uri="{FF2B5EF4-FFF2-40B4-BE49-F238E27FC236}">
              <a16:creationId xmlns:a16="http://schemas.microsoft.com/office/drawing/2014/main" id="{C2B36C83-7024-4ADA-9B2F-399839ADD586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35</xdr:row>
      <xdr:rowOff>60960</xdr:rowOff>
    </xdr:from>
    <xdr:to>
      <xdr:col>10</xdr:col>
      <xdr:colOff>906780</xdr:colOff>
      <xdr:row>35</xdr:row>
      <xdr:rowOff>152400</xdr:rowOff>
    </xdr:to>
    <xdr:sp macro="" textlink="">
      <xdr:nvSpPr>
        <xdr:cNvPr id="55" name="Rectangle 1">
          <a:extLst>
            <a:ext uri="{FF2B5EF4-FFF2-40B4-BE49-F238E27FC236}">
              <a16:creationId xmlns:a16="http://schemas.microsoft.com/office/drawing/2014/main" id="{8407A1BA-F2D6-4EEC-874A-1A8F4152C6BF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36</xdr:row>
      <xdr:rowOff>60960</xdr:rowOff>
    </xdr:from>
    <xdr:to>
      <xdr:col>10</xdr:col>
      <xdr:colOff>152400</xdr:colOff>
      <xdr:row>36</xdr:row>
      <xdr:rowOff>152400</xdr:rowOff>
    </xdr:to>
    <xdr:sp macro="" textlink="">
      <xdr:nvSpPr>
        <xdr:cNvPr id="56" name="Rectangle 1">
          <a:extLst>
            <a:ext uri="{FF2B5EF4-FFF2-40B4-BE49-F238E27FC236}">
              <a16:creationId xmlns:a16="http://schemas.microsoft.com/office/drawing/2014/main" id="{1ECC6CA6-354C-498D-A16C-A16F86F9B8B3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36</xdr:row>
      <xdr:rowOff>60960</xdr:rowOff>
    </xdr:from>
    <xdr:to>
      <xdr:col>10</xdr:col>
      <xdr:colOff>906780</xdr:colOff>
      <xdr:row>36</xdr:row>
      <xdr:rowOff>152400</xdr:rowOff>
    </xdr:to>
    <xdr:sp macro="" textlink="">
      <xdr:nvSpPr>
        <xdr:cNvPr id="57" name="Rectangle 1">
          <a:extLst>
            <a:ext uri="{FF2B5EF4-FFF2-40B4-BE49-F238E27FC236}">
              <a16:creationId xmlns:a16="http://schemas.microsoft.com/office/drawing/2014/main" id="{307F11FE-FC2E-47B5-988B-D365AEC59CDE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37</xdr:row>
      <xdr:rowOff>60960</xdr:rowOff>
    </xdr:from>
    <xdr:to>
      <xdr:col>10</xdr:col>
      <xdr:colOff>152400</xdr:colOff>
      <xdr:row>37</xdr:row>
      <xdr:rowOff>152400</xdr:rowOff>
    </xdr:to>
    <xdr:sp macro="" textlink="">
      <xdr:nvSpPr>
        <xdr:cNvPr id="58" name="Rectangle 1">
          <a:extLst>
            <a:ext uri="{FF2B5EF4-FFF2-40B4-BE49-F238E27FC236}">
              <a16:creationId xmlns:a16="http://schemas.microsoft.com/office/drawing/2014/main" id="{66F64DDF-5297-4409-AEEC-78BACDA7B69A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37</xdr:row>
      <xdr:rowOff>60960</xdr:rowOff>
    </xdr:from>
    <xdr:to>
      <xdr:col>10</xdr:col>
      <xdr:colOff>906780</xdr:colOff>
      <xdr:row>37</xdr:row>
      <xdr:rowOff>152400</xdr:rowOff>
    </xdr:to>
    <xdr:sp macro="" textlink="">
      <xdr:nvSpPr>
        <xdr:cNvPr id="59" name="Rectangle 1">
          <a:extLst>
            <a:ext uri="{FF2B5EF4-FFF2-40B4-BE49-F238E27FC236}">
              <a16:creationId xmlns:a16="http://schemas.microsoft.com/office/drawing/2014/main" id="{8D73379D-8721-440B-8ABD-F398D51D6511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38</xdr:row>
      <xdr:rowOff>60960</xdr:rowOff>
    </xdr:from>
    <xdr:to>
      <xdr:col>10</xdr:col>
      <xdr:colOff>152400</xdr:colOff>
      <xdr:row>38</xdr:row>
      <xdr:rowOff>152400</xdr:rowOff>
    </xdr:to>
    <xdr:sp macro="" textlink="">
      <xdr:nvSpPr>
        <xdr:cNvPr id="60" name="Rectangle 1">
          <a:extLst>
            <a:ext uri="{FF2B5EF4-FFF2-40B4-BE49-F238E27FC236}">
              <a16:creationId xmlns:a16="http://schemas.microsoft.com/office/drawing/2014/main" id="{A07F3083-C571-4962-9C4B-207AB08287B8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38</xdr:row>
      <xdr:rowOff>60960</xdr:rowOff>
    </xdr:from>
    <xdr:to>
      <xdr:col>10</xdr:col>
      <xdr:colOff>906780</xdr:colOff>
      <xdr:row>38</xdr:row>
      <xdr:rowOff>152400</xdr:rowOff>
    </xdr:to>
    <xdr:sp macro="" textlink="">
      <xdr:nvSpPr>
        <xdr:cNvPr id="61" name="Rectangle 1">
          <a:extLst>
            <a:ext uri="{FF2B5EF4-FFF2-40B4-BE49-F238E27FC236}">
              <a16:creationId xmlns:a16="http://schemas.microsoft.com/office/drawing/2014/main" id="{9530EFE8-5482-43E8-96EE-C33F83C5E13C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39</xdr:row>
      <xdr:rowOff>60960</xdr:rowOff>
    </xdr:from>
    <xdr:to>
      <xdr:col>10</xdr:col>
      <xdr:colOff>152400</xdr:colOff>
      <xdr:row>39</xdr:row>
      <xdr:rowOff>152400</xdr:rowOff>
    </xdr:to>
    <xdr:sp macro="" textlink="">
      <xdr:nvSpPr>
        <xdr:cNvPr id="62" name="Rectangle 1">
          <a:extLst>
            <a:ext uri="{FF2B5EF4-FFF2-40B4-BE49-F238E27FC236}">
              <a16:creationId xmlns:a16="http://schemas.microsoft.com/office/drawing/2014/main" id="{C6976DC7-C7B5-42AF-8937-C5E239AE54E5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39</xdr:row>
      <xdr:rowOff>60960</xdr:rowOff>
    </xdr:from>
    <xdr:to>
      <xdr:col>10</xdr:col>
      <xdr:colOff>906780</xdr:colOff>
      <xdr:row>39</xdr:row>
      <xdr:rowOff>152400</xdr:rowOff>
    </xdr:to>
    <xdr:sp macro="" textlink="">
      <xdr:nvSpPr>
        <xdr:cNvPr id="63" name="Rectangle 1">
          <a:extLst>
            <a:ext uri="{FF2B5EF4-FFF2-40B4-BE49-F238E27FC236}">
              <a16:creationId xmlns:a16="http://schemas.microsoft.com/office/drawing/2014/main" id="{47CEEB37-434A-4A7B-A308-69BF2EB52A4A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40</xdr:row>
      <xdr:rowOff>60960</xdr:rowOff>
    </xdr:from>
    <xdr:to>
      <xdr:col>10</xdr:col>
      <xdr:colOff>152400</xdr:colOff>
      <xdr:row>40</xdr:row>
      <xdr:rowOff>152400</xdr:rowOff>
    </xdr:to>
    <xdr:sp macro="" textlink="">
      <xdr:nvSpPr>
        <xdr:cNvPr id="64" name="Rectangle 1">
          <a:extLst>
            <a:ext uri="{FF2B5EF4-FFF2-40B4-BE49-F238E27FC236}">
              <a16:creationId xmlns:a16="http://schemas.microsoft.com/office/drawing/2014/main" id="{5003B00F-06F9-475E-B174-D2A883FBDAC8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40</xdr:row>
      <xdr:rowOff>60960</xdr:rowOff>
    </xdr:from>
    <xdr:to>
      <xdr:col>10</xdr:col>
      <xdr:colOff>906780</xdr:colOff>
      <xdr:row>40</xdr:row>
      <xdr:rowOff>152400</xdr:rowOff>
    </xdr:to>
    <xdr:sp macro="" textlink="">
      <xdr:nvSpPr>
        <xdr:cNvPr id="65" name="Rectangle 1">
          <a:extLst>
            <a:ext uri="{FF2B5EF4-FFF2-40B4-BE49-F238E27FC236}">
              <a16:creationId xmlns:a16="http://schemas.microsoft.com/office/drawing/2014/main" id="{A7A77F24-4608-4825-800B-0404C2D489D5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41</xdr:row>
      <xdr:rowOff>60960</xdr:rowOff>
    </xdr:from>
    <xdr:to>
      <xdr:col>10</xdr:col>
      <xdr:colOff>152400</xdr:colOff>
      <xdr:row>41</xdr:row>
      <xdr:rowOff>152400</xdr:rowOff>
    </xdr:to>
    <xdr:sp macro="" textlink="">
      <xdr:nvSpPr>
        <xdr:cNvPr id="66" name="Rectangle 1">
          <a:extLst>
            <a:ext uri="{FF2B5EF4-FFF2-40B4-BE49-F238E27FC236}">
              <a16:creationId xmlns:a16="http://schemas.microsoft.com/office/drawing/2014/main" id="{7A7965A1-AF9D-4BCB-8FCA-B777CC9D5CB3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41</xdr:row>
      <xdr:rowOff>60960</xdr:rowOff>
    </xdr:from>
    <xdr:to>
      <xdr:col>10</xdr:col>
      <xdr:colOff>906780</xdr:colOff>
      <xdr:row>41</xdr:row>
      <xdr:rowOff>152400</xdr:rowOff>
    </xdr:to>
    <xdr:sp macro="" textlink="">
      <xdr:nvSpPr>
        <xdr:cNvPr id="67" name="Rectangle 1">
          <a:extLst>
            <a:ext uri="{FF2B5EF4-FFF2-40B4-BE49-F238E27FC236}">
              <a16:creationId xmlns:a16="http://schemas.microsoft.com/office/drawing/2014/main" id="{0BAB22EB-A872-4179-8848-A0E16EFD7393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42</xdr:row>
      <xdr:rowOff>60960</xdr:rowOff>
    </xdr:from>
    <xdr:to>
      <xdr:col>10</xdr:col>
      <xdr:colOff>152400</xdr:colOff>
      <xdr:row>42</xdr:row>
      <xdr:rowOff>152400</xdr:rowOff>
    </xdr:to>
    <xdr:sp macro="" textlink="">
      <xdr:nvSpPr>
        <xdr:cNvPr id="68" name="Rectangle 1">
          <a:extLst>
            <a:ext uri="{FF2B5EF4-FFF2-40B4-BE49-F238E27FC236}">
              <a16:creationId xmlns:a16="http://schemas.microsoft.com/office/drawing/2014/main" id="{0228D460-E30E-40D4-9059-252249ACE333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42</xdr:row>
      <xdr:rowOff>60960</xdr:rowOff>
    </xdr:from>
    <xdr:to>
      <xdr:col>10</xdr:col>
      <xdr:colOff>906780</xdr:colOff>
      <xdr:row>42</xdr:row>
      <xdr:rowOff>152400</xdr:rowOff>
    </xdr:to>
    <xdr:sp macro="" textlink="">
      <xdr:nvSpPr>
        <xdr:cNvPr id="69" name="Rectangle 1">
          <a:extLst>
            <a:ext uri="{FF2B5EF4-FFF2-40B4-BE49-F238E27FC236}">
              <a16:creationId xmlns:a16="http://schemas.microsoft.com/office/drawing/2014/main" id="{8AF298CE-20A0-4D33-AC75-CA54E6FD423E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43</xdr:row>
      <xdr:rowOff>60960</xdr:rowOff>
    </xdr:from>
    <xdr:to>
      <xdr:col>10</xdr:col>
      <xdr:colOff>152400</xdr:colOff>
      <xdr:row>43</xdr:row>
      <xdr:rowOff>152400</xdr:rowOff>
    </xdr:to>
    <xdr:sp macro="" textlink="">
      <xdr:nvSpPr>
        <xdr:cNvPr id="70" name="Rectangle 1">
          <a:extLst>
            <a:ext uri="{FF2B5EF4-FFF2-40B4-BE49-F238E27FC236}">
              <a16:creationId xmlns:a16="http://schemas.microsoft.com/office/drawing/2014/main" id="{08A1B0ED-77BD-4840-84B2-5310DFC52D08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43</xdr:row>
      <xdr:rowOff>60960</xdr:rowOff>
    </xdr:from>
    <xdr:to>
      <xdr:col>10</xdr:col>
      <xdr:colOff>906780</xdr:colOff>
      <xdr:row>43</xdr:row>
      <xdr:rowOff>152400</xdr:rowOff>
    </xdr:to>
    <xdr:sp macro="" textlink="">
      <xdr:nvSpPr>
        <xdr:cNvPr id="71" name="Rectangle 1">
          <a:extLst>
            <a:ext uri="{FF2B5EF4-FFF2-40B4-BE49-F238E27FC236}">
              <a16:creationId xmlns:a16="http://schemas.microsoft.com/office/drawing/2014/main" id="{A6A0C9C6-EA92-49E8-BC32-BC49F133C69D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44</xdr:row>
      <xdr:rowOff>60960</xdr:rowOff>
    </xdr:from>
    <xdr:to>
      <xdr:col>10</xdr:col>
      <xdr:colOff>152400</xdr:colOff>
      <xdr:row>44</xdr:row>
      <xdr:rowOff>152400</xdr:rowOff>
    </xdr:to>
    <xdr:sp macro="" textlink="">
      <xdr:nvSpPr>
        <xdr:cNvPr id="72" name="Rectangle 1">
          <a:extLst>
            <a:ext uri="{FF2B5EF4-FFF2-40B4-BE49-F238E27FC236}">
              <a16:creationId xmlns:a16="http://schemas.microsoft.com/office/drawing/2014/main" id="{CF1ACD38-B1CD-4920-B7D7-A15090C33328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44</xdr:row>
      <xdr:rowOff>60960</xdr:rowOff>
    </xdr:from>
    <xdr:to>
      <xdr:col>10</xdr:col>
      <xdr:colOff>906780</xdr:colOff>
      <xdr:row>44</xdr:row>
      <xdr:rowOff>152400</xdr:rowOff>
    </xdr:to>
    <xdr:sp macro="" textlink="">
      <xdr:nvSpPr>
        <xdr:cNvPr id="73" name="Rectangle 1">
          <a:extLst>
            <a:ext uri="{FF2B5EF4-FFF2-40B4-BE49-F238E27FC236}">
              <a16:creationId xmlns:a16="http://schemas.microsoft.com/office/drawing/2014/main" id="{63DEB345-0D4B-46D8-A334-0D8080D6D991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45</xdr:row>
      <xdr:rowOff>60960</xdr:rowOff>
    </xdr:from>
    <xdr:to>
      <xdr:col>10</xdr:col>
      <xdr:colOff>152400</xdr:colOff>
      <xdr:row>45</xdr:row>
      <xdr:rowOff>152400</xdr:rowOff>
    </xdr:to>
    <xdr:sp macro="" textlink="">
      <xdr:nvSpPr>
        <xdr:cNvPr id="74" name="Rectangle 1">
          <a:extLst>
            <a:ext uri="{FF2B5EF4-FFF2-40B4-BE49-F238E27FC236}">
              <a16:creationId xmlns:a16="http://schemas.microsoft.com/office/drawing/2014/main" id="{B51BB93E-AD8B-4D47-8263-8752E6F395B9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45</xdr:row>
      <xdr:rowOff>60960</xdr:rowOff>
    </xdr:from>
    <xdr:to>
      <xdr:col>10</xdr:col>
      <xdr:colOff>906780</xdr:colOff>
      <xdr:row>45</xdr:row>
      <xdr:rowOff>152400</xdr:rowOff>
    </xdr:to>
    <xdr:sp macro="" textlink="">
      <xdr:nvSpPr>
        <xdr:cNvPr id="75" name="Rectangle 1">
          <a:extLst>
            <a:ext uri="{FF2B5EF4-FFF2-40B4-BE49-F238E27FC236}">
              <a16:creationId xmlns:a16="http://schemas.microsoft.com/office/drawing/2014/main" id="{4A8C44D8-2855-4916-9072-635D58661B66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46</xdr:row>
      <xdr:rowOff>60960</xdr:rowOff>
    </xdr:from>
    <xdr:to>
      <xdr:col>10</xdr:col>
      <xdr:colOff>152400</xdr:colOff>
      <xdr:row>46</xdr:row>
      <xdr:rowOff>152400</xdr:rowOff>
    </xdr:to>
    <xdr:sp macro="" textlink="">
      <xdr:nvSpPr>
        <xdr:cNvPr id="76" name="Rectangle 1">
          <a:extLst>
            <a:ext uri="{FF2B5EF4-FFF2-40B4-BE49-F238E27FC236}">
              <a16:creationId xmlns:a16="http://schemas.microsoft.com/office/drawing/2014/main" id="{63E2409F-D3E0-43F0-9D56-19BFBE6188D5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46</xdr:row>
      <xdr:rowOff>60960</xdr:rowOff>
    </xdr:from>
    <xdr:to>
      <xdr:col>10</xdr:col>
      <xdr:colOff>906780</xdr:colOff>
      <xdr:row>46</xdr:row>
      <xdr:rowOff>152400</xdr:rowOff>
    </xdr:to>
    <xdr:sp macro="" textlink="">
      <xdr:nvSpPr>
        <xdr:cNvPr id="77" name="Rectangle 1">
          <a:extLst>
            <a:ext uri="{FF2B5EF4-FFF2-40B4-BE49-F238E27FC236}">
              <a16:creationId xmlns:a16="http://schemas.microsoft.com/office/drawing/2014/main" id="{09601C90-CB65-497F-9656-DD71CA625FF4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47</xdr:row>
      <xdr:rowOff>60960</xdr:rowOff>
    </xdr:from>
    <xdr:to>
      <xdr:col>10</xdr:col>
      <xdr:colOff>152400</xdr:colOff>
      <xdr:row>47</xdr:row>
      <xdr:rowOff>152400</xdr:rowOff>
    </xdr:to>
    <xdr:sp macro="" textlink="">
      <xdr:nvSpPr>
        <xdr:cNvPr id="78" name="Rectangle 1">
          <a:extLst>
            <a:ext uri="{FF2B5EF4-FFF2-40B4-BE49-F238E27FC236}">
              <a16:creationId xmlns:a16="http://schemas.microsoft.com/office/drawing/2014/main" id="{394C64E4-8174-4402-9734-B7E31A84E8DC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47</xdr:row>
      <xdr:rowOff>60960</xdr:rowOff>
    </xdr:from>
    <xdr:to>
      <xdr:col>10</xdr:col>
      <xdr:colOff>906780</xdr:colOff>
      <xdr:row>47</xdr:row>
      <xdr:rowOff>152400</xdr:rowOff>
    </xdr:to>
    <xdr:sp macro="" textlink="">
      <xdr:nvSpPr>
        <xdr:cNvPr id="79" name="Rectangle 1">
          <a:extLst>
            <a:ext uri="{FF2B5EF4-FFF2-40B4-BE49-F238E27FC236}">
              <a16:creationId xmlns:a16="http://schemas.microsoft.com/office/drawing/2014/main" id="{65AE7579-4641-4CC7-9FB2-A7574D7C7C0F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48</xdr:row>
      <xdr:rowOff>60960</xdr:rowOff>
    </xdr:from>
    <xdr:to>
      <xdr:col>10</xdr:col>
      <xdr:colOff>152400</xdr:colOff>
      <xdr:row>48</xdr:row>
      <xdr:rowOff>152400</xdr:rowOff>
    </xdr:to>
    <xdr:sp macro="" textlink="">
      <xdr:nvSpPr>
        <xdr:cNvPr id="80" name="Rectangle 1">
          <a:extLst>
            <a:ext uri="{FF2B5EF4-FFF2-40B4-BE49-F238E27FC236}">
              <a16:creationId xmlns:a16="http://schemas.microsoft.com/office/drawing/2014/main" id="{7AB4E845-B814-4B19-BD91-B588BFA5EBB8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48</xdr:row>
      <xdr:rowOff>60960</xdr:rowOff>
    </xdr:from>
    <xdr:to>
      <xdr:col>10</xdr:col>
      <xdr:colOff>906780</xdr:colOff>
      <xdr:row>48</xdr:row>
      <xdr:rowOff>152400</xdr:rowOff>
    </xdr:to>
    <xdr:sp macro="" textlink="">
      <xdr:nvSpPr>
        <xdr:cNvPr id="81" name="Rectangle 1">
          <a:extLst>
            <a:ext uri="{FF2B5EF4-FFF2-40B4-BE49-F238E27FC236}">
              <a16:creationId xmlns:a16="http://schemas.microsoft.com/office/drawing/2014/main" id="{A051E3BE-F691-4BAB-8A51-C14C01C6C94B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49</xdr:row>
      <xdr:rowOff>60960</xdr:rowOff>
    </xdr:from>
    <xdr:to>
      <xdr:col>10</xdr:col>
      <xdr:colOff>152400</xdr:colOff>
      <xdr:row>49</xdr:row>
      <xdr:rowOff>152400</xdr:rowOff>
    </xdr:to>
    <xdr:sp macro="" textlink="">
      <xdr:nvSpPr>
        <xdr:cNvPr id="82" name="Rectangle 1">
          <a:extLst>
            <a:ext uri="{FF2B5EF4-FFF2-40B4-BE49-F238E27FC236}">
              <a16:creationId xmlns:a16="http://schemas.microsoft.com/office/drawing/2014/main" id="{7C999113-36FA-40DA-8216-57230EC8F37A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49</xdr:row>
      <xdr:rowOff>60960</xdr:rowOff>
    </xdr:from>
    <xdr:to>
      <xdr:col>10</xdr:col>
      <xdr:colOff>906780</xdr:colOff>
      <xdr:row>49</xdr:row>
      <xdr:rowOff>152400</xdr:rowOff>
    </xdr:to>
    <xdr:sp macro="" textlink="">
      <xdr:nvSpPr>
        <xdr:cNvPr id="83" name="Rectangle 1">
          <a:extLst>
            <a:ext uri="{FF2B5EF4-FFF2-40B4-BE49-F238E27FC236}">
              <a16:creationId xmlns:a16="http://schemas.microsoft.com/office/drawing/2014/main" id="{A2194393-2ADD-46F0-A2BD-B4069C400CBA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50</xdr:row>
      <xdr:rowOff>60960</xdr:rowOff>
    </xdr:from>
    <xdr:to>
      <xdr:col>10</xdr:col>
      <xdr:colOff>152400</xdr:colOff>
      <xdr:row>50</xdr:row>
      <xdr:rowOff>152400</xdr:rowOff>
    </xdr:to>
    <xdr:sp macro="" textlink="">
      <xdr:nvSpPr>
        <xdr:cNvPr id="84" name="Rectangle 1">
          <a:extLst>
            <a:ext uri="{FF2B5EF4-FFF2-40B4-BE49-F238E27FC236}">
              <a16:creationId xmlns:a16="http://schemas.microsoft.com/office/drawing/2014/main" id="{ECDC8936-3446-4E8E-8110-63666804F040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50</xdr:row>
      <xdr:rowOff>60960</xdr:rowOff>
    </xdr:from>
    <xdr:to>
      <xdr:col>10</xdr:col>
      <xdr:colOff>906780</xdr:colOff>
      <xdr:row>50</xdr:row>
      <xdr:rowOff>152400</xdr:rowOff>
    </xdr:to>
    <xdr:sp macro="" textlink="">
      <xdr:nvSpPr>
        <xdr:cNvPr id="85" name="Rectangle 1">
          <a:extLst>
            <a:ext uri="{FF2B5EF4-FFF2-40B4-BE49-F238E27FC236}">
              <a16:creationId xmlns:a16="http://schemas.microsoft.com/office/drawing/2014/main" id="{778CCD94-A819-416F-AC6B-1269AA5618D3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51</xdr:row>
      <xdr:rowOff>60960</xdr:rowOff>
    </xdr:from>
    <xdr:to>
      <xdr:col>10</xdr:col>
      <xdr:colOff>152400</xdr:colOff>
      <xdr:row>51</xdr:row>
      <xdr:rowOff>152400</xdr:rowOff>
    </xdr:to>
    <xdr:sp macro="" textlink="">
      <xdr:nvSpPr>
        <xdr:cNvPr id="86" name="Rectangle 1">
          <a:extLst>
            <a:ext uri="{FF2B5EF4-FFF2-40B4-BE49-F238E27FC236}">
              <a16:creationId xmlns:a16="http://schemas.microsoft.com/office/drawing/2014/main" id="{D29F9671-C595-44BA-9A39-37E1CEEDDD5D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51</xdr:row>
      <xdr:rowOff>60960</xdr:rowOff>
    </xdr:from>
    <xdr:to>
      <xdr:col>10</xdr:col>
      <xdr:colOff>906780</xdr:colOff>
      <xdr:row>51</xdr:row>
      <xdr:rowOff>152400</xdr:rowOff>
    </xdr:to>
    <xdr:sp macro="" textlink="">
      <xdr:nvSpPr>
        <xdr:cNvPr id="87" name="Rectangle 1">
          <a:extLst>
            <a:ext uri="{FF2B5EF4-FFF2-40B4-BE49-F238E27FC236}">
              <a16:creationId xmlns:a16="http://schemas.microsoft.com/office/drawing/2014/main" id="{707A801F-0D07-4B60-9F0B-CFC0CBF564A1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52</xdr:row>
      <xdr:rowOff>60960</xdr:rowOff>
    </xdr:from>
    <xdr:to>
      <xdr:col>10</xdr:col>
      <xdr:colOff>152400</xdr:colOff>
      <xdr:row>52</xdr:row>
      <xdr:rowOff>152400</xdr:rowOff>
    </xdr:to>
    <xdr:sp macro="" textlink="">
      <xdr:nvSpPr>
        <xdr:cNvPr id="88" name="Rectangle 1">
          <a:extLst>
            <a:ext uri="{FF2B5EF4-FFF2-40B4-BE49-F238E27FC236}">
              <a16:creationId xmlns:a16="http://schemas.microsoft.com/office/drawing/2014/main" id="{AB2BD7F7-F235-42A9-9F58-B7FF79196F36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52</xdr:row>
      <xdr:rowOff>60960</xdr:rowOff>
    </xdr:from>
    <xdr:to>
      <xdr:col>10</xdr:col>
      <xdr:colOff>906780</xdr:colOff>
      <xdr:row>52</xdr:row>
      <xdr:rowOff>152400</xdr:rowOff>
    </xdr:to>
    <xdr:sp macro="" textlink="">
      <xdr:nvSpPr>
        <xdr:cNvPr id="89" name="Rectangle 1">
          <a:extLst>
            <a:ext uri="{FF2B5EF4-FFF2-40B4-BE49-F238E27FC236}">
              <a16:creationId xmlns:a16="http://schemas.microsoft.com/office/drawing/2014/main" id="{B71C068B-D7E4-4F87-A308-33EED7661F22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53</xdr:row>
      <xdr:rowOff>60960</xdr:rowOff>
    </xdr:from>
    <xdr:to>
      <xdr:col>10</xdr:col>
      <xdr:colOff>152400</xdr:colOff>
      <xdr:row>53</xdr:row>
      <xdr:rowOff>152400</xdr:rowOff>
    </xdr:to>
    <xdr:sp macro="" textlink="">
      <xdr:nvSpPr>
        <xdr:cNvPr id="90" name="Rectangle 1">
          <a:extLst>
            <a:ext uri="{FF2B5EF4-FFF2-40B4-BE49-F238E27FC236}">
              <a16:creationId xmlns:a16="http://schemas.microsoft.com/office/drawing/2014/main" id="{D41A187D-C0CE-4E01-8CBD-F887827A77B9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53</xdr:row>
      <xdr:rowOff>60960</xdr:rowOff>
    </xdr:from>
    <xdr:to>
      <xdr:col>10</xdr:col>
      <xdr:colOff>906780</xdr:colOff>
      <xdr:row>53</xdr:row>
      <xdr:rowOff>152400</xdr:rowOff>
    </xdr:to>
    <xdr:sp macro="" textlink="">
      <xdr:nvSpPr>
        <xdr:cNvPr id="91" name="Rectangle 1">
          <a:extLst>
            <a:ext uri="{FF2B5EF4-FFF2-40B4-BE49-F238E27FC236}">
              <a16:creationId xmlns:a16="http://schemas.microsoft.com/office/drawing/2014/main" id="{8D74F0B4-EBAC-44C7-88E9-F67B73524FC4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60960</xdr:colOff>
      <xdr:row>9</xdr:row>
      <xdr:rowOff>60960</xdr:rowOff>
    </xdr:from>
    <xdr:to>
      <xdr:col>10</xdr:col>
      <xdr:colOff>152400</xdr:colOff>
      <xdr:row>9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F03D87D-002C-4435-B05F-2D072669BCF3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9</xdr:row>
      <xdr:rowOff>60960</xdr:rowOff>
    </xdr:from>
    <xdr:to>
      <xdr:col>10</xdr:col>
      <xdr:colOff>906780</xdr:colOff>
      <xdr:row>9</xdr:row>
      <xdr:rowOff>152400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CE9E7820-5B49-4370-8EC5-D1C08EA84BBF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10</xdr:row>
      <xdr:rowOff>60960</xdr:rowOff>
    </xdr:from>
    <xdr:to>
      <xdr:col>10</xdr:col>
      <xdr:colOff>152400</xdr:colOff>
      <xdr:row>10</xdr:row>
      <xdr:rowOff>152400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A2235EE9-93AA-4C26-83A0-780ACF80EAA5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10</xdr:row>
      <xdr:rowOff>60960</xdr:rowOff>
    </xdr:from>
    <xdr:to>
      <xdr:col>10</xdr:col>
      <xdr:colOff>906780</xdr:colOff>
      <xdr:row>10</xdr:row>
      <xdr:rowOff>152400</xdr:rowOff>
    </xdr:to>
    <xdr:sp macro="" textlink="">
      <xdr:nvSpPr>
        <xdr:cNvPr id="5" name="Rectangle 1">
          <a:extLst>
            <a:ext uri="{FF2B5EF4-FFF2-40B4-BE49-F238E27FC236}">
              <a16:creationId xmlns:a16="http://schemas.microsoft.com/office/drawing/2014/main" id="{52C67BDB-4CEA-48E8-8230-7303DAB595EE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11</xdr:row>
      <xdr:rowOff>60960</xdr:rowOff>
    </xdr:from>
    <xdr:to>
      <xdr:col>10</xdr:col>
      <xdr:colOff>152400</xdr:colOff>
      <xdr:row>11</xdr:row>
      <xdr:rowOff>152400</xdr:rowOff>
    </xdr:to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C85C4596-BFD7-4618-B7DA-E5773DC7CA82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11</xdr:row>
      <xdr:rowOff>60960</xdr:rowOff>
    </xdr:from>
    <xdr:to>
      <xdr:col>10</xdr:col>
      <xdr:colOff>906780</xdr:colOff>
      <xdr:row>11</xdr:row>
      <xdr:rowOff>152400</xdr:rowOff>
    </xdr:to>
    <xdr:sp macro="" textlink="">
      <xdr:nvSpPr>
        <xdr:cNvPr id="7" name="Rectangle 1">
          <a:extLst>
            <a:ext uri="{FF2B5EF4-FFF2-40B4-BE49-F238E27FC236}">
              <a16:creationId xmlns:a16="http://schemas.microsoft.com/office/drawing/2014/main" id="{FC10FBB4-F35C-4525-820C-1DE6334A95DA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12</xdr:row>
      <xdr:rowOff>60960</xdr:rowOff>
    </xdr:from>
    <xdr:to>
      <xdr:col>10</xdr:col>
      <xdr:colOff>152400</xdr:colOff>
      <xdr:row>12</xdr:row>
      <xdr:rowOff>152400</xdr:rowOff>
    </xdr:to>
    <xdr:sp macro="" textlink="">
      <xdr:nvSpPr>
        <xdr:cNvPr id="8" name="Rectangle 1">
          <a:extLst>
            <a:ext uri="{FF2B5EF4-FFF2-40B4-BE49-F238E27FC236}">
              <a16:creationId xmlns:a16="http://schemas.microsoft.com/office/drawing/2014/main" id="{8905B390-9ED8-41EA-8AE2-77364D47CD56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12</xdr:row>
      <xdr:rowOff>60960</xdr:rowOff>
    </xdr:from>
    <xdr:to>
      <xdr:col>10</xdr:col>
      <xdr:colOff>906780</xdr:colOff>
      <xdr:row>12</xdr:row>
      <xdr:rowOff>152400</xdr:rowOff>
    </xdr:to>
    <xdr:sp macro="" textlink="">
      <xdr:nvSpPr>
        <xdr:cNvPr id="9" name="Rectangle 1">
          <a:extLst>
            <a:ext uri="{FF2B5EF4-FFF2-40B4-BE49-F238E27FC236}">
              <a16:creationId xmlns:a16="http://schemas.microsoft.com/office/drawing/2014/main" id="{E6A708C2-AA5D-4619-95A6-2605B69FC691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13</xdr:row>
      <xdr:rowOff>60960</xdr:rowOff>
    </xdr:from>
    <xdr:to>
      <xdr:col>10</xdr:col>
      <xdr:colOff>152400</xdr:colOff>
      <xdr:row>13</xdr:row>
      <xdr:rowOff>152400</xdr:rowOff>
    </xdr:to>
    <xdr:sp macro="" textlink="">
      <xdr:nvSpPr>
        <xdr:cNvPr id="10" name="Rectangle 1">
          <a:extLst>
            <a:ext uri="{FF2B5EF4-FFF2-40B4-BE49-F238E27FC236}">
              <a16:creationId xmlns:a16="http://schemas.microsoft.com/office/drawing/2014/main" id="{99EDC7F8-F8A8-4A8E-9AC2-187385AF7ABD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13</xdr:row>
      <xdr:rowOff>60960</xdr:rowOff>
    </xdr:from>
    <xdr:to>
      <xdr:col>10</xdr:col>
      <xdr:colOff>906780</xdr:colOff>
      <xdr:row>13</xdr:row>
      <xdr:rowOff>152400</xdr:rowOff>
    </xdr:to>
    <xdr:sp macro="" textlink="">
      <xdr:nvSpPr>
        <xdr:cNvPr id="11" name="Rectangle 1">
          <a:extLst>
            <a:ext uri="{FF2B5EF4-FFF2-40B4-BE49-F238E27FC236}">
              <a16:creationId xmlns:a16="http://schemas.microsoft.com/office/drawing/2014/main" id="{62A14AF4-CF3A-4A3E-9E81-5485BF690734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14</xdr:row>
      <xdr:rowOff>60960</xdr:rowOff>
    </xdr:from>
    <xdr:to>
      <xdr:col>10</xdr:col>
      <xdr:colOff>152400</xdr:colOff>
      <xdr:row>14</xdr:row>
      <xdr:rowOff>152400</xdr:rowOff>
    </xdr:to>
    <xdr:sp macro="" textlink="">
      <xdr:nvSpPr>
        <xdr:cNvPr id="12" name="Rectangle 1">
          <a:extLst>
            <a:ext uri="{FF2B5EF4-FFF2-40B4-BE49-F238E27FC236}">
              <a16:creationId xmlns:a16="http://schemas.microsoft.com/office/drawing/2014/main" id="{223D11D3-C3D4-4A37-B00D-156E83115111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14</xdr:row>
      <xdr:rowOff>60960</xdr:rowOff>
    </xdr:from>
    <xdr:to>
      <xdr:col>10</xdr:col>
      <xdr:colOff>906780</xdr:colOff>
      <xdr:row>14</xdr:row>
      <xdr:rowOff>152400</xdr:rowOff>
    </xdr:to>
    <xdr:sp macro="" textlink="">
      <xdr:nvSpPr>
        <xdr:cNvPr id="13" name="Rectangle 1">
          <a:extLst>
            <a:ext uri="{FF2B5EF4-FFF2-40B4-BE49-F238E27FC236}">
              <a16:creationId xmlns:a16="http://schemas.microsoft.com/office/drawing/2014/main" id="{4CECEE03-AA91-4A5B-B10F-B80A232CBD08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15</xdr:row>
      <xdr:rowOff>60960</xdr:rowOff>
    </xdr:from>
    <xdr:to>
      <xdr:col>10</xdr:col>
      <xdr:colOff>152400</xdr:colOff>
      <xdr:row>15</xdr:row>
      <xdr:rowOff>152400</xdr:rowOff>
    </xdr:to>
    <xdr:sp macro="" textlink="">
      <xdr:nvSpPr>
        <xdr:cNvPr id="14" name="Rectangle 1">
          <a:extLst>
            <a:ext uri="{FF2B5EF4-FFF2-40B4-BE49-F238E27FC236}">
              <a16:creationId xmlns:a16="http://schemas.microsoft.com/office/drawing/2014/main" id="{BC126060-51FD-4ED6-B2E2-D88CE1FAAF1E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15</xdr:row>
      <xdr:rowOff>60960</xdr:rowOff>
    </xdr:from>
    <xdr:to>
      <xdr:col>10</xdr:col>
      <xdr:colOff>906780</xdr:colOff>
      <xdr:row>15</xdr:row>
      <xdr:rowOff>152400</xdr:rowOff>
    </xdr:to>
    <xdr:sp macro="" textlink="">
      <xdr:nvSpPr>
        <xdr:cNvPr id="15" name="Rectangle 1">
          <a:extLst>
            <a:ext uri="{FF2B5EF4-FFF2-40B4-BE49-F238E27FC236}">
              <a16:creationId xmlns:a16="http://schemas.microsoft.com/office/drawing/2014/main" id="{5CBB9579-A916-4397-B8F0-3202BF0CE36C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16</xdr:row>
      <xdr:rowOff>60960</xdr:rowOff>
    </xdr:from>
    <xdr:to>
      <xdr:col>10</xdr:col>
      <xdr:colOff>152400</xdr:colOff>
      <xdr:row>16</xdr:row>
      <xdr:rowOff>152400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5983660A-C071-42A7-90A3-9CB258E93816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16</xdr:row>
      <xdr:rowOff>60960</xdr:rowOff>
    </xdr:from>
    <xdr:to>
      <xdr:col>10</xdr:col>
      <xdr:colOff>906780</xdr:colOff>
      <xdr:row>16</xdr:row>
      <xdr:rowOff>152400</xdr:rowOff>
    </xdr:to>
    <xdr:sp macro="" textlink="">
      <xdr:nvSpPr>
        <xdr:cNvPr id="17" name="Rectangle 1">
          <a:extLst>
            <a:ext uri="{FF2B5EF4-FFF2-40B4-BE49-F238E27FC236}">
              <a16:creationId xmlns:a16="http://schemas.microsoft.com/office/drawing/2014/main" id="{497E8E97-5592-4C8A-9F83-83DEEE17E94A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17</xdr:row>
      <xdr:rowOff>60960</xdr:rowOff>
    </xdr:from>
    <xdr:to>
      <xdr:col>10</xdr:col>
      <xdr:colOff>152400</xdr:colOff>
      <xdr:row>17</xdr:row>
      <xdr:rowOff>152400</xdr:rowOff>
    </xdr:to>
    <xdr:sp macro="" textlink="">
      <xdr:nvSpPr>
        <xdr:cNvPr id="18" name="Rectangle 1">
          <a:extLst>
            <a:ext uri="{FF2B5EF4-FFF2-40B4-BE49-F238E27FC236}">
              <a16:creationId xmlns:a16="http://schemas.microsoft.com/office/drawing/2014/main" id="{62ED10F6-24F1-4CD2-87D7-812C3A751BC7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17</xdr:row>
      <xdr:rowOff>60960</xdr:rowOff>
    </xdr:from>
    <xdr:to>
      <xdr:col>10</xdr:col>
      <xdr:colOff>906780</xdr:colOff>
      <xdr:row>17</xdr:row>
      <xdr:rowOff>152400</xdr:rowOff>
    </xdr:to>
    <xdr:sp macro="" textlink="">
      <xdr:nvSpPr>
        <xdr:cNvPr id="19" name="Rectangle 1">
          <a:extLst>
            <a:ext uri="{FF2B5EF4-FFF2-40B4-BE49-F238E27FC236}">
              <a16:creationId xmlns:a16="http://schemas.microsoft.com/office/drawing/2014/main" id="{A7D1191E-B107-4D85-8200-D491E879AFD8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18</xdr:row>
      <xdr:rowOff>60960</xdr:rowOff>
    </xdr:from>
    <xdr:to>
      <xdr:col>10</xdr:col>
      <xdr:colOff>152400</xdr:colOff>
      <xdr:row>18</xdr:row>
      <xdr:rowOff>152400</xdr:rowOff>
    </xdr:to>
    <xdr:sp macro="" textlink="">
      <xdr:nvSpPr>
        <xdr:cNvPr id="20" name="Rectangle 1">
          <a:extLst>
            <a:ext uri="{FF2B5EF4-FFF2-40B4-BE49-F238E27FC236}">
              <a16:creationId xmlns:a16="http://schemas.microsoft.com/office/drawing/2014/main" id="{77177367-F4EC-42C1-8402-9DE16F52CCEB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18</xdr:row>
      <xdr:rowOff>60960</xdr:rowOff>
    </xdr:from>
    <xdr:to>
      <xdr:col>10</xdr:col>
      <xdr:colOff>906780</xdr:colOff>
      <xdr:row>18</xdr:row>
      <xdr:rowOff>152400</xdr:rowOff>
    </xdr:to>
    <xdr:sp macro="" textlink="">
      <xdr:nvSpPr>
        <xdr:cNvPr id="21" name="Rectangle 1">
          <a:extLst>
            <a:ext uri="{FF2B5EF4-FFF2-40B4-BE49-F238E27FC236}">
              <a16:creationId xmlns:a16="http://schemas.microsoft.com/office/drawing/2014/main" id="{BD24A03C-F86C-4957-92CE-B1269A10D5AA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19</xdr:row>
      <xdr:rowOff>60960</xdr:rowOff>
    </xdr:from>
    <xdr:to>
      <xdr:col>10</xdr:col>
      <xdr:colOff>152400</xdr:colOff>
      <xdr:row>19</xdr:row>
      <xdr:rowOff>152400</xdr:rowOff>
    </xdr:to>
    <xdr:sp macro="" textlink="">
      <xdr:nvSpPr>
        <xdr:cNvPr id="22" name="Rectangle 1">
          <a:extLst>
            <a:ext uri="{FF2B5EF4-FFF2-40B4-BE49-F238E27FC236}">
              <a16:creationId xmlns:a16="http://schemas.microsoft.com/office/drawing/2014/main" id="{4DFA171A-44E4-49AD-87B5-782D52A54FD2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19</xdr:row>
      <xdr:rowOff>60960</xdr:rowOff>
    </xdr:from>
    <xdr:to>
      <xdr:col>10</xdr:col>
      <xdr:colOff>906780</xdr:colOff>
      <xdr:row>19</xdr:row>
      <xdr:rowOff>152400</xdr:rowOff>
    </xdr:to>
    <xdr:sp macro="" textlink="">
      <xdr:nvSpPr>
        <xdr:cNvPr id="23" name="Rectangle 1">
          <a:extLst>
            <a:ext uri="{FF2B5EF4-FFF2-40B4-BE49-F238E27FC236}">
              <a16:creationId xmlns:a16="http://schemas.microsoft.com/office/drawing/2014/main" id="{752393C8-F740-42B5-85BD-D49254159931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20</xdr:row>
      <xdr:rowOff>60960</xdr:rowOff>
    </xdr:from>
    <xdr:to>
      <xdr:col>10</xdr:col>
      <xdr:colOff>152400</xdr:colOff>
      <xdr:row>20</xdr:row>
      <xdr:rowOff>152400</xdr:rowOff>
    </xdr:to>
    <xdr:sp macro="" textlink="">
      <xdr:nvSpPr>
        <xdr:cNvPr id="24" name="Rectangle 1">
          <a:extLst>
            <a:ext uri="{FF2B5EF4-FFF2-40B4-BE49-F238E27FC236}">
              <a16:creationId xmlns:a16="http://schemas.microsoft.com/office/drawing/2014/main" id="{71F7FA0B-422B-4BE1-9F97-9E16D4A290E6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20</xdr:row>
      <xdr:rowOff>60960</xdr:rowOff>
    </xdr:from>
    <xdr:to>
      <xdr:col>10</xdr:col>
      <xdr:colOff>906780</xdr:colOff>
      <xdr:row>20</xdr:row>
      <xdr:rowOff>152400</xdr:rowOff>
    </xdr:to>
    <xdr:sp macro="" textlink="">
      <xdr:nvSpPr>
        <xdr:cNvPr id="25" name="Rectangle 1">
          <a:extLst>
            <a:ext uri="{FF2B5EF4-FFF2-40B4-BE49-F238E27FC236}">
              <a16:creationId xmlns:a16="http://schemas.microsoft.com/office/drawing/2014/main" id="{C285A032-2725-4621-87DD-058E0B5C5BF9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21</xdr:row>
      <xdr:rowOff>60960</xdr:rowOff>
    </xdr:from>
    <xdr:to>
      <xdr:col>10</xdr:col>
      <xdr:colOff>152400</xdr:colOff>
      <xdr:row>21</xdr:row>
      <xdr:rowOff>152400</xdr:rowOff>
    </xdr:to>
    <xdr:sp macro="" textlink="">
      <xdr:nvSpPr>
        <xdr:cNvPr id="26" name="Rectangle 1">
          <a:extLst>
            <a:ext uri="{FF2B5EF4-FFF2-40B4-BE49-F238E27FC236}">
              <a16:creationId xmlns:a16="http://schemas.microsoft.com/office/drawing/2014/main" id="{8F5EDF0A-5CBA-4262-9066-C48708917C81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21</xdr:row>
      <xdr:rowOff>60960</xdr:rowOff>
    </xdr:from>
    <xdr:to>
      <xdr:col>10</xdr:col>
      <xdr:colOff>906780</xdr:colOff>
      <xdr:row>21</xdr:row>
      <xdr:rowOff>152400</xdr:rowOff>
    </xdr:to>
    <xdr:sp macro="" textlink="">
      <xdr:nvSpPr>
        <xdr:cNvPr id="27" name="Rectangle 1">
          <a:extLst>
            <a:ext uri="{FF2B5EF4-FFF2-40B4-BE49-F238E27FC236}">
              <a16:creationId xmlns:a16="http://schemas.microsoft.com/office/drawing/2014/main" id="{BC75FBE2-6B91-4BBE-97D6-CDDB3B24EF47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22</xdr:row>
      <xdr:rowOff>60960</xdr:rowOff>
    </xdr:from>
    <xdr:to>
      <xdr:col>10</xdr:col>
      <xdr:colOff>152400</xdr:colOff>
      <xdr:row>22</xdr:row>
      <xdr:rowOff>152400</xdr:rowOff>
    </xdr:to>
    <xdr:sp macro="" textlink="">
      <xdr:nvSpPr>
        <xdr:cNvPr id="28" name="Rectangle 1">
          <a:extLst>
            <a:ext uri="{FF2B5EF4-FFF2-40B4-BE49-F238E27FC236}">
              <a16:creationId xmlns:a16="http://schemas.microsoft.com/office/drawing/2014/main" id="{BE59F0BC-B6BD-4358-8605-B327F84DD581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22</xdr:row>
      <xdr:rowOff>60960</xdr:rowOff>
    </xdr:from>
    <xdr:to>
      <xdr:col>10</xdr:col>
      <xdr:colOff>906780</xdr:colOff>
      <xdr:row>22</xdr:row>
      <xdr:rowOff>152400</xdr:rowOff>
    </xdr:to>
    <xdr:sp macro="" textlink="">
      <xdr:nvSpPr>
        <xdr:cNvPr id="29" name="Rectangle 1">
          <a:extLst>
            <a:ext uri="{FF2B5EF4-FFF2-40B4-BE49-F238E27FC236}">
              <a16:creationId xmlns:a16="http://schemas.microsoft.com/office/drawing/2014/main" id="{FD37A96E-5B10-429C-BF2B-88C0AC6AE0A3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23</xdr:row>
      <xdr:rowOff>60960</xdr:rowOff>
    </xdr:from>
    <xdr:to>
      <xdr:col>10</xdr:col>
      <xdr:colOff>152400</xdr:colOff>
      <xdr:row>23</xdr:row>
      <xdr:rowOff>152400</xdr:rowOff>
    </xdr:to>
    <xdr:sp macro="" textlink="">
      <xdr:nvSpPr>
        <xdr:cNvPr id="30" name="Rectangle 1">
          <a:extLst>
            <a:ext uri="{FF2B5EF4-FFF2-40B4-BE49-F238E27FC236}">
              <a16:creationId xmlns:a16="http://schemas.microsoft.com/office/drawing/2014/main" id="{863F695F-6B68-4977-BB18-152931F7243D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23</xdr:row>
      <xdr:rowOff>60960</xdr:rowOff>
    </xdr:from>
    <xdr:to>
      <xdr:col>10</xdr:col>
      <xdr:colOff>906780</xdr:colOff>
      <xdr:row>23</xdr:row>
      <xdr:rowOff>152400</xdr:rowOff>
    </xdr:to>
    <xdr:sp macro="" textlink="">
      <xdr:nvSpPr>
        <xdr:cNvPr id="31" name="Rectangle 1">
          <a:extLst>
            <a:ext uri="{FF2B5EF4-FFF2-40B4-BE49-F238E27FC236}">
              <a16:creationId xmlns:a16="http://schemas.microsoft.com/office/drawing/2014/main" id="{F87F0B29-9205-492A-9F23-1A5C11376BC5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24</xdr:row>
      <xdr:rowOff>60960</xdr:rowOff>
    </xdr:from>
    <xdr:to>
      <xdr:col>10</xdr:col>
      <xdr:colOff>152400</xdr:colOff>
      <xdr:row>24</xdr:row>
      <xdr:rowOff>152400</xdr:rowOff>
    </xdr:to>
    <xdr:sp macro="" textlink="">
      <xdr:nvSpPr>
        <xdr:cNvPr id="32" name="Rectangle 1">
          <a:extLst>
            <a:ext uri="{FF2B5EF4-FFF2-40B4-BE49-F238E27FC236}">
              <a16:creationId xmlns:a16="http://schemas.microsoft.com/office/drawing/2014/main" id="{90B826CE-695B-44D9-AF76-8236A968B06F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24</xdr:row>
      <xdr:rowOff>60960</xdr:rowOff>
    </xdr:from>
    <xdr:to>
      <xdr:col>10</xdr:col>
      <xdr:colOff>906780</xdr:colOff>
      <xdr:row>24</xdr:row>
      <xdr:rowOff>152400</xdr:rowOff>
    </xdr:to>
    <xdr:sp macro="" textlink="">
      <xdr:nvSpPr>
        <xdr:cNvPr id="33" name="Rectangle 1">
          <a:extLst>
            <a:ext uri="{FF2B5EF4-FFF2-40B4-BE49-F238E27FC236}">
              <a16:creationId xmlns:a16="http://schemas.microsoft.com/office/drawing/2014/main" id="{53DDF666-1AE8-43C4-9D21-3D2AD5AD76C4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25</xdr:row>
      <xdr:rowOff>60960</xdr:rowOff>
    </xdr:from>
    <xdr:to>
      <xdr:col>10</xdr:col>
      <xdr:colOff>152400</xdr:colOff>
      <xdr:row>25</xdr:row>
      <xdr:rowOff>152400</xdr:rowOff>
    </xdr:to>
    <xdr:sp macro="" textlink="">
      <xdr:nvSpPr>
        <xdr:cNvPr id="34" name="Rectangle 1">
          <a:extLst>
            <a:ext uri="{FF2B5EF4-FFF2-40B4-BE49-F238E27FC236}">
              <a16:creationId xmlns:a16="http://schemas.microsoft.com/office/drawing/2014/main" id="{D7C31544-35A3-4797-A225-A12A47811F46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25</xdr:row>
      <xdr:rowOff>60960</xdr:rowOff>
    </xdr:from>
    <xdr:to>
      <xdr:col>10</xdr:col>
      <xdr:colOff>906780</xdr:colOff>
      <xdr:row>25</xdr:row>
      <xdr:rowOff>152400</xdr:rowOff>
    </xdr:to>
    <xdr:sp macro="" textlink="">
      <xdr:nvSpPr>
        <xdr:cNvPr id="35" name="Rectangle 1">
          <a:extLst>
            <a:ext uri="{FF2B5EF4-FFF2-40B4-BE49-F238E27FC236}">
              <a16:creationId xmlns:a16="http://schemas.microsoft.com/office/drawing/2014/main" id="{99398101-5AF1-43A8-9456-650A47423818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26</xdr:row>
      <xdr:rowOff>60960</xdr:rowOff>
    </xdr:from>
    <xdr:to>
      <xdr:col>10</xdr:col>
      <xdr:colOff>152400</xdr:colOff>
      <xdr:row>26</xdr:row>
      <xdr:rowOff>152400</xdr:rowOff>
    </xdr:to>
    <xdr:sp macro="" textlink="">
      <xdr:nvSpPr>
        <xdr:cNvPr id="36" name="Rectangle 1">
          <a:extLst>
            <a:ext uri="{FF2B5EF4-FFF2-40B4-BE49-F238E27FC236}">
              <a16:creationId xmlns:a16="http://schemas.microsoft.com/office/drawing/2014/main" id="{7CB481A3-4E33-48EE-A227-6EF4B6BF3155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26</xdr:row>
      <xdr:rowOff>60960</xdr:rowOff>
    </xdr:from>
    <xdr:to>
      <xdr:col>10</xdr:col>
      <xdr:colOff>906780</xdr:colOff>
      <xdr:row>26</xdr:row>
      <xdr:rowOff>152400</xdr:rowOff>
    </xdr:to>
    <xdr:sp macro="" textlink="">
      <xdr:nvSpPr>
        <xdr:cNvPr id="37" name="Rectangle 1">
          <a:extLst>
            <a:ext uri="{FF2B5EF4-FFF2-40B4-BE49-F238E27FC236}">
              <a16:creationId xmlns:a16="http://schemas.microsoft.com/office/drawing/2014/main" id="{4C70D13A-CFC6-4691-BCC8-CF4964840448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27</xdr:row>
      <xdr:rowOff>60960</xdr:rowOff>
    </xdr:from>
    <xdr:to>
      <xdr:col>10</xdr:col>
      <xdr:colOff>152400</xdr:colOff>
      <xdr:row>27</xdr:row>
      <xdr:rowOff>152400</xdr:rowOff>
    </xdr:to>
    <xdr:sp macro="" textlink="">
      <xdr:nvSpPr>
        <xdr:cNvPr id="38" name="Rectangle 1">
          <a:extLst>
            <a:ext uri="{FF2B5EF4-FFF2-40B4-BE49-F238E27FC236}">
              <a16:creationId xmlns:a16="http://schemas.microsoft.com/office/drawing/2014/main" id="{B0F9D2AD-93F1-46FC-A02E-97F083E04C7B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27</xdr:row>
      <xdr:rowOff>60960</xdr:rowOff>
    </xdr:from>
    <xdr:to>
      <xdr:col>10</xdr:col>
      <xdr:colOff>906780</xdr:colOff>
      <xdr:row>27</xdr:row>
      <xdr:rowOff>152400</xdr:rowOff>
    </xdr:to>
    <xdr:sp macro="" textlink="">
      <xdr:nvSpPr>
        <xdr:cNvPr id="39" name="Rectangle 1">
          <a:extLst>
            <a:ext uri="{FF2B5EF4-FFF2-40B4-BE49-F238E27FC236}">
              <a16:creationId xmlns:a16="http://schemas.microsoft.com/office/drawing/2014/main" id="{F948368A-E718-48C1-BB73-3F4A5B324AA2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28</xdr:row>
      <xdr:rowOff>60960</xdr:rowOff>
    </xdr:from>
    <xdr:to>
      <xdr:col>10</xdr:col>
      <xdr:colOff>152400</xdr:colOff>
      <xdr:row>28</xdr:row>
      <xdr:rowOff>152400</xdr:rowOff>
    </xdr:to>
    <xdr:sp macro="" textlink="">
      <xdr:nvSpPr>
        <xdr:cNvPr id="40" name="Rectangle 1">
          <a:extLst>
            <a:ext uri="{FF2B5EF4-FFF2-40B4-BE49-F238E27FC236}">
              <a16:creationId xmlns:a16="http://schemas.microsoft.com/office/drawing/2014/main" id="{34F4B0C6-F051-4935-9564-22AC0F31D16C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28</xdr:row>
      <xdr:rowOff>60960</xdr:rowOff>
    </xdr:from>
    <xdr:to>
      <xdr:col>10</xdr:col>
      <xdr:colOff>906780</xdr:colOff>
      <xdr:row>28</xdr:row>
      <xdr:rowOff>152400</xdr:rowOff>
    </xdr:to>
    <xdr:sp macro="" textlink="">
      <xdr:nvSpPr>
        <xdr:cNvPr id="41" name="Rectangle 1">
          <a:extLst>
            <a:ext uri="{FF2B5EF4-FFF2-40B4-BE49-F238E27FC236}">
              <a16:creationId xmlns:a16="http://schemas.microsoft.com/office/drawing/2014/main" id="{62125C57-A5AB-4570-88D2-973E067EC4B1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29</xdr:row>
      <xdr:rowOff>60960</xdr:rowOff>
    </xdr:from>
    <xdr:to>
      <xdr:col>10</xdr:col>
      <xdr:colOff>152400</xdr:colOff>
      <xdr:row>29</xdr:row>
      <xdr:rowOff>152400</xdr:rowOff>
    </xdr:to>
    <xdr:sp macro="" textlink="">
      <xdr:nvSpPr>
        <xdr:cNvPr id="42" name="Rectangle 1">
          <a:extLst>
            <a:ext uri="{FF2B5EF4-FFF2-40B4-BE49-F238E27FC236}">
              <a16:creationId xmlns:a16="http://schemas.microsoft.com/office/drawing/2014/main" id="{2F324BEF-28F8-4B87-A9E3-A700444B6E18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29</xdr:row>
      <xdr:rowOff>60960</xdr:rowOff>
    </xdr:from>
    <xdr:to>
      <xdr:col>10</xdr:col>
      <xdr:colOff>906780</xdr:colOff>
      <xdr:row>29</xdr:row>
      <xdr:rowOff>152400</xdr:rowOff>
    </xdr:to>
    <xdr:sp macro="" textlink="">
      <xdr:nvSpPr>
        <xdr:cNvPr id="43" name="Rectangle 1">
          <a:extLst>
            <a:ext uri="{FF2B5EF4-FFF2-40B4-BE49-F238E27FC236}">
              <a16:creationId xmlns:a16="http://schemas.microsoft.com/office/drawing/2014/main" id="{715463A1-9C2D-4BC1-9A07-6281D50A32A2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30</xdr:row>
      <xdr:rowOff>60960</xdr:rowOff>
    </xdr:from>
    <xdr:to>
      <xdr:col>10</xdr:col>
      <xdr:colOff>152400</xdr:colOff>
      <xdr:row>30</xdr:row>
      <xdr:rowOff>152400</xdr:rowOff>
    </xdr:to>
    <xdr:sp macro="" textlink="">
      <xdr:nvSpPr>
        <xdr:cNvPr id="44" name="Rectangle 1">
          <a:extLst>
            <a:ext uri="{FF2B5EF4-FFF2-40B4-BE49-F238E27FC236}">
              <a16:creationId xmlns:a16="http://schemas.microsoft.com/office/drawing/2014/main" id="{22E13322-E246-4372-ADC6-AE2E6E3B1297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30</xdr:row>
      <xdr:rowOff>60960</xdr:rowOff>
    </xdr:from>
    <xdr:to>
      <xdr:col>10</xdr:col>
      <xdr:colOff>906780</xdr:colOff>
      <xdr:row>30</xdr:row>
      <xdr:rowOff>152400</xdr:rowOff>
    </xdr:to>
    <xdr:sp macro="" textlink="">
      <xdr:nvSpPr>
        <xdr:cNvPr id="45" name="Rectangle 1">
          <a:extLst>
            <a:ext uri="{FF2B5EF4-FFF2-40B4-BE49-F238E27FC236}">
              <a16:creationId xmlns:a16="http://schemas.microsoft.com/office/drawing/2014/main" id="{93FD484F-A4B4-457A-8C73-6FBA08AC1313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31</xdr:row>
      <xdr:rowOff>60960</xdr:rowOff>
    </xdr:from>
    <xdr:to>
      <xdr:col>10</xdr:col>
      <xdr:colOff>152400</xdr:colOff>
      <xdr:row>31</xdr:row>
      <xdr:rowOff>152400</xdr:rowOff>
    </xdr:to>
    <xdr:sp macro="" textlink="">
      <xdr:nvSpPr>
        <xdr:cNvPr id="46" name="Rectangle 1">
          <a:extLst>
            <a:ext uri="{FF2B5EF4-FFF2-40B4-BE49-F238E27FC236}">
              <a16:creationId xmlns:a16="http://schemas.microsoft.com/office/drawing/2014/main" id="{C1AFD0B8-253C-4B05-8AC4-BC1F65AEA646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31</xdr:row>
      <xdr:rowOff>60960</xdr:rowOff>
    </xdr:from>
    <xdr:to>
      <xdr:col>10</xdr:col>
      <xdr:colOff>906780</xdr:colOff>
      <xdr:row>31</xdr:row>
      <xdr:rowOff>152400</xdr:rowOff>
    </xdr:to>
    <xdr:sp macro="" textlink="">
      <xdr:nvSpPr>
        <xdr:cNvPr id="47" name="Rectangle 1">
          <a:extLst>
            <a:ext uri="{FF2B5EF4-FFF2-40B4-BE49-F238E27FC236}">
              <a16:creationId xmlns:a16="http://schemas.microsoft.com/office/drawing/2014/main" id="{78A620A9-701D-48AB-9FFF-6ADE7AF3A3D1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32</xdr:row>
      <xdr:rowOff>60960</xdr:rowOff>
    </xdr:from>
    <xdr:to>
      <xdr:col>10</xdr:col>
      <xdr:colOff>152400</xdr:colOff>
      <xdr:row>32</xdr:row>
      <xdr:rowOff>152400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59E32F2D-83BF-440D-9421-B588E2AEE8C5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32</xdr:row>
      <xdr:rowOff>60960</xdr:rowOff>
    </xdr:from>
    <xdr:to>
      <xdr:col>10</xdr:col>
      <xdr:colOff>906780</xdr:colOff>
      <xdr:row>32</xdr:row>
      <xdr:rowOff>152400</xdr:rowOff>
    </xdr:to>
    <xdr:sp macro="" textlink="">
      <xdr:nvSpPr>
        <xdr:cNvPr id="49" name="Rectangle 1">
          <a:extLst>
            <a:ext uri="{FF2B5EF4-FFF2-40B4-BE49-F238E27FC236}">
              <a16:creationId xmlns:a16="http://schemas.microsoft.com/office/drawing/2014/main" id="{91B4A4EF-2C4D-45BC-A8EB-FEFAD8945156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33</xdr:row>
      <xdr:rowOff>60960</xdr:rowOff>
    </xdr:from>
    <xdr:to>
      <xdr:col>10</xdr:col>
      <xdr:colOff>152400</xdr:colOff>
      <xdr:row>33</xdr:row>
      <xdr:rowOff>152400</xdr:rowOff>
    </xdr:to>
    <xdr:sp macro="" textlink="">
      <xdr:nvSpPr>
        <xdr:cNvPr id="50" name="Rectangle 1">
          <a:extLst>
            <a:ext uri="{FF2B5EF4-FFF2-40B4-BE49-F238E27FC236}">
              <a16:creationId xmlns:a16="http://schemas.microsoft.com/office/drawing/2014/main" id="{EB16C34C-0A17-40D9-B041-B7BDC0BF9BAA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33</xdr:row>
      <xdr:rowOff>60960</xdr:rowOff>
    </xdr:from>
    <xdr:to>
      <xdr:col>10</xdr:col>
      <xdr:colOff>906780</xdr:colOff>
      <xdr:row>33</xdr:row>
      <xdr:rowOff>152400</xdr:rowOff>
    </xdr:to>
    <xdr:sp macro="" textlink="">
      <xdr:nvSpPr>
        <xdr:cNvPr id="51" name="Rectangle 1">
          <a:extLst>
            <a:ext uri="{FF2B5EF4-FFF2-40B4-BE49-F238E27FC236}">
              <a16:creationId xmlns:a16="http://schemas.microsoft.com/office/drawing/2014/main" id="{2E079E25-7DB3-4697-B40E-E0630B1DEAC7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34</xdr:row>
      <xdr:rowOff>60960</xdr:rowOff>
    </xdr:from>
    <xdr:to>
      <xdr:col>10</xdr:col>
      <xdr:colOff>152400</xdr:colOff>
      <xdr:row>34</xdr:row>
      <xdr:rowOff>152400</xdr:rowOff>
    </xdr:to>
    <xdr:sp macro="" textlink="">
      <xdr:nvSpPr>
        <xdr:cNvPr id="52" name="Rectangle 1">
          <a:extLst>
            <a:ext uri="{FF2B5EF4-FFF2-40B4-BE49-F238E27FC236}">
              <a16:creationId xmlns:a16="http://schemas.microsoft.com/office/drawing/2014/main" id="{21C38AEA-1856-455C-9EB0-0D0B5D881B91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34</xdr:row>
      <xdr:rowOff>60960</xdr:rowOff>
    </xdr:from>
    <xdr:to>
      <xdr:col>10</xdr:col>
      <xdr:colOff>906780</xdr:colOff>
      <xdr:row>34</xdr:row>
      <xdr:rowOff>152400</xdr:rowOff>
    </xdr:to>
    <xdr:sp macro="" textlink="">
      <xdr:nvSpPr>
        <xdr:cNvPr id="53" name="Rectangle 1">
          <a:extLst>
            <a:ext uri="{FF2B5EF4-FFF2-40B4-BE49-F238E27FC236}">
              <a16:creationId xmlns:a16="http://schemas.microsoft.com/office/drawing/2014/main" id="{3109D2A7-8AD8-4149-A110-EE28F98E3016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35</xdr:row>
      <xdr:rowOff>60960</xdr:rowOff>
    </xdr:from>
    <xdr:to>
      <xdr:col>10</xdr:col>
      <xdr:colOff>152400</xdr:colOff>
      <xdr:row>35</xdr:row>
      <xdr:rowOff>152400</xdr:rowOff>
    </xdr:to>
    <xdr:sp macro="" textlink="">
      <xdr:nvSpPr>
        <xdr:cNvPr id="54" name="Rectangle 1">
          <a:extLst>
            <a:ext uri="{FF2B5EF4-FFF2-40B4-BE49-F238E27FC236}">
              <a16:creationId xmlns:a16="http://schemas.microsoft.com/office/drawing/2014/main" id="{5BA5727E-6CF0-433A-ADF1-91ACB7C60B55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35</xdr:row>
      <xdr:rowOff>60960</xdr:rowOff>
    </xdr:from>
    <xdr:to>
      <xdr:col>10</xdr:col>
      <xdr:colOff>906780</xdr:colOff>
      <xdr:row>35</xdr:row>
      <xdr:rowOff>152400</xdr:rowOff>
    </xdr:to>
    <xdr:sp macro="" textlink="">
      <xdr:nvSpPr>
        <xdr:cNvPr id="55" name="Rectangle 1">
          <a:extLst>
            <a:ext uri="{FF2B5EF4-FFF2-40B4-BE49-F238E27FC236}">
              <a16:creationId xmlns:a16="http://schemas.microsoft.com/office/drawing/2014/main" id="{2131BD56-3C9E-4EF1-B1B7-FBBF3E33A49B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36</xdr:row>
      <xdr:rowOff>60960</xdr:rowOff>
    </xdr:from>
    <xdr:to>
      <xdr:col>10</xdr:col>
      <xdr:colOff>152400</xdr:colOff>
      <xdr:row>36</xdr:row>
      <xdr:rowOff>152400</xdr:rowOff>
    </xdr:to>
    <xdr:sp macro="" textlink="">
      <xdr:nvSpPr>
        <xdr:cNvPr id="56" name="Rectangle 1">
          <a:extLst>
            <a:ext uri="{FF2B5EF4-FFF2-40B4-BE49-F238E27FC236}">
              <a16:creationId xmlns:a16="http://schemas.microsoft.com/office/drawing/2014/main" id="{EF7B9FA6-FBE9-4C45-9955-2DA49C976C2B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36</xdr:row>
      <xdr:rowOff>60960</xdr:rowOff>
    </xdr:from>
    <xdr:to>
      <xdr:col>10</xdr:col>
      <xdr:colOff>906780</xdr:colOff>
      <xdr:row>36</xdr:row>
      <xdr:rowOff>152400</xdr:rowOff>
    </xdr:to>
    <xdr:sp macro="" textlink="">
      <xdr:nvSpPr>
        <xdr:cNvPr id="57" name="Rectangle 1">
          <a:extLst>
            <a:ext uri="{FF2B5EF4-FFF2-40B4-BE49-F238E27FC236}">
              <a16:creationId xmlns:a16="http://schemas.microsoft.com/office/drawing/2014/main" id="{DA9BE4C5-D149-4511-8EC3-9DFB353E13E7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37</xdr:row>
      <xdr:rowOff>60960</xdr:rowOff>
    </xdr:from>
    <xdr:to>
      <xdr:col>10</xdr:col>
      <xdr:colOff>152400</xdr:colOff>
      <xdr:row>37</xdr:row>
      <xdr:rowOff>152400</xdr:rowOff>
    </xdr:to>
    <xdr:sp macro="" textlink="">
      <xdr:nvSpPr>
        <xdr:cNvPr id="58" name="Rectangle 1">
          <a:extLst>
            <a:ext uri="{FF2B5EF4-FFF2-40B4-BE49-F238E27FC236}">
              <a16:creationId xmlns:a16="http://schemas.microsoft.com/office/drawing/2014/main" id="{4376EB5B-8EED-4691-9160-28A8F7ABD7C2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37</xdr:row>
      <xdr:rowOff>60960</xdr:rowOff>
    </xdr:from>
    <xdr:to>
      <xdr:col>10</xdr:col>
      <xdr:colOff>906780</xdr:colOff>
      <xdr:row>37</xdr:row>
      <xdr:rowOff>152400</xdr:rowOff>
    </xdr:to>
    <xdr:sp macro="" textlink="">
      <xdr:nvSpPr>
        <xdr:cNvPr id="59" name="Rectangle 1">
          <a:extLst>
            <a:ext uri="{FF2B5EF4-FFF2-40B4-BE49-F238E27FC236}">
              <a16:creationId xmlns:a16="http://schemas.microsoft.com/office/drawing/2014/main" id="{397CFD6A-E3DC-4EB9-9D34-A4B3A2305513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38</xdr:row>
      <xdr:rowOff>60960</xdr:rowOff>
    </xdr:from>
    <xdr:to>
      <xdr:col>10</xdr:col>
      <xdr:colOff>152400</xdr:colOff>
      <xdr:row>38</xdr:row>
      <xdr:rowOff>152400</xdr:rowOff>
    </xdr:to>
    <xdr:sp macro="" textlink="">
      <xdr:nvSpPr>
        <xdr:cNvPr id="60" name="Rectangle 1">
          <a:extLst>
            <a:ext uri="{FF2B5EF4-FFF2-40B4-BE49-F238E27FC236}">
              <a16:creationId xmlns:a16="http://schemas.microsoft.com/office/drawing/2014/main" id="{3DC88990-C4A4-4ADC-860F-F9314A363DE6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38</xdr:row>
      <xdr:rowOff>60960</xdr:rowOff>
    </xdr:from>
    <xdr:to>
      <xdr:col>10</xdr:col>
      <xdr:colOff>906780</xdr:colOff>
      <xdr:row>38</xdr:row>
      <xdr:rowOff>152400</xdr:rowOff>
    </xdr:to>
    <xdr:sp macro="" textlink="">
      <xdr:nvSpPr>
        <xdr:cNvPr id="61" name="Rectangle 1">
          <a:extLst>
            <a:ext uri="{FF2B5EF4-FFF2-40B4-BE49-F238E27FC236}">
              <a16:creationId xmlns:a16="http://schemas.microsoft.com/office/drawing/2014/main" id="{48971CA8-6675-4B80-9CF6-BF416A5CE681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39</xdr:row>
      <xdr:rowOff>60960</xdr:rowOff>
    </xdr:from>
    <xdr:to>
      <xdr:col>10</xdr:col>
      <xdr:colOff>152400</xdr:colOff>
      <xdr:row>39</xdr:row>
      <xdr:rowOff>152400</xdr:rowOff>
    </xdr:to>
    <xdr:sp macro="" textlink="">
      <xdr:nvSpPr>
        <xdr:cNvPr id="62" name="Rectangle 1">
          <a:extLst>
            <a:ext uri="{FF2B5EF4-FFF2-40B4-BE49-F238E27FC236}">
              <a16:creationId xmlns:a16="http://schemas.microsoft.com/office/drawing/2014/main" id="{C537F307-760E-4187-B41F-EA18936FC4FA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39</xdr:row>
      <xdr:rowOff>60960</xdr:rowOff>
    </xdr:from>
    <xdr:to>
      <xdr:col>10</xdr:col>
      <xdr:colOff>906780</xdr:colOff>
      <xdr:row>39</xdr:row>
      <xdr:rowOff>152400</xdr:rowOff>
    </xdr:to>
    <xdr:sp macro="" textlink="">
      <xdr:nvSpPr>
        <xdr:cNvPr id="63" name="Rectangle 1">
          <a:extLst>
            <a:ext uri="{FF2B5EF4-FFF2-40B4-BE49-F238E27FC236}">
              <a16:creationId xmlns:a16="http://schemas.microsoft.com/office/drawing/2014/main" id="{B8191C03-C9BC-4DAA-A6B6-07A9E4313ED9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40</xdr:row>
      <xdr:rowOff>60960</xdr:rowOff>
    </xdr:from>
    <xdr:to>
      <xdr:col>10</xdr:col>
      <xdr:colOff>152400</xdr:colOff>
      <xdr:row>40</xdr:row>
      <xdr:rowOff>152400</xdr:rowOff>
    </xdr:to>
    <xdr:sp macro="" textlink="">
      <xdr:nvSpPr>
        <xdr:cNvPr id="64" name="Rectangle 1">
          <a:extLst>
            <a:ext uri="{FF2B5EF4-FFF2-40B4-BE49-F238E27FC236}">
              <a16:creationId xmlns:a16="http://schemas.microsoft.com/office/drawing/2014/main" id="{D0C8FE2B-CF47-4254-AFAD-587136DCA44A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40</xdr:row>
      <xdr:rowOff>60960</xdr:rowOff>
    </xdr:from>
    <xdr:to>
      <xdr:col>10</xdr:col>
      <xdr:colOff>906780</xdr:colOff>
      <xdr:row>40</xdr:row>
      <xdr:rowOff>152400</xdr:rowOff>
    </xdr:to>
    <xdr:sp macro="" textlink="">
      <xdr:nvSpPr>
        <xdr:cNvPr id="65" name="Rectangle 1">
          <a:extLst>
            <a:ext uri="{FF2B5EF4-FFF2-40B4-BE49-F238E27FC236}">
              <a16:creationId xmlns:a16="http://schemas.microsoft.com/office/drawing/2014/main" id="{615A2405-F8A8-4897-8248-856F107DBC05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41</xdr:row>
      <xdr:rowOff>60960</xdr:rowOff>
    </xdr:from>
    <xdr:to>
      <xdr:col>10</xdr:col>
      <xdr:colOff>152400</xdr:colOff>
      <xdr:row>41</xdr:row>
      <xdr:rowOff>152400</xdr:rowOff>
    </xdr:to>
    <xdr:sp macro="" textlink="">
      <xdr:nvSpPr>
        <xdr:cNvPr id="66" name="Rectangle 1">
          <a:extLst>
            <a:ext uri="{FF2B5EF4-FFF2-40B4-BE49-F238E27FC236}">
              <a16:creationId xmlns:a16="http://schemas.microsoft.com/office/drawing/2014/main" id="{38B0B5DF-EF38-44DA-B2FB-757D7812F1B7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41</xdr:row>
      <xdr:rowOff>60960</xdr:rowOff>
    </xdr:from>
    <xdr:to>
      <xdr:col>10</xdr:col>
      <xdr:colOff>906780</xdr:colOff>
      <xdr:row>41</xdr:row>
      <xdr:rowOff>152400</xdr:rowOff>
    </xdr:to>
    <xdr:sp macro="" textlink="">
      <xdr:nvSpPr>
        <xdr:cNvPr id="67" name="Rectangle 1">
          <a:extLst>
            <a:ext uri="{FF2B5EF4-FFF2-40B4-BE49-F238E27FC236}">
              <a16:creationId xmlns:a16="http://schemas.microsoft.com/office/drawing/2014/main" id="{2167B362-11CF-4A69-8717-6D0E18B29BAA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42</xdr:row>
      <xdr:rowOff>60960</xdr:rowOff>
    </xdr:from>
    <xdr:to>
      <xdr:col>10</xdr:col>
      <xdr:colOff>152400</xdr:colOff>
      <xdr:row>42</xdr:row>
      <xdr:rowOff>152400</xdr:rowOff>
    </xdr:to>
    <xdr:sp macro="" textlink="">
      <xdr:nvSpPr>
        <xdr:cNvPr id="68" name="Rectangle 1">
          <a:extLst>
            <a:ext uri="{FF2B5EF4-FFF2-40B4-BE49-F238E27FC236}">
              <a16:creationId xmlns:a16="http://schemas.microsoft.com/office/drawing/2014/main" id="{2D508B5F-293E-4217-9799-943877E39CC5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42</xdr:row>
      <xdr:rowOff>60960</xdr:rowOff>
    </xdr:from>
    <xdr:to>
      <xdr:col>10</xdr:col>
      <xdr:colOff>906780</xdr:colOff>
      <xdr:row>42</xdr:row>
      <xdr:rowOff>152400</xdr:rowOff>
    </xdr:to>
    <xdr:sp macro="" textlink="">
      <xdr:nvSpPr>
        <xdr:cNvPr id="69" name="Rectangle 1">
          <a:extLst>
            <a:ext uri="{FF2B5EF4-FFF2-40B4-BE49-F238E27FC236}">
              <a16:creationId xmlns:a16="http://schemas.microsoft.com/office/drawing/2014/main" id="{EF6C671C-56BB-4F47-BB1E-837710F754DD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43</xdr:row>
      <xdr:rowOff>60960</xdr:rowOff>
    </xdr:from>
    <xdr:to>
      <xdr:col>10</xdr:col>
      <xdr:colOff>152400</xdr:colOff>
      <xdr:row>43</xdr:row>
      <xdr:rowOff>152400</xdr:rowOff>
    </xdr:to>
    <xdr:sp macro="" textlink="">
      <xdr:nvSpPr>
        <xdr:cNvPr id="70" name="Rectangle 1">
          <a:extLst>
            <a:ext uri="{FF2B5EF4-FFF2-40B4-BE49-F238E27FC236}">
              <a16:creationId xmlns:a16="http://schemas.microsoft.com/office/drawing/2014/main" id="{41101146-259D-49A5-B5BD-A32F05130876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43</xdr:row>
      <xdr:rowOff>60960</xdr:rowOff>
    </xdr:from>
    <xdr:to>
      <xdr:col>10</xdr:col>
      <xdr:colOff>906780</xdr:colOff>
      <xdr:row>43</xdr:row>
      <xdr:rowOff>152400</xdr:rowOff>
    </xdr:to>
    <xdr:sp macro="" textlink="">
      <xdr:nvSpPr>
        <xdr:cNvPr id="71" name="Rectangle 1">
          <a:extLst>
            <a:ext uri="{FF2B5EF4-FFF2-40B4-BE49-F238E27FC236}">
              <a16:creationId xmlns:a16="http://schemas.microsoft.com/office/drawing/2014/main" id="{80604F95-EF32-4540-9C11-A961456BA235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44</xdr:row>
      <xdr:rowOff>60960</xdr:rowOff>
    </xdr:from>
    <xdr:to>
      <xdr:col>10</xdr:col>
      <xdr:colOff>152400</xdr:colOff>
      <xdr:row>44</xdr:row>
      <xdr:rowOff>152400</xdr:rowOff>
    </xdr:to>
    <xdr:sp macro="" textlink="">
      <xdr:nvSpPr>
        <xdr:cNvPr id="72" name="Rectangle 1">
          <a:extLst>
            <a:ext uri="{FF2B5EF4-FFF2-40B4-BE49-F238E27FC236}">
              <a16:creationId xmlns:a16="http://schemas.microsoft.com/office/drawing/2014/main" id="{4C4D7DA5-F132-4DAD-99B1-D9E8890796DF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44</xdr:row>
      <xdr:rowOff>60960</xdr:rowOff>
    </xdr:from>
    <xdr:to>
      <xdr:col>10</xdr:col>
      <xdr:colOff>906780</xdr:colOff>
      <xdr:row>44</xdr:row>
      <xdr:rowOff>152400</xdr:rowOff>
    </xdr:to>
    <xdr:sp macro="" textlink="">
      <xdr:nvSpPr>
        <xdr:cNvPr id="73" name="Rectangle 1">
          <a:extLst>
            <a:ext uri="{FF2B5EF4-FFF2-40B4-BE49-F238E27FC236}">
              <a16:creationId xmlns:a16="http://schemas.microsoft.com/office/drawing/2014/main" id="{089339E1-7FB3-4BFD-9853-1F350FC04878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45</xdr:row>
      <xdr:rowOff>60960</xdr:rowOff>
    </xdr:from>
    <xdr:to>
      <xdr:col>10</xdr:col>
      <xdr:colOff>152400</xdr:colOff>
      <xdr:row>45</xdr:row>
      <xdr:rowOff>152400</xdr:rowOff>
    </xdr:to>
    <xdr:sp macro="" textlink="">
      <xdr:nvSpPr>
        <xdr:cNvPr id="74" name="Rectangle 1">
          <a:extLst>
            <a:ext uri="{FF2B5EF4-FFF2-40B4-BE49-F238E27FC236}">
              <a16:creationId xmlns:a16="http://schemas.microsoft.com/office/drawing/2014/main" id="{C04F58C0-62F8-4CE3-8FA5-1F35B0DD436A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45</xdr:row>
      <xdr:rowOff>60960</xdr:rowOff>
    </xdr:from>
    <xdr:to>
      <xdr:col>10</xdr:col>
      <xdr:colOff>906780</xdr:colOff>
      <xdr:row>45</xdr:row>
      <xdr:rowOff>152400</xdr:rowOff>
    </xdr:to>
    <xdr:sp macro="" textlink="">
      <xdr:nvSpPr>
        <xdr:cNvPr id="75" name="Rectangle 1">
          <a:extLst>
            <a:ext uri="{FF2B5EF4-FFF2-40B4-BE49-F238E27FC236}">
              <a16:creationId xmlns:a16="http://schemas.microsoft.com/office/drawing/2014/main" id="{03D1A069-EBC2-41E9-8334-782131EBAB05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46</xdr:row>
      <xdr:rowOff>60960</xdr:rowOff>
    </xdr:from>
    <xdr:to>
      <xdr:col>10</xdr:col>
      <xdr:colOff>152400</xdr:colOff>
      <xdr:row>46</xdr:row>
      <xdr:rowOff>152400</xdr:rowOff>
    </xdr:to>
    <xdr:sp macro="" textlink="">
      <xdr:nvSpPr>
        <xdr:cNvPr id="76" name="Rectangle 1">
          <a:extLst>
            <a:ext uri="{FF2B5EF4-FFF2-40B4-BE49-F238E27FC236}">
              <a16:creationId xmlns:a16="http://schemas.microsoft.com/office/drawing/2014/main" id="{E45319EC-6523-4BA8-BB3E-FE2A5B17AF67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46</xdr:row>
      <xdr:rowOff>60960</xdr:rowOff>
    </xdr:from>
    <xdr:to>
      <xdr:col>10</xdr:col>
      <xdr:colOff>906780</xdr:colOff>
      <xdr:row>46</xdr:row>
      <xdr:rowOff>152400</xdr:rowOff>
    </xdr:to>
    <xdr:sp macro="" textlink="">
      <xdr:nvSpPr>
        <xdr:cNvPr id="77" name="Rectangle 1">
          <a:extLst>
            <a:ext uri="{FF2B5EF4-FFF2-40B4-BE49-F238E27FC236}">
              <a16:creationId xmlns:a16="http://schemas.microsoft.com/office/drawing/2014/main" id="{C9D30B93-AEE5-48FB-B889-ACC1CE46EEAF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47</xdr:row>
      <xdr:rowOff>60960</xdr:rowOff>
    </xdr:from>
    <xdr:to>
      <xdr:col>10</xdr:col>
      <xdr:colOff>152400</xdr:colOff>
      <xdr:row>47</xdr:row>
      <xdr:rowOff>152400</xdr:rowOff>
    </xdr:to>
    <xdr:sp macro="" textlink="">
      <xdr:nvSpPr>
        <xdr:cNvPr id="78" name="Rectangle 1">
          <a:extLst>
            <a:ext uri="{FF2B5EF4-FFF2-40B4-BE49-F238E27FC236}">
              <a16:creationId xmlns:a16="http://schemas.microsoft.com/office/drawing/2014/main" id="{AD952D33-1752-4560-A176-9738775C1C2F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47</xdr:row>
      <xdr:rowOff>60960</xdr:rowOff>
    </xdr:from>
    <xdr:to>
      <xdr:col>10</xdr:col>
      <xdr:colOff>906780</xdr:colOff>
      <xdr:row>47</xdr:row>
      <xdr:rowOff>152400</xdr:rowOff>
    </xdr:to>
    <xdr:sp macro="" textlink="">
      <xdr:nvSpPr>
        <xdr:cNvPr id="79" name="Rectangle 1">
          <a:extLst>
            <a:ext uri="{FF2B5EF4-FFF2-40B4-BE49-F238E27FC236}">
              <a16:creationId xmlns:a16="http://schemas.microsoft.com/office/drawing/2014/main" id="{2A5CFA34-88CC-4E27-BDCE-53DD89C5442E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48</xdr:row>
      <xdr:rowOff>60960</xdr:rowOff>
    </xdr:from>
    <xdr:to>
      <xdr:col>10</xdr:col>
      <xdr:colOff>152400</xdr:colOff>
      <xdr:row>48</xdr:row>
      <xdr:rowOff>152400</xdr:rowOff>
    </xdr:to>
    <xdr:sp macro="" textlink="">
      <xdr:nvSpPr>
        <xdr:cNvPr id="80" name="Rectangle 1">
          <a:extLst>
            <a:ext uri="{FF2B5EF4-FFF2-40B4-BE49-F238E27FC236}">
              <a16:creationId xmlns:a16="http://schemas.microsoft.com/office/drawing/2014/main" id="{93F4DC0D-5A30-464E-BD63-BA6FEDA7292B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48</xdr:row>
      <xdr:rowOff>60960</xdr:rowOff>
    </xdr:from>
    <xdr:to>
      <xdr:col>10</xdr:col>
      <xdr:colOff>906780</xdr:colOff>
      <xdr:row>48</xdr:row>
      <xdr:rowOff>152400</xdr:rowOff>
    </xdr:to>
    <xdr:sp macro="" textlink="">
      <xdr:nvSpPr>
        <xdr:cNvPr id="81" name="Rectangle 1">
          <a:extLst>
            <a:ext uri="{FF2B5EF4-FFF2-40B4-BE49-F238E27FC236}">
              <a16:creationId xmlns:a16="http://schemas.microsoft.com/office/drawing/2014/main" id="{44B7475D-3C0A-4759-914F-36BE3E48A569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49</xdr:row>
      <xdr:rowOff>60960</xdr:rowOff>
    </xdr:from>
    <xdr:to>
      <xdr:col>10</xdr:col>
      <xdr:colOff>152400</xdr:colOff>
      <xdr:row>49</xdr:row>
      <xdr:rowOff>152400</xdr:rowOff>
    </xdr:to>
    <xdr:sp macro="" textlink="">
      <xdr:nvSpPr>
        <xdr:cNvPr id="82" name="Rectangle 1">
          <a:extLst>
            <a:ext uri="{FF2B5EF4-FFF2-40B4-BE49-F238E27FC236}">
              <a16:creationId xmlns:a16="http://schemas.microsoft.com/office/drawing/2014/main" id="{F1276C2C-CE87-4CBC-BEB3-78CC36AB25F4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49</xdr:row>
      <xdr:rowOff>60960</xdr:rowOff>
    </xdr:from>
    <xdr:to>
      <xdr:col>10</xdr:col>
      <xdr:colOff>906780</xdr:colOff>
      <xdr:row>49</xdr:row>
      <xdr:rowOff>152400</xdr:rowOff>
    </xdr:to>
    <xdr:sp macro="" textlink="">
      <xdr:nvSpPr>
        <xdr:cNvPr id="83" name="Rectangle 1">
          <a:extLst>
            <a:ext uri="{FF2B5EF4-FFF2-40B4-BE49-F238E27FC236}">
              <a16:creationId xmlns:a16="http://schemas.microsoft.com/office/drawing/2014/main" id="{235DDC10-7AA6-4CE8-A8C0-EC3F7C2A15F2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50</xdr:row>
      <xdr:rowOff>60960</xdr:rowOff>
    </xdr:from>
    <xdr:to>
      <xdr:col>10</xdr:col>
      <xdr:colOff>152400</xdr:colOff>
      <xdr:row>50</xdr:row>
      <xdr:rowOff>152400</xdr:rowOff>
    </xdr:to>
    <xdr:sp macro="" textlink="">
      <xdr:nvSpPr>
        <xdr:cNvPr id="84" name="Rectangle 1">
          <a:extLst>
            <a:ext uri="{FF2B5EF4-FFF2-40B4-BE49-F238E27FC236}">
              <a16:creationId xmlns:a16="http://schemas.microsoft.com/office/drawing/2014/main" id="{0C6E303B-F970-49A4-B5A9-07D690FBF95D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50</xdr:row>
      <xdr:rowOff>60960</xdr:rowOff>
    </xdr:from>
    <xdr:to>
      <xdr:col>10</xdr:col>
      <xdr:colOff>906780</xdr:colOff>
      <xdr:row>50</xdr:row>
      <xdr:rowOff>152400</xdr:rowOff>
    </xdr:to>
    <xdr:sp macro="" textlink="">
      <xdr:nvSpPr>
        <xdr:cNvPr id="85" name="Rectangle 1">
          <a:extLst>
            <a:ext uri="{FF2B5EF4-FFF2-40B4-BE49-F238E27FC236}">
              <a16:creationId xmlns:a16="http://schemas.microsoft.com/office/drawing/2014/main" id="{9588CF6D-AF89-49BD-ADB2-8E271F7AE88D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51</xdr:row>
      <xdr:rowOff>60960</xdr:rowOff>
    </xdr:from>
    <xdr:to>
      <xdr:col>10</xdr:col>
      <xdr:colOff>152400</xdr:colOff>
      <xdr:row>51</xdr:row>
      <xdr:rowOff>152400</xdr:rowOff>
    </xdr:to>
    <xdr:sp macro="" textlink="">
      <xdr:nvSpPr>
        <xdr:cNvPr id="86" name="Rectangle 1">
          <a:extLst>
            <a:ext uri="{FF2B5EF4-FFF2-40B4-BE49-F238E27FC236}">
              <a16:creationId xmlns:a16="http://schemas.microsoft.com/office/drawing/2014/main" id="{93272265-912B-4595-B32A-DC41C6083AEB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51</xdr:row>
      <xdr:rowOff>60960</xdr:rowOff>
    </xdr:from>
    <xdr:to>
      <xdr:col>10</xdr:col>
      <xdr:colOff>906780</xdr:colOff>
      <xdr:row>51</xdr:row>
      <xdr:rowOff>152400</xdr:rowOff>
    </xdr:to>
    <xdr:sp macro="" textlink="">
      <xdr:nvSpPr>
        <xdr:cNvPr id="87" name="Rectangle 1">
          <a:extLst>
            <a:ext uri="{FF2B5EF4-FFF2-40B4-BE49-F238E27FC236}">
              <a16:creationId xmlns:a16="http://schemas.microsoft.com/office/drawing/2014/main" id="{3DA9D365-73A6-416F-9367-0CDE5E818B3E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52</xdr:row>
      <xdr:rowOff>60960</xdr:rowOff>
    </xdr:from>
    <xdr:to>
      <xdr:col>10</xdr:col>
      <xdr:colOff>152400</xdr:colOff>
      <xdr:row>52</xdr:row>
      <xdr:rowOff>152400</xdr:rowOff>
    </xdr:to>
    <xdr:sp macro="" textlink="">
      <xdr:nvSpPr>
        <xdr:cNvPr id="88" name="Rectangle 1">
          <a:extLst>
            <a:ext uri="{FF2B5EF4-FFF2-40B4-BE49-F238E27FC236}">
              <a16:creationId xmlns:a16="http://schemas.microsoft.com/office/drawing/2014/main" id="{1A7EE9BA-B23F-48BF-B769-8782B12C4F7C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52</xdr:row>
      <xdr:rowOff>60960</xdr:rowOff>
    </xdr:from>
    <xdr:to>
      <xdr:col>10</xdr:col>
      <xdr:colOff>906780</xdr:colOff>
      <xdr:row>52</xdr:row>
      <xdr:rowOff>152400</xdr:rowOff>
    </xdr:to>
    <xdr:sp macro="" textlink="">
      <xdr:nvSpPr>
        <xdr:cNvPr id="89" name="Rectangle 1">
          <a:extLst>
            <a:ext uri="{FF2B5EF4-FFF2-40B4-BE49-F238E27FC236}">
              <a16:creationId xmlns:a16="http://schemas.microsoft.com/office/drawing/2014/main" id="{9740004F-72B8-4D88-921B-6197583272B4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53</xdr:row>
      <xdr:rowOff>60960</xdr:rowOff>
    </xdr:from>
    <xdr:to>
      <xdr:col>10</xdr:col>
      <xdr:colOff>152400</xdr:colOff>
      <xdr:row>53</xdr:row>
      <xdr:rowOff>152400</xdr:rowOff>
    </xdr:to>
    <xdr:sp macro="" textlink="">
      <xdr:nvSpPr>
        <xdr:cNvPr id="90" name="Rectangle 1">
          <a:extLst>
            <a:ext uri="{FF2B5EF4-FFF2-40B4-BE49-F238E27FC236}">
              <a16:creationId xmlns:a16="http://schemas.microsoft.com/office/drawing/2014/main" id="{594B0CB4-A096-41BF-B8E0-F34EA106434B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53</xdr:row>
      <xdr:rowOff>60960</xdr:rowOff>
    </xdr:from>
    <xdr:to>
      <xdr:col>10</xdr:col>
      <xdr:colOff>906780</xdr:colOff>
      <xdr:row>53</xdr:row>
      <xdr:rowOff>152400</xdr:rowOff>
    </xdr:to>
    <xdr:sp macro="" textlink="">
      <xdr:nvSpPr>
        <xdr:cNvPr id="91" name="Rectangle 1">
          <a:extLst>
            <a:ext uri="{FF2B5EF4-FFF2-40B4-BE49-F238E27FC236}">
              <a16:creationId xmlns:a16="http://schemas.microsoft.com/office/drawing/2014/main" id="{9689566B-A801-4050-9C62-C71911F71DD0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60960</xdr:colOff>
      <xdr:row>9</xdr:row>
      <xdr:rowOff>60960</xdr:rowOff>
    </xdr:from>
    <xdr:to>
      <xdr:col>10</xdr:col>
      <xdr:colOff>152400</xdr:colOff>
      <xdr:row>9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4D9A66E-23EA-4D7F-9950-90EEC859D408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9</xdr:row>
      <xdr:rowOff>60960</xdr:rowOff>
    </xdr:from>
    <xdr:to>
      <xdr:col>10</xdr:col>
      <xdr:colOff>906780</xdr:colOff>
      <xdr:row>9</xdr:row>
      <xdr:rowOff>152400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2108D013-D456-4352-9125-3EB1ED8E4A90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10</xdr:row>
      <xdr:rowOff>60960</xdr:rowOff>
    </xdr:from>
    <xdr:to>
      <xdr:col>10</xdr:col>
      <xdr:colOff>152400</xdr:colOff>
      <xdr:row>10</xdr:row>
      <xdr:rowOff>152400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BB4FB636-4ADC-4DE3-B3D2-12CC68FF04CF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10</xdr:row>
      <xdr:rowOff>60960</xdr:rowOff>
    </xdr:from>
    <xdr:to>
      <xdr:col>10</xdr:col>
      <xdr:colOff>906780</xdr:colOff>
      <xdr:row>10</xdr:row>
      <xdr:rowOff>152400</xdr:rowOff>
    </xdr:to>
    <xdr:sp macro="" textlink="">
      <xdr:nvSpPr>
        <xdr:cNvPr id="5" name="Rectangle 1">
          <a:extLst>
            <a:ext uri="{FF2B5EF4-FFF2-40B4-BE49-F238E27FC236}">
              <a16:creationId xmlns:a16="http://schemas.microsoft.com/office/drawing/2014/main" id="{06BA75DF-2346-46D6-8D4A-A546052C7EAC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11</xdr:row>
      <xdr:rowOff>60960</xdr:rowOff>
    </xdr:from>
    <xdr:to>
      <xdr:col>10</xdr:col>
      <xdr:colOff>152400</xdr:colOff>
      <xdr:row>11</xdr:row>
      <xdr:rowOff>152400</xdr:rowOff>
    </xdr:to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4DC0FD8D-C43E-44F7-BCCC-DB8EC4FD73BC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11</xdr:row>
      <xdr:rowOff>60960</xdr:rowOff>
    </xdr:from>
    <xdr:to>
      <xdr:col>10</xdr:col>
      <xdr:colOff>906780</xdr:colOff>
      <xdr:row>11</xdr:row>
      <xdr:rowOff>152400</xdr:rowOff>
    </xdr:to>
    <xdr:sp macro="" textlink="">
      <xdr:nvSpPr>
        <xdr:cNvPr id="7" name="Rectangle 1">
          <a:extLst>
            <a:ext uri="{FF2B5EF4-FFF2-40B4-BE49-F238E27FC236}">
              <a16:creationId xmlns:a16="http://schemas.microsoft.com/office/drawing/2014/main" id="{EAB05532-593F-484C-A2D8-1DFCC4236051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12</xdr:row>
      <xdr:rowOff>60960</xdr:rowOff>
    </xdr:from>
    <xdr:to>
      <xdr:col>10</xdr:col>
      <xdr:colOff>152400</xdr:colOff>
      <xdr:row>12</xdr:row>
      <xdr:rowOff>152400</xdr:rowOff>
    </xdr:to>
    <xdr:sp macro="" textlink="">
      <xdr:nvSpPr>
        <xdr:cNvPr id="8" name="Rectangle 1">
          <a:extLst>
            <a:ext uri="{FF2B5EF4-FFF2-40B4-BE49-F238E27FC236}">
              <a16:creationId xmlns:a16="http://schemas.microsoft.com/office/drawing/2014/main" id="{231A76A6-FF90-45C5-B083-1F19FA2A6913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12</xdr:row>
      <xdr:rowOff>60960</xdr:rowOff>
    </xdr:from>
    <xdr:to>
      <xdr:col>10</xdr:col>
      <xdr:colOff>906780</xdr:colOff>
      <xdr:row>12</xdr:row>
      <xdr:rowOff>152400</xdr:rowOff>
    </xdr:to>
    <xdr:sp macro="" textlink="">
      <xdr:nvSpPr>
        <xdr:cNvPr id="9" name="Rectangle 1">
          <a:extLst>
            <a:ext uri="{FF2B5EF4-FFF2-40B4-BE49-F238E27FC236}">
              <a16:creationId xmlns:a16="http://schemas.microsoft.com/office/drawing/2014/main" id="{A708866F-FD87-49AC-A52F-6A388DE27439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13</xdr:row>
      <xdr:rowOff>60960</xdr:rowOff>
    </xdr:from>
    <xdr:to>
      <xdr:col>10</xdr:col>
      <xdr:colOff>152400</xdr:colOff>
      <xdr:row>13</xdr:row>
      <xdr:rowOff>152400</xdr:rowOff>
    </xdr:to>
    <xdr:sp macro="" textlink="">
      <xdr:nvSpPr>
        <xdr:cNvPr id="10" name="Rectangle 1">
          <a:extLst>
            <a:ext uri="{FF2B5EF4-FFF2-40B4-BE49-F238E27FC236}">
              <a16:creationId xmlns:a16="http://schemas.microsoft.com/office/drawing/2014/main" id="{9075700E-F0C1-49C8-94B8-2BFACE9FC66F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13</xdr:row>
      <xdr:rowOff>60960</xdr:rowOff>
    </xdr:from>
    <xdr:to>
      <xdr:col>10</xdr:col>
      <xdr:colOff>906780</xdr:colOff>
      <xdr:row>13</xdr:row>
      <xdr:rowOff>152400</xdr:rowOff>
    </xdr:to>
    <xdr:sp macro="" textlink="">
      <xdr:nvSpPr>
        <xdr:cNvPr id="11" name="Rectangle 1">
          <a:extLst>
            <a:ext uri="{FF2B5EF4-FFF2-40B4-BE49-F238E27FC236}">
              <a16:creationId xmlns:a16="http://schemas.microsoft.com/office/drawing/2014/main" id="{5438FC70-412F-4995-8F5F-DDB846BAA476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14</xdr:row>
      <xdr:rowOff>60960</xdr:rowOff>
    </xdr:from>
    <xdr:to>
      <xdr:col>10</xdr:col>
      <xdr:colOff>152400</xdr:colOff>
      <xdr:row>14</xdr:row>
      <xdr:rowOff>152400</xdr:rowOff>
    </xdr:to>
    <xdr:sp macro="" textlink="">
      <xdr:nvSpPr>
        <xdr:cNvPr id="12" name="Rectangle 1">
          <a:extLst>
            <a:ext uri="{FF2B5EF4-FFF2-40B4-BE49-F238E27FC236}">
              <a16:creationId xmlns:a16="http://schemas.microsoft.com/office/drawing/2014/main" id="{E3625B44-F97D-4428-9D51-ACF99FEE2B90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14</xdr:row>
      <xdr:rowOff>60960</xdr:rowOff>
    </xdr:from>
    <xdr:to>
      <xdr:col>10</xdr:col>
      <xdr:colOff>906780</xdr:colOff>
      <xdr:row>14</xdr:row>
      <xdr:rowOff>152400</xdr:rowOff>
    </xdr:to>
    <xdr:sp macro="" textlink="">
      <xdr:nvSpPr>
        <xdr:cNvPr id="13" name="Rectangle 1">
          <a:extLst>
            <a:ext uri="{FF2B5EF4-FFF2-40B4-BE49-F238E27FC236}">
              <a16:creationId xmlns:a16="http://schemas.microsoft.com/office/drawing/2014/main" id="{83B507DF-F79B-42CC-9BE8-74F6C9343B71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15</xdr:row>
      <xdr:rowOff>60960</xdr:rowOff>
    </xdr:from>
    <xdr:to>
      <xdr:col>10</xdr:col>
      <xdr:colOff>152400</xdr:colOff>
      <xdr:row>15</xdr:row>
      <xdr:rowOff>152400</xdr:rowOff>
    </xdr:to>
    <xdr:sp macro="" textlink="">
      <xdr:nvSpPr>
        <xdr:cNvPr id="14" name="Rectangle 1">
          <a:extLst>
            <a:ext uri="{FF2B5EF4-FFF2-40B4-BE49-F238E27FC236}">
              <a16:creationId xmlns:a16="http://schemas.microsoft.com/office/drawing/2014/main" id="{E6B90C98-B0CE-4A38-AE78-2F8E40A82E5F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15</xdr:row>
      <xdr:rowOff>60960</xdr:rowOff>
    </xdr:from>
    <xdr:to>
      <xdr:col>10</xdr:col>
      <xdr:colOff>906780</xdr:colOff>
      <xdr:row>15</xdr:row>
      <xdr:rowOff>152400</xdr:rowOff>
    </xdr:to>
    <xdr:sp macro="" textlink="">
      <xdr:nvSpPr>
        <xdr:cNvPr id="15" name="Rectangle 1">
          <a:extLst>
            <a:ext uri="{FF2B5EF4-FFF2-40B4-BE49-F238E27FC236}">
              <a16:creationId xmlns:a16="http://schemas.microsoft.com/office/drawing/2014/main" id="{FEDD9403-C6E8-424C-B809-67F62882DEBB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16</xdr:row>
      <xdr:rowOff>60960</xdr:rowOff>
    </xdr:from>
    <xdr:to>
      <xdr:col>10</xdr:col>
      <xdr:colOff>152400</xdr:colOff>
      <xdr:row>16</xdr:row>
      <xdr:rowOff>152400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65F59450-CCB9-4410-A0BE-AE69F5788F81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16</xdr:row>
      <xdr:rowOff>60960</xdr:rowOff>
    </xdr:from>
    <xdr:to>
      <xdr:col>10</xdr:col>
      <xdr:colOff>906780</xdr:colOff>
      <xdr:row>16</xdr:row>
      <xdr:rowOff>152400</xdr:rowOff>
    </xdr:to>
    <xdr:sp macro="" textlink="">
      <xdr:nvSpPr>
        <xdr:cNvPr id="17" name="Rectangle 1">
          <a:extLst>
            <a:ext uri="{FF2B5EF4-FFF2-40B4-BE49-F238E27FC236}">
              <a16:creationId xmlns:a16="http://schemas.microsoft.com/office/drawing/2014/main" id="{41E65D43-4C46-486D-A3F5-73940CF67178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17</xdr:row>
      <xdr:rowOff>60960</xdr:rowOff>
    </xdr:from>
    <xdr:to>
      <xdr:col>10</xdr:col>
      <xdr:colOff>152400</xdr:colOff>
      <xdr:row>17</xdr:row>
      <xdr:rowOff>152400</xdr:rowOff>
    </xdr:to>
    <xdr:sp macro="" textlink="">
      <xdr:nvSpPr>
        <xdr:cNvPr id="18" name="Rectangle 1">
          <a:extLst>
            <a:ext uri="{FF2B5EF4-FFF2-40B4-BE49-F238E27FC236}">
              <a16:creationId xmlns:a16="http://schemas.microsoft.com/office/drawing/2014/main" id="{5BE47270-2D93-49D7-A9AF-1E19671611CE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17</xdr:row>
      <xdr:rowOff>60960</xdr:rowOff>
    </xdr:from>
    <xdr:to>
      <xdr:col>10</xdr:col>
      <xdr:colOff>906780</xdr:colOff>
      <xdr:row>17</xdr:row>
      <xdr:rowOff>152400</xdr:rowOff>
    </xdr:to>
    <xdr:sp macro="" textlink="">
      <xdr:nvSpPr>
        <xdr:cNvPr id="19" name="Rectangle 1">
          <a:extLst>
            <a:ext uri="{FF2B5EF4-FFF2-40B4-BE49-F238E27FC236}">
              <a16:creationId xmlns:a16="http://schemas.microsoft.com/office/drawing/2014/main" id="{1F86897C-A2FE-4E8B-AA8F-C9499F08A1DA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18</xdr:row>
      <xdr:rowOff>60960</xdr:rowOff>
    </xdr:from>
    <xdr:to>
      <xdr:col>10</xdr:col>
      <xdr:colOff>152400</xdr:colOff>
      <xdr:row>18</xdr:row>
      <xdr:rowOff>152400</xdr:rowOff>
    </xdr:to>
    <xdr:sp macro="" textlink="">
      <xdr:nvSpPr>
        <xdr:cNvPr id="20" name="Rectangle 1">
          <a:extLst>
            <a:ext uri="{FF2B5EF4-FFF2-40B4-BE49-F238E27FC236}">
              <a16:creationId xmlns:a16="http://schemas.microsoft.com/office/drawing/2014/main" id="{CE541979-2B05-49A5-A829-93B92987BBB3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18</xdr:row>
      <xdr:rowOff>60960</xdr:rowOff>
    </xdr:from>
    <xdr:to>
      <xdr:col>10</xdr:col>
      <xdr:colOff>906780</xdr:colOff>
      <xdr:row>18</xdr:row>
      <xdr:rowOff>152400</xdr:rowOff>
    </xdr:to>
    <xdr:sp macro="" textlink="">
      <xdr:nvSpPr>
        <xdr:cNvPr id="21" name="Rectangle 1">
          <a:extLst>
            <a:ext uri="{FF2B5EF4-FFF2-40B4-BE49-F238E27FC236}">
              <a16:creationId xmlns:a16="http://schemas.microsoft.com/office/drawing/2014/main" id="{EDCEFC2E-920E-4B27-8DD4-9480761B8B31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19</xdr:row>
      <xdr:rowOff>60960</xdr:rowOff>
    </xdr:from>
    <xdr:to>
      <xdr:col>10</xdr:col>
      <xdr:colOff>152400</xdr:colOff>
      <xdr:row>19</xdr:row>
      <xdr:rowOff>152400</xdr:rowOff>
    </xdr:to>
    <xdr:sp macro="" textlink="">
      <xdr:nvSpPr>
        <xdr:cNvPr id="22" name="Rectangle 1">
          <a:extLst>
            <a:ext uri="{FF2B5EF4-FFF2-40B4-BE49-F238E27FC236}">
              <a16:creationId xmlns:a16="http://schemas.microsoft.com/office/drawing/2014/main" id="{6275DE61-F174-4687-9911-90E08266B7B9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19</xdr:row>
      <xdr:rowOff>60960</xdr:rowOff>
    </xdr:from>
    <xdr:to>
      <xdr:col>10</xdr:col>
      <xdr:colOff>906780</xdr:colOff>
      <xdr:row>19</xdr:row>
      <xdr:rowOff>152400</xdr:rowOff>
    </xdr:to>
    <xdr:sp macro="" textlink="">
      <xdr:nvSpPr>
        <xdr:cNvPr id="23" name="Rectangle 1">
          <a:extLst>
            <a:ext uri="{FF2B5EF4-FFF2-40B4-BE49-F238E27FC236}">
              <a16:creationId xmlns:a16="http://schemas.microsoft.com/office/drawing/2014/main" id="{499EECED-0F69-4B2B-AB31-A7F9E3B2D5EF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20</xdr:row>
      <xdr:rowOff>60960</xdr:rowOff>
    </xdr:from>
    <xdr:to>
      <xdr:col>10</xdr:col>
      <xdr:colOff>152400</xdr:colOff>
      <xdr:row>20</xdr:row>
      <xdr:rowOff>152400</xdr:rowOff>
    </xdr:to>
    <xdr:sp macro="" textlink="">
      <xdr:nvSpPr>
        <xdr:cNvPr id="24" name="Rectangle 1">
          <a:extLst>
            <a:ext uri="{FF2B5EF4-FFF2-40B4-BE49-F238E27FC236}">
              <a16:creationId xmlns:a16="http://schemas.microsoft.com/office/drawing/2014/main" id="{B55CF990-B415-4F96-84D0-60F7A63CACA3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20</xdr:row>
      <xdr:rowOff>60960</xdr:rowOff>
    </xdr:from>
    <xdr:to>
      <xdr:col>10</xdr:col>
      <xdr:colOff>906780</xdr:colOff>
      <xdr:row>20</xdr:row>
      <xdr:rowOff>152400</xdr:rowOff>
    </xdr:to>
    <xdr:sp macro="" textlink="">
      <xdr:nvSpPr>
        <xdr:cNvPr id="25" name="Rectangle 1">
          <a:extLst>
            <a:ext uri="{FF2B5EF4-FFF2-40B4-BE49-F238E27FC236}">
              <a16:creationId xmlns:a16="http://schemas.microsoft.com/office/drawing/2014/main" id="{2FE1C03C-0057-4E68-A45B-75474CC6B939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21</xdr:row>
      <xdr:rowOff>60960</xdr:rowOff>
    </xdr:from>
    <xdr:to>
      <xdr:col>10</xdr:col>
      <xdr:colOff>152400</xdr:colOff>
      <xdr:row>21</xdr:row>
      <xdr:rowOff>152400</xdr:rowOff>
    </xdr:to>
    <xdr:sp macro="" textlink="">
      <xdr:nvSpPr>
        <xdr:cNvPr id="26" name="Rectangle 1">
          <a:extLst>
            <a:ext uri="{FF2B5EF4-FFF2-40B4-BE49-F238E27FC236}">
              <a16:creationId xmlns:a16="http://schemas.microsoft.com/office/drawing/2014/main" id="{EF41E222-7E7D-4E8D-8454-16C04A74261B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21</xdr:row>
      <xdr:rowOff>60960</xdr:rowOff>
    </xdr:from>
    <xdr:to>
      <xdr:col>10</xdr:col>
      <xdr:colOff>906780</xdr:colOff>
      <xdr:row>21</xdr:row>
      <xdr:rowOff>152400</xdr:rowOff>
    </xdr:to>
    <xdr:sp macro="" textlink="">
      <xdr:nvSpPr>
        <xdr:cNvPr id="27" name="Rectangle 1">
          <a:extLst>
            <a:ext uri="{FF2B5EF4-FFF2-40B4-BE49-F238E27FC236}">
              <a16:creationId xmlns:a16="http://schemas.microsoft.com/office/drawing/2014/main" id="{01733F18-CA97-482B-BD08-9E8F119CFEDF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22</xdr:row>
      <xdr:rowOff>60960</xdr:rowOff>
    </xdr:from>
    <xdr:to>
      <xdr:col>10</xdr:col>
      <xdr:colOff>152400</xdr:colOff>
      <xdr:row>22</xdr:row>
      <xdr:rowOff>152400</xdr:rowOff>
    </xdr:to>
    <xdr:sp macro="" textlink="">
      <xdr:nvSpPr>
        <xdr:cNvPr id="28" name="Rectangle 1">
          <a:extLst>
            <a:ext uri="{FF2B5EF4-FFF2-40B4-BE49-F238E27FC236}">
              <a16:creationId xmlns:a16="http://schemas.microsoft.com/office/drawing/2014/main" id="{52CFAAEB-2D65-4049-A661-2A2914A37F8D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22</xdr:row>
      <xdr:rowOff>60960</xdr:rowOff>
    </xdr:from>
    <xdr:to>
      <xdr:col>10</xdr:col>
      <xdr:colOff>906780</xdr:colOff>
      <xdr:row>22</xdr:row>
      <xdr:rowOff>152400</xdr:rowOff>
    </xdr:to>
    <xdr:sp macro="" textlink="">
      <xdr:nvSpPr>
        <xdr:cNvPr id="29" name="Rectangle 1">
          <a:extLst>
            <a:ext uri="{FF2B5EF4-FFF2-40B4-BE49-F238E27FC236}">
              <a16:creationId xmlns:a16="http://schemas.microsoft.com/office/drawing/2014/main" id="{42970757-5ADB-4D24-93CD-E20581C9DF81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23</xdr:row>
      <xdr:rowOff>60960</xdr:rowOff>
    </xdr:from>
    <xdr:to>
      <xdr:col>10</xdr:col>
      <xdr:colOff>152400</xdr:colOff>
      <xdr:row>23</xdr:row>
      <xdr:rowOff>152400</xdr:rowOff>
    </xdr:to>
    <xdr:sp macro="" textlink="">
      <xdr:nvSpPr>
        <xdr:cNvPr id="30" name="Rectangle 1">
          <a:extLst>
            <a:ext uri="{FF2B5EF4-FFF2-40B4-BE49-F238E27FC236}">
              <a16:creationId xmlns:a16="http://schemas.microsoft.com/office/drawing/2014/main" id="{08434FA0-3873-43E2-AD9E-D79685AE0CF8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23</xdr:row>
      <xdr:rowOff>60960</xdr:rowOff>
    </xdr:from>
    <xdr:to>
      <xdr:col>10</xdr:col>
      <xdr:colOff>906780</xdr:colOff>
      <xdr:row>23</xdr:row>
      <xdr:rowOff>152400</xdr:rowOff>
    </xdr:to>
    <xdr:sp macro="" textlink="">
      <xdr:nvSpPr>
        <xdr:cNvPr id="31" name="Rectangle 1">
          <a:extLst>
            <a:ext uri="{FF2B5EF4-FFF2-40B4-BE49-F238E27FC236}">
              <a16:creationId xmlns:a16="http://schemas.microsoft.com/office/drawing/2014/main" id="{52321853-3444-48D4-AB41-92ABD4120918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24</xdr:row>
      <xdr:rowOff>60960</xdr:rowOff>
    </xdr:from>
    <xdr:to>
      <xdr:col>10</xdr:col>
      <xdr:colOff>152400</xdr:colOff>
      <xdr:row>24</xdr:row>
      <xdr:rowOff>152400</xdr:rowOff>
    </xdr:to>
    <xdr:sp macro="" textlink="">
      <xdr:nvSpPr>
        <xdr:cNvPr id="32" name="Rectangle 1">
          <a:extLst>
            <a:ext uri="{FF2B5EF4-FFF2-40B4-BE49-F238E27FC236}">
              <a16:creationId xmlns:a16="http://schemas.microsoft.com/office/drawing/2014/main" id="{37AB2126-458D-4338-A03F-E04AD8581FBE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24</xdr:row>
      <xdr:rowOff>60960</xdr:rowOff>
    </xdr:from>
    <xdr:to>
      <xdr:col>10</xdr:col>
      <xdr:colOff>906780</xdr:colOff>
      <xdr:row>24</xdr:row>
      <xdr:rowOff>152400</xdr:rowOff>
    </xdr:to>
    <xdr:sp macro="" textlink="">
      <xdr:nvSpPr>
        <xdr:cNvPr id="33" name="Rectangle 1">
          <a:extLst>
            <a:ext uri="{FF2B5EF4-FFF2-40B4-BE49-F238E27FC236}">
              <a16:creationId xmlns:a16="http://schemas.microsoft.com/office/drawing/2014/main" id="{822B6417-20C0-4A5A-94A9-333B78581FD7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25</xdr:row>
      <xdr:rowOff>60960</xdr:rowOff>
    </xdr:from>
    <xdr:to>
      <xdr:col>10</xdr:col>
      <xdr:colOff>152400</xdr:colOff>
      <xdr:row>25</xdr:row>
      <xdr:rowOff>152400</xdr:rowOff>
    </xdr:to>
    <xdr:sp macro="" textlink="">
      <xdr:nvSpPr>
        <xdr:cNvPr id="34" name="Rectangle 1">
          <a:extLst>
            <a:ext uri="{FF2B5EF4-FFF2-40B4-BE49-F238E27FC236}">
              <a16:creationId xmlns:a16="http://schemas.microsoft.com/office/drawing/2014/main" id="{DE592439-4A1B-4DC3-8D84-163D9E418E8E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25</xdr:row>
      <xdr:rowOff>60960</xdr:rowOff>
    </xdr:from>
    <xdr:to>
      <xdr:col>10</xdr:col>
      <xdr:colOff>906780</xdr:colOff>
      <xdr:row>25</xdr:row>
      <xdr:rowOff>152400</xdr:rowOff>
    </xdr:to>
    <xdr:sp macro="" textlink="">
      <xdr:nvSpPr>
        <xdr:cNvPr id="35" name="Rectangle 1">
          <a:extLst>
            <a:ext uri="{FF2B5EF4-FFF2-40B4-BE49-F238E27FC236}">
              <a16:creationId xmlns:a16="http://schemas.microsoft.com/office/drawing/2014/main" id="{4C0E98D8-59EC-41AD-9004-DC6D1A77054C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26</xdr:row>
      <xdr:rowOff>60960</xdr:rowOff>
    </xdr:from>
    <xdr:to>
      <xdr:col>10</xdr:col>
      <xdr:colOff>152400</xdr:colOff>
      <xdr:row>26</xdr:row>
      <xdr:rowOff>152400</xdr:rowOff>
    </xdr:to>
    <xdr:sp macro="" textlink="">
      <xdr:nvSpPr>
        <xdr:cNvPr id="36" name="Rectangle 1">
          <a:extLst>
            <a:ext uri="{FF2B5EF4-FFF2-40B4-BE49-F238E27FC236}">
              <a16:creationId xmlns:a16="http://schemas.microsoft.com/office/drawing/2014/main" id="{EB5E5DC5-3792-446F-9EC9-66AF4F0924FD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26</xdr:row>
      <xdr:rowOff>60960</xdr:rowOff>
    </xdr:from>
    <xdr:to>
      <xdr:col>10</xdr:col>
      <xdr:colOff>906780</xdr:colOff>
      <xdr:row>26</xdr:row>
      <xdr:rowOff>152400</xdr:rowOff>
    </xdr:to>
    <xdr:sp macro="" textlink="">
      <xdr:nvSpPr>
        <xdr:cNvPr id="37" name="Rectangle 1">
          <a:extLst>
            <a:ext uri="{FF2B5EF4-FFF2-40B4-BE49-F238E27FC236}">
              <a16:creationId xmlns:a16="http://schemas.microsoft.com/office/drawing/2014/main" id="{E7FB0A59-39DA-4F84-A3E3-77D05A982B89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27</xdr:row>
      <xdr:rowOff>60960</xdr:rowOff>
    </xdr:from>
    <xdr:to>
      <xdr:col>10</xdr:col>
      <xdr:colOff>152400</xdr:colOff>
      <xdr:row>27</xdr:row>
      <xdr:rowOff>152400</xdr:rowOff>
    </xdr:to>
    <xdr:sp macro="" textlink="">
      <xdr:nvSpPr>
        <xdr:cNvPr id="38" name="Rectangle 1">
          <a:extLst>
            <a:ext uri="{FF2B5EF4-FFF2-40B4-BE49-F238E27FC236}">
              <a16:creationId xmlns:a16="http://schemas.microsoft.com/office/drawing/2014/main" id="{0AEEC05E-D2ED-4CCA-BB2C-68A6D7DF7DD9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27</xdr:row>
      <xdr:rowOff>60960</xdr:rowOff>
    </xdr:from>
    <xdr:to>
      <xdr:col>10</xdr:col>
      <xdr:colOff>906780</xdr:colOff>
      <xdr:row>27</xdr:row>
      <xdr:rowOff>152400</xdr:rowOff>
    </xdr:to>
    <xdr:sp macro="" textlink="">
      <xdr:nvSpPr>
        <xdr:cNvPr id="39" name="Rectangle 1">
          <a:extLst>
            <a:ext uri="{FF2B5EF4-FFF2-40B4-BE49-F238E27FC236}">
              <a16:creationId xmlns:a16="http://schemas.microsoft.com/office/drawing/2014/main" id="{8718C58A-80CA-4C5B-898C-9EC4D676EC58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28</xdr:row>
      <xdr:rowOff>60960</xdr:rowOff>
    </xdr:from>
    <xdr:to>
      <xdr:col>10</xdr:col>
      <xdr:colOff>152400</xdr:colOff>
      <xdr:row>28</xdr:row>
      <xdr:rowOff>152400</xdr:rowOff>
    </xdr:to>
    <xdr:sp macro="" textlink="">
      <xdr:nvSpPr>
        <xdr:cNvPr id="40" name="Rectangle 1">
          <a:extLst>
            <a:ext uri="{FF2B5EF4-FFF2-40B4-BE49-F238E27FC236}">
              <a16:creationId xmlns:a16="http://schemas.microsoft.com/office/drawing/2014/main" id="{C677C214-6896-440B-9442-F794B48FE087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28</xdr:row>
      <xdr:rowOff>60960</xdr:rowOff>
    </xdr:from>
    <xdr:to>
      <xdr:col>10</xdr:col>
      <xdr:colOff>906780</xdr:colOff>
      <xdr:row>28</xdr:row>
      <xdr:rowOff>152400</xdr:rowOff>
    </xdr:to>
    <xdr:sp macro="" textlink="">
      <xdr:nvSpPr>
        <xdr:cNvPr id="41" name="Rectangle 1">
          <a:extLst>
            <a:ext uri="{FF2B5EF4-FFF2-40B4-BE49-F238E27FC236}">
              <a16:creationId xmlns:a16="http://schemas.microsoft.com/office/drawing/2014/main" id="{2331FFE5-2CF1-4313-AA31-734C85EF5516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29</xdr:row>
      <xdr:rowOff>60960</xdr:rowOff>
    </xdr:from>
    <xdr:to>
      <xdr:col>10</xdr:col>
      <xdr:colOff>152400</xdr:colOff>
      <xdr:row>29</xdr:row>
      <xdr:rowOff>152400</xdr:rowOff>
    </xdr:to>
    <xdr:sp macro="" textlink="">
      <xdr:nvSpPr>
        <xdr:cNvPr id="42" name="Rectangle 1">
          <a:extLst>
            <a:ext uri="{FF2B5EF4-FFF2-40B4-BE49-F238E27FC236}">
              <a16:creationId xmlns:a16="http://schemas.microsoft.com/office/drawing/2014/main" id="{F6E73287-CDDE-436B-BFA2-D56D9DD9A480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29</xdr:row>
      <xdr:rowOff>60960</xdr:rowOff>
    </xdr:from>
    <xdr:to>
      <xdr:col>10</xdr:col>
      <xdr:colOff>906780</xdr:colOff>
      <xdr:row>29</xdr:row>
      <xdr:rowOff>152400</xdr:rowOff>
    </xdr:to>
    <xdr:sp macro="" textlink="">
      <xdr:nvSpPr>
        <xdr:cNvPr id="43" name="Rectangle 1">
          <a:extLst>
            <a:ext uri="{FF2B5EF4-FFF2-40B4-BE49-F238E27FC236}">
              <a16:creationId xmlns:a16="http://schemas.microsoft.com/office/drawing/2014/main" id="{DB172B7B-A12C-43A8-9723-24E21C14D443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30</xdr:row>
      <xdr:rowOff>60960</xdr:rowOff>
    </xdr:from>
    <xdr:to>
      <xdr:col>10</xdr:col>
      <xdr:colOff>152400</xdr:colOff>
      <xdr:row>30</xdr:row>
      <xdr:rowOff>152400</xdr:rowOff>
    </xdr:to>
    <xdr:sp macro="" textlink="">
      <xdr:nvSpPr>
        <xdr:cNvPr id="44" name="Rectangle 1">
          <a:extLst>
            <a:ext uri="{FF2B5EF4-FFF2-40B4-BE49-F238E27FC236}">
              <a16:creationId xmlns:a16="http://schemas.microsoft.com/office/drawing/2014/main" id="{1592B2BA-3432-4063-82AF-8880980A15F6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30</xdr:row>
      <xdr:rowOff>60960</xdr:rowOff>
    </xdr:from>
    <xdr:to>
      <xdr:col>10</xdr:col>
      <xdr:colOff>906780</xdr:colOff>
      <xdr:row>30</xdr:row>
      <xdr:rowOff>152400</xdr:rowOff>
    </xdr:to>
    <xdr:sp macro="" textlink="">
      <xdr:nvSpPr>
        <xdr:cNvPr id="45" name="Rectangle 1">
          <a:extLst>
            <a:ext uri="{FF2B5EF4-FFF2-40B4-BE49-F238E27FC236}">
              <a16:creationId xmlns:a16="http://schemas.microsoft.com/office/drawing/2014/main" id="{90F8F209-8AE2-498A-9BD9-E5BABCB51212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31</xdr:row>
      <xdr:rowOff>60960</xdr:rowOff>
    </xdr:from>
    <xdr:to>
      <xdr:col>10</xdr:col>
      <xdr:colOff>152400</xdr:colOff>
      <xdr:row>31</xdr:row>
      <xdr:rowOff>152400</xdr:rowOff>
    </xdr:to>
    <xdr:sp macro="" textlink="">
      <xdr:nvSpPr>
        <xdr:cNvPr id="46" name="Rectangle 1">
          <a:extLst>
            <a:ext uri="{FF2B5EF4-FFF2-40B4-BE49-F238E27FC236}">
              <a16:creationId xmlns:a16="http://schemas.microsoft.com/office/drawing/2014/main" id="{B629121F-F900-4CAF-9DC9-292EF13F50DC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31</xdr:row>
      <xdr:rowOff>60960</xdr:rowOff>
    </xdr:from>
    <xdr:to>
      <xdr:col>10</xdr:col>
      <xdr:colOff>906780</xdr:colOff>
      <xdr:row>31</xdr:row>
      <xdr:rowOff>152400</xdr:rowOff>
    </xdr:to>
    <xdr:sp macro="" textlink="">
      <xdr:nvSpPr>
        <xdr:cNvPr id="47" name="Rectangle 1">
          <a:extLst>
            <a:ext uri="{FF2B5EF4-FFF2-40B4-BE49-F238E27FC236}">
              <a16:creationId xmlns:a16="http://schemas.microsoft.com/office/drawing/2014/main" id="{4C3F147A-F3CB-44DE-8653-CA4A5863921D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32</xdr:row>
      <xdr:rowOff>60960</xdr:rowOff>
    </xdr:from>
    <xdr:to>
      <xdr:col>10</xdr:col>
      <xdr:colOff>152400</xdr:colOff>
      <xdr:row>32</xdr:row>
      <xdr:rowOff>152400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77FD6B4D-B79D-41DC-AE7A-7AE883428BFC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32</xdr:row>
      <xdr:rowOff>60960</xdr:rowOff>
    </xdr:from>
    <xdr:to>
      <xdr:col>10</xdr:col>
      <xdr:colOff>906780</xdr:colOff>
      <xdr:row>32</xdr:row>
      <xdr:rowOff>152400</xdr:rowOff>
    </xdr:to>
    <xdr:sp macro="" textlink="">
      <xdr:nvSpPr>
        <xdr:cNvPr id="49" name="Rectangle 1">
          <a:extLst>
            <a:ext uri="{FF2B5EF4-FFF2-40B4-BE49-F238E27FC236}">
              <a16:creationId xmlns:a16="http://schemas.microsoft.com/office/drawing/2014/main" id="{B0ABE82D-F657-4776-9E79-FB0C04A39B4A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33</xdr:row>
      <xdr:rowOff>60960</xdr:rowOff>
    </xdr:from>
    <xdr:to>
      <xdr:col>10</xdr:col>
      <xdr:colOff>152400</xdr:colOff>
      <xdr:row>33</xdr:row>
      <xdr:rowOff>152400</xdr:rowOff>
    </xdr:to>
    <xdr:sp macro="" textlink="">
      <xdr:nvSpPr>
        <xdr:cNvPr id="50" name="Rectangle 1">
          <a:extLst>
            <a:ext uri="{FF2B5EF4-FFF2-40B4-BE49-F238E27FC236}">
              <a16:creationId xmlns:a16="http://schemas.microsoft.com/office/drawing/2014/main" id="{A993A934-2332-4201-A1A1-53ED45C46BFA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33</xdr:row>
      <xdr:rowOff>60960</xdr:rowOff>
    </xdr:from>
    <xdr:to>
      <xdr:col>10</xdr:col>
      <xdr:colOff>906780</xdr:colOff>
      <xdr:row>33</xdr:row>
      <xdr:rowOff>152400</xdr:rowOff>
    </xdr:to>
    <xdr:sp macro="" textlink="">
      <xdr:nvSpPr>
        <xdr:cNvPr id="51" name="Rectangle 1">
          <a:extLst>
            <a:ext uri="{FF2B5EF4-FFF2-40B4-BE49-F238E27FC236}">
              <a16:creationId xmlns:a16="http://schemas.microsoft.com/office/drawing/2014/main" id="{87911F0D-89FA-47AC-AF7C-6FECB35BA23C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34</xdr:row>
      <xdr:rowOff>60960</xdr:rowOff>
    </xdr:from>
    <xdr:to>
      <xdr:col>10</xdr:col>
      <xdr:colOff>152400</xdr:colOff>
      <xdr:row>34</xdr:row>
      <xdr:rowOff>152400</xdr:rowOff>
    </xdr:to>
    <xdr:sp macro="" textlink="">
      <xdr:nvSpPr>
        <xdr:cNvPr id="52" name="Rectangle 1">
          <a:extLst>
            <a:ext uri="{FF2B5EF4-FFF2-40B4-BE49-F238E27FC236}">
              <a16:creationId xmlns:a16="http://schemas.microsoft.com/office/drawing/2014/main" id="{B63B9221-3BC7-4ACD-9D74-1F7A2C700AC6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34</xdr:row>
      <xdr:rowOff>60960</xdr:rowOff>
    </xdr:from>
    <xdr:to>
      <xdr:col>10</xdr:col>
      <xdr:colOff>906780</xdr:colOff>
      <xdr:row>34</xdr:row>
      <xdr:rowOff>152400</xdr:rowOff>
    </xdr:to>
    <xdr:sp macro="" textlink="">
      <xdr:nvSpPr>
        <xdr:cNvPr id="53" name="Rectangle 1">
          <a:extLst>
            <a:ext uri="{FF2B5EF4-FFF2-40B4-BE49-F238E27FC236}">
              <a16:creationId xmlns:a16="http://schemas.microsoft.com/office/drawing/2014/main" id="{C3E36AA2-781B-492D-B360-2910FFA1ECE1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35</xdr:row>
      <xdr:rowOff>60960</xdr:rowOff>
    </xdr:from>
    <xdr:to>
      <xdr:col>10</xdr:col>
      <xdr:colOff>152400</xdr:colOff>
      <xdr:row>35</xdr:row>
      <xdr:rowOff>152400</xdr:rowOff>
    </xdr:to>
    <xdr:sp macro="" textlink="">
      <xdr:nvSpPr>
        <xdr:cNvPr id="54" name="Rectangle 1">
          <a:extLst>
            <a:ext uri="{FF2B5EF4-FFF2-40B4-BE49-F238E27FC236}">
              <a16:creationId xmlns:a16="http://schemas.microsoft.com/office/drawing/2014/main" id="{53EBE60A-6536-494F-B4C7-5C68770B830A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35</xdr:row>
      <xdr:rowOff>60960</xdr:rowOff>
    </xdr:from>
    <xdr:to>
      <xdr:col>10</xdr:col>
      <xdr:colOff>906780</xdr:colOff>
      <xdr:row>35</xdr:row>
      <xdr:rowOff>152400</xdr:rowOff>
    </xdr:to>
    <xdr:sp macro="" textlink="">
      <xdr:nvSpPr>
        <xdr:cNvPr id="55" name="Rectangle 1">
          <a:extLst>
            <a:ext uri="{FF2B5EF4-FFF2-40B4-BE49-F238E27FC236}">
              <a16:creationId xmlns:a16="http://schemas.microsoft.com/office/drawing/2014/main" id="{DD522B4D-C67F-4E9D-82AE-9BD9DBE42EFD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36</xdr:row>
      <xdr:rowOff>60960</xdr:rowOff>
    </xdr:from>
    <xdr:to>
      <xdr:col>10</xdr:col>
      <xdr:colOff>152400</xdr:colOff>
      <xdr:row>36</xdr:row>
      <xdr:rowOff>152400</xdr:rowOff>
    </xdr:to>
    <xdr:sp macro="" textlink="">
      <xdr:nvSpPr>
        <xdr:cNvPr id="56" name="Rectangle 1">
          <a:extLst>
            <a:ext uri="{FF2B5EF4-FFF2-40B4-BE49-F238E27FC236}">
              <a16:creationId xmlns:a16="http://schemas.microsoft.com/office/drawing/2014/main" id="{4C6CE2FB-ADD8-4485-95E6-9C9D97F857F7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36</xdr:row>
      <xdr:rowOff>60960</xdr:rowOff>
    </xdr:from>
    <xdr:to>
      <xdr:col>10</xdr:col>
      <xdr:colOff>906780</xdr:colOff>
      <xdr:row>36</xdr:row>
      <xdr:rowOff>152400</xdr:rowOff>
    </xdr:to>
    <xdr:sp macro="" textlink="">
      <xdr:nvSpPr>
        <xdr:cNvPr id="57" name="Rectangle 1">
          <a:extLst>
            <a:ext uri="{FF2B5EF4-FFF2-40B4-BE49-F238E27FC236}">
              <a16:creationId xmlns:a16="http://schemas.microsoft.com/office/drawing/2014/main" id="{3E090F6A-1E56-4930-AD4B-C9FA022A1438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37</xdr:row>
      <xdr:rowOff>60960</xdr:rowOff>
    </xdr:from>
    <xdr:to>
      <xdr:col>10</xdr:col>
      <xdr:colOff>152400</xdr:colOff>
      <xdr:row>37</xdr:row>
      <xdr:rowOff>152400</xdr:rowOff>
    </xdr:to>
    <xdr:sp macro="" textlink="">
      <xdr:nvSpPr>
        <xdr:cNvPr id="58" name="Rectangle 1">
          <a:extLst>
            <a:ext uri="{FF2B5EF4-FFF2-40B4-BE49-F238E27FC236}">
              <a16:creationId xmlns:a16="http://schemas.microsoft.com/office/drawing/2014/main" id="{734E76C2-B643-424A-9E94-54E2CAE3E729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37</xdr:row>
      <xdr:rowOff>60960</xdr:rowOff>
    </xdr:from>
    <xdr:to>
      <xdr:col>10</xdr:col>
      <xdr:colOff>906780</xdr:colOff>
      <xdr:row>37</xdr:row>
      <xdr:rowOff>152400</xdr:rowOff>
    </xdr:to>
    <xdr:sp macro="" textlink="">
      <xdr:nvSpPr>
        <xdr:cNvPr id="59" name="Rectangle 1">
          <a:extLst>
            <a:ext uri="{FF2B5EF4-FFF2-40B4-BE49-F238E27FC236}">
              <a16:creationId xmlns:a16="http://schemas.microsoft.com/office/drawing/2014/main" id="{64A1858D-8AEA-4CB7-8BA6-3163AE0FDE9B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38</xdr:row>
      <xdr:rowOff>60960</xdr:rowOff>
    </xdr:from>
    <xdr:to>
      <xdr:col>10</xdr:col>
      <xdr:colOff>152400</xdr:colOff>
      <xdr:row>38</xdr:row>
      <xdr:rowOff>152400</xdr:rowOff>
    </xdr:to>
    <xdr:sp macro="" textlink="">
      <xdr:nvSpPr>
        <xdr:cNvPr id="60" name="Rectangle 1">
          <a:extLst>
            <a:ext uri="{FF2B5EF4-FFF2-40B4-BE49-F238E27FC236}">
              <a16:creationId xmlns:a16="http://schemas.microsoft.com/office/drawing/2014/main" id="{D35DA4AF-508F-4DB6-9B7F-3113FBF2D512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38</xdr:row>
      <xdr:rowOff>60960</xdr:rowOff>
    </xdr:from>
    <xdr:to>
      <xdr:col>10</xdr:col>
      <xdr:colOff>906780</xdr:colOff>
      <xdr:row>38</xdr:row>
      <xdr:rowOff>152400</xdr:rowOff>
    </xdr:to>
    <xdr:sp macro="" textlink="">
      <xdr:nvSpPr>
        <xdr:cNvPr id="61" name="Rectangle 1">
          <a:extLst>
            <a:ext uri="{FF2B5EF4-FFF2-40B4-BE49-F238E27FC236}">
              <a16:creationId xmlns:a16="http://schemas.microsoft.com/office/drawing/2014/main" id="{6BF2B18F-E984-4B05-906E-8A215642B280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39</xdr:row>
      <xdr:rowOff>60960</xdr:rowOff>
    </xdr:from>
    <xdr:to>
      <xdr:col>10</xdr:col>
      <xdr:colOff>152400</xdr:colOff>
      <xdr:row>39</xdr:row>
      <xdr:rowOff>152400</xdr:rowOff>
    </xdr:to>
    <xdr:sp macro="" textlink="">
      <xdr:nvSpPr>
        <xdr:cNvPr id="62" name="Rectangle 1">
          <a:extLst>
            <a:ext uri="{FF2B5EF4-FFF2-40B4-BE49-F238E27FC236}">
              <a16:creationId xmlns:a16="http://schemas.microsoft.com/office/drawing/2014/main" id="{777551CD-CCD3-4041-9A30-76DD69345A0A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39</xdr:row>
      <xdr:rowOff>60960</xdr:rowOff>
    </xdr:from>
    <xdr:to>
      <xdr:col>10</xdr:col>
      <xdr:colOff>906780</xdr:colOff>
      <xdr:row>39</xdr:row>
      <xdr:rowOff>152400</xdr:rowOff>
    </xdr:to>
    <xdr:sp macro="" textlink="">
      <xdr:nvSpPr>
        <xdr:cNvPr id="63" name="Rectangle 1">
          <a:extLst>
            <a:ext uri="{FF2B5EF4-FFF2-40B4-BE49-F238E27FC236}">
              <a16:creationId xmlns:a16="http://schemas.microsoft.com/office/drawing/2014/main" id="{CBE87A27-9D74-4E48-B8F4-0B523CD61903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40</xdr:row>
      <xdr:rowOff>60960</xdr:rowOff>
    </xdr:from>
    <xdr:to>
      <xdr:col>10</xdr:col>
      <xdr:colOff>152400</xdr:colOff>
      <xdr:row>40</xdr:row>
      <xdr:rowOff>152400</xdr:rowOff>
    </xdr:to>
    <xdr:sp macro="" textlink="">
      <xdr:nvSpPr>
        <xdr:cNvPr id="64" name="Rectangle 1">
          <a:extLst>
            <a:ext uri="{FF2B5EF4-FFF2-40B4-BE49-F238E27FC236}">
              <a16:creationId xmlns:a16="http://schemas.microsoft.com/office/drawing/2014/main" id="{4EF9968E-8A9F-4745-9AF5-F09BD7BE9D8C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40</xdr:row>
      <xdr:rowOff>60960</xdr:rowOff>
    </xdr:from>
    <xdr:to>
      <xdr:col>10</xdr:col>
      <xdr:colOff>906780</xdr:colOff>
      <xdr:row>40</xdr:row>
      <xdr:rowOff>152400</xdr:rowOff>
    </xdr:to>
    <xdr:sp macro="" textlink="">
      <xdr:nvSpPr>
        <xdr:cNvPr id="65" name="Rectangle 1">
          <a:extLst>
            <a:ext uri="{FF2B5EF4-FFF2-40B4-BE49-F238E27FC236}">
              <a16:creationId xmlns:a16="http://schemas.microsoft.com/office/drawing/2014/main" id="{6C612627-7268-4821-B38A-FC56B7CF1AF1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41</xdr:row>
      <xdr:rowOff>60960</xdr:rowOff>
    </xdr:from>
    <xdr:to>
      <xdr:col>10</xdr:col>
      <xdr:colOff>152400</xdr:colOff>
      <xdr:row>41</xdr:row>
      <xdr:rowOff>152400</xdr:rowOff>
    </xdr:to>
    <xdr:sp macro="" textlink="">
      <xdr:nvSpPr>
        <xdr:cNvPr id="66" name="Rectangle 1">
          <a:extLst>
            <a:ext uri="{FF2B5EF4-FFF2-40B4-BE49-F238E27FC236}">
              <a16:creationId xmlns:a16="http://schemas.microsoft.com/office/drawing/2014/main" id="{EF2FF4E0-C108-4AD4-9276-D818D7DA6A90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41</xdr:row>
      <xdr:rowOff>60960</xdr:rowOff>
    </xdr:from>
    <xdr:to>
      <xdr:col>10</xdr:col>
      <xdr:colOff>906780</xdr:colOff>
      <xdr:row>41</xdr:row>
      <xdr:rowOff>152400</xdr:rowOff>
    </xdr:to>
    <xdr:sp macro="" textlink="">
      <xdr:nvSpPr>
        <xdr:cNvPr id="67" name="Rectangle 1">
          <a:extLst>
            <a:ext uri="{FF2B5EF4-FFF2-40B4-BE49-F238E27FC236}">
              <a16:creationId xmlns:a16="http://schemas.microsoft.com/office/drawing/2014/main" id="{FE80E8B4-22F1-4144-AB73-085A55DEF34D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42</xdr:row>
      <xdr:rowOff>60960</xdr:rowOff>
    </xdr:from>
    <xdr:to>
      <xdr:col>10</xdr:col>
      <xdr:colOff>152400</xdr:colOff>
      <xdr:row>42</xdr:row>
      <xdr:rowOff>152400</xdr:rowOff>
    </xdr:to>
    <xdr:sp macro="" textlink="">
      <xdr:nvSpPr>
        <xdr:cNvPr id="68" name="Rectangle 1">
          <a:extLst>
            <a:ext uri="{FF2B5EF4-FFF2-40B4-BE49-F238E27FC236}">
              <a16:creationId xmlns:a16="http://schemas.microsoft.com/office/drawing/2014/main" id="{9DE09A77-8B0F-4C54-88FD-54798FA8EB4F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42</xdr:row>
      <xdr:rowOff>60960</xdr:rowOff>
    </xdr:from>
    <xdr:to>
      <xdr:col>10</xdr:col>
      <xdr:colOff>906780</xdr:colOff>
      <xdr:row>42</xdr:row>
      <xdr:rowOff>152400</xdr:rowOff>
    </xdr:to>
    <xdr:sp macro="" textlink="">
      <xdr:nvSpPr>
        <xdr:cNvPr id="69" name="Rectangle 1">
          <a:extLst>
            <a:ext uri="{FF2B5EF4-FFF2-40B4-BE49-F238E27FC236}">
              <a16:creationId xmlns:a16="http://schemas.microsoft.com/office/drawing/2014/main" id="{93B4ABF7-58D2-4390-877C-2C8587E64F79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43</xdr:row>
      <xdr:rowOff>60960</xdr:rowOff>
    </xdr:from>
    <xdr:to>
      <xdr:col>10</xdr:col>
      <xdr:colOff>152400</xdr:colOff>
      <xdr:row>43</xdr:row>
      <xdr:rowOff>152400</xdr:rowOff>
    </xdr:to>
    <xdr:sp macro="" textlink="">
      <xdr:nvSpPr>
        <xdr:cNvPr id="70" name="Rectangle 1">
          <a:extLst>
            <a:ext uri="{FF2B5EF4-FFF2-40B4-BE49-F238E27FC236}">
              <a16:creationId xmlns:a16="http://schemas.microsoft.com/office/drawing/2014/main" id="{99C20532-0515-4D6D-AD7D-41FD60738821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43</xdr:row>
      <xdr:rowOff>60960</xdr:rowOff>
    </xdr:from>
    <xdr:to>
      <xdr:col>10</xdr:col>
      <xdr:colOff>906780</xdr:colOff>
      <xdr:row>43</xdr:row>
      <xdr:rowOff>152400</xdr:rowOff>
    </xdr:to>
    <xdr:sp macro="" textlink="">
      <xdr:nvSpPr>
        <xdr:cNvPr id="71" name="Rectangle 1">
          <a:extLst>
            <a:ext uri="{FF2B5EF4-FFF2-40B4-BE49-F238E27FC236}">
              <a16:creationId xmlns:a16="http://schemas.microsoft.com/office/drawing/2014/main" id="{2D12410A-031A-4061-94F5-17423E374063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44</xdr:row>
      <xdr:rowOff>60960</xdr:rowOff>
    </xdr:from>
    <xdr:to>
      <xdr:col>10</xdr:col>
      <xdr:colOff>152400</xdr:colOff>
      <xdr:row>44</xdr:row>
      <xdr:rowOff>152400</xdr:rowOff>
    </xdr:to>
    <xdr:sp macro="" textlink="">
      <xdr:nvSpPr>
        <xdr:cNvPr id="72" name="Rectangle 1">
          <a:extLst>
            <a:ext uri="{FF2B5EF4-FFF2-40B4-BE49-F238E27FC236}">
              <a16:creationId xmlns:a16="http://schemas.microsoft.com/office/drawing/2014/main" id="{0EF29674-A2F5-4A10-A0E3-C2D0CE025CF6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44</xdr:row>
      <xdr:rowOff>60960</xdr:rowOff>
    </xdr:from>
    <xdr:to>
      <xdr:col>10</xdr:col>
      <xdr:colOff>906780</xdr:colOff>
      <xdr:row>44</xdr:row>
      <xdr:rowOff>152400</xdr:rowOff>
    </xdr:to>
    <xdr:sp macro="" textlink="">
      <xdr:nvSpPr>
        <xdr:cNvPr id="73" name="Rectangle 1">
          <a:extLst>
            <a:ext uri="{FF2B5EF4-FFF2-40B4-BE49-F238E27FC236}">
              <a16:creationId xmlns:a16="http://schemas.microsoft.com/office/drawing/2014/main" id="{281A3285-3E87-4EAA-B1F1-DFA6BB8F55FD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45</xdr:row>
      <xdr:rowOff>60960</xdr:rowOff>
    </xdr:from>
    <xdr:to>
      <xdr:col>10</xdr:col>
      <xdr:colOff>152400</xdr:colOff>
      <xdr:row>45</xdr:row>
      <xdr:rowOff>152400</xdr:rowOff>
    </xdr:to>
    <xdr:sp macro="" textlink="">
      <xdr:nvSpPr>
        <xdr:cNvPr id="74" name="Rectangle 1">
          <a:extLst>
            <a:ext uri="{FF2B5EF4-FFF2-40B4-BE49-F238E27FC236}">
              <a16:creationId xmlns:a16="http://schemas.microsoft.com/office/drawing/2014/main" id="{9771554A-B422-4C2F-A611-6AA74129E4BA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45</xdr:row>
      <xdr:rowOff>60960</xdr:rowOff>
    </xdr:from>
    <xdr:to>
      <xdr:col>10</xdr:col>
      <xdr:colOff>906780</xdr:colOff>
      <xdr:row>45</xdr:row>
      <xdr:rowOff>152400</xdr:rowOff>
    </xdr:to>
    <xdr:sp macro="" textlink="">
      <xdr:nvSpPr>
        <xdr:cNvPr id="75" name="Rectangle 1">
          <a:extLst>
            <a:ext uri="{FF2B5EF4-FFF2-40B4-BE49-F238E27FC236}">
              <a16:creationId xmlns:a16="http://schemas.microsoft.com/office/drawing/2014/main" id="{AF0C232E-627D-452E-8EE0-83968B23BB1F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46</xdr:row>
      <xdr:rowOff>60960</xdr:rowOff>
    </xdr:from>
    <xdr:to>
      <xdr:col>10</xdr:col>
      <xdr:colOff>152400</xdr:colOff>
      <xdr:row>46</xdr:row>
      <xdr:rowOff>152400</xdr:rowOff>
    </xdr:to>
    <xdr:sp macro="" textlink="">
      <xdr:nvSpPr>
        <xdr:cNvPr id="76" name="Rectangle 1">
          <a:extLst>
            <a:ext uri="{FF2B5EF4-FFF2-40B4-BE49-F238E27FC236}">
              <a16:creationId xmlns:a16="http://schemas.microsoft.com/office/drawing/2014/main" id="{7E3FAD2B-FCCE-4889-8417-5DAE4A8996B0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46</xdr:row>
      <xdr:rowOff>60960</xdr:rowOff>
    </xdr:from>
    <xdr:to>
      <xdr:col>10</xdr:col>
      <xdr:colOff>906780</xdr:colOff>
      <xdr:row>46</xdr:row>
      <xdr:rowOff>152400</xdr:rowOff>
    </xdr:to>
    <xdr:sp macro="" textlink="">
      <xdr:nvSpPr>
        <xdr:cNvPr id="77" name="Rectangle 1">
          <a:extLst>
            <a:ext uri="{FF2B5EF4-FFF2-40B4-BE49-F238E27FC236}">
              <a16:creationId xmlns:a16="http://schemas.microsoft.com/office/drawing/2014/main" id="{3CEC6117-ACE8-44C2-B50C-846B60AF2D70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47</xdr:row>
      <xdr:rowOff>60960</xdr:rowOff>
    </xdr:from>
    <xdr:to>
      <xdr:col>10</xdr:col>
      <xdr:colOff>152400</xdr:colOff>
      <xdr:row>47</xdr:row>
      <xdr:rowOff>152400</xdr:rowOff>
    </xdr:to>
    <xdr:sp macro="" textlink="">
      <xdr:nvSpPr>
        <xdr:cNvPr id="78" name="Rectangle 1">
          <a:extLst>
            <a:ext uri="{FF2B5EF4-FFF2-40B4-BE49-F238E27FC236}">
              <a16:creationId xmlns:a16="http://schemas.microsoft.com/office/drawing/2014/main" id="{4375EF35-1B5A-4F3C-80F0-DC2870928302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47</xdr:row>
      <xdr:rowOff>60960</xdr:rowOff>
    </xdr:from>
    <xdr:to>
      <xdr:col>10</xdr:col>
      <xdr:colOff>906780</xdr:colOff>
      <xdr:row>47</xdr:row>
      <xdr:rowOff>152400</xdr:rowOff>
    </xdr:to>
    <xdr:sp macro="" textlink="">
      <xdr:nvSpPr>
        <xdr:cNvPr id="79" name="Rectangle 1">
          <a:extLst>
            <a:ext uri="{FF2B5EF4-FFF2-40B4-BE49-F238E27FC236}">
              <a16:creationId xmlns:a16="http://schemas.microsoft.com/office/drawing/2014/main" id="{F84BAA93-9965-4CE3-B714-4D1E74DA93B7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48</xdr:row>
      <xdr:rowOff>60960</xdr:rowOff>
    </xdr:from>
    <xdr:to>
      <xdr:col>10</xdr:col>
      <xdr:colOff>152400</xdr:colOff>
      <xdr:row>48</xdr:row>
      <xdr:rowOff>152400</xdr:rowOff>
    </xdr:to>
    <xdr:sp macro="" textlink="">
      <xdr:nvSpPr>
        <xdr:cNvPr id="80" name="Rectangle 1">
          <a:extLst>
            <a:ext uri="{FF2B5EF4-FFF2-40B4-BE49-F238E27FC236}">
              <a16:creationId xmlns:a16="http://schemas.microsoft.com/office/drawing/2014/main" id="{F10E1BB6-EE88-4E48-A04D-22C746D11D88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48</xdr:row>
      <xdr:rowOff>60960</xdr:rowOff>
    </xdr:from>
    <xdr:to>
      <xdr:col>10</xdr:col>
      <xdr:colOff>906780</xdr:colOff>
      <xdr:row>48</xdr:row>
      <xdr:rowOff>152400</xdr:rowOff>
    </xdr:to>
    <xdr:sp macro="" textlink="">
      <xdr:nvSpPr>
        <xdr:cNvPr id="81" name="Rectangle 1">
          <a:extLst>
            <a:ext uri="{FF2B5EF4-FFF2-40B4-BE49-F238E27FC236}">
              <a16:creationId xmlns:a16="http://schemas.microsoft.com/office/drawing/2014/main" id="{23E0A4AB-3A2F-4AB3-8A6A-B78F8DB257EE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49</xdr:row>
      <xdr:rowOff>60960</xdr:rowOff>
    </xdr:from>
    <xdr:to>
      <xdr:col>10</xdr:col>
      <xdr:colOff>152400</xdr:colOff>
      <xdr:row>49</xdr:row>
      <xdr:rowOff>152400</xdr:rowOff>
    </xdr:to>
    <xdr:sp macro="" textlink="">
      <xdr:nvSpPr>
        <xdr:cNvPr id="82" name="Rectangle 1">
          <a:extLst>
            <a:ext uri="{FF2B5EF4-FFF2-40B4-BE49-F238E27FC236}">
              <a16:creationId xmlns:a16="http://schemas.microsoft.com/office/drawing/2014/main" id="{999A5132-D3F2-44EA-8427-7DD5F5BF615F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49</xdr:row>
      <xdr:rowOff>60960</xdr:rowOff>
    </xdr:from>
    <xdr:to>
      <xdr:col>10</xdr:col>
      <xdr:colOff>906780</xdr:colOff>
      <xdr:row>49</xdr:row>
      <xdr:rowOff>152400</xdr:rowOff>
    </xdr:to>
    <xdr:sp macro="" textlink="">
      <xdr:nvSpPr>
        <xdr:cNvPr id="83" name="Rectangle 1">
          <a:extLst>
            <a:ext uri="{FF2B5EF4-FFF2-40B4-BE49-F238E27FC236}">
              <a16:creationId xmlns:a16="http://schemas.microsoft.com/office/drawing/2014/main" id="{C13689F9-B2DC-423B-AA32-01399117A8E6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50</xdr:row>
      <xdr:rowOff>60960</xdr:rowOff>
    </xdr:from>
    <xdr:to>
      <xdr:col>10</xdr:col>
      <xdr:colOff>152400</xdr:colOff>
      <xdr:row>50</xdr:row>
      <xdr:rowOff>152400</xdr:rowOff>
    </xdr:to>
    <xdr:sp macro="" textlink="">
      <xdr:nvSpPr>
        <xdr:cNvPr id="84" name="Rectangle 1">
          <a:extLst>
            <a:ext uri="{FF2B5EF4-FFF2-40B4-BE49-F238E27FC236}">
              <a16:creationId xmlns:a16="http://schemas.microsoft.com/office/drawing/2014/main" id="{45C618DD-0809-4C4F-A3F3-9DDEEE24BA31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50</xdr:row>
      <xdr:rowOff>60960</xdr:rowOff>
    </xdr:from>
    <xdr:to>
      <xdr:col>10</xdr:col>
      <xdr:colOff>906780</xdr:colOff>
      <xdr:row>50</xdr:row>
      <xdr:rowOff>152400</xdr:rowOff>
    </xdr:to>
    <xdr:sp macro="" textlink="">
      <xdr:nvSpPr>
        <xdr:cNvPr id="85" name="Rectangle 1">
          <a:extLst>
            <a:ext uri="{FF2B5EF4-FFF2-40B4-BE49-F238E27FC236}">
              <a16:creationId xmlns:a16="http://schemas.microsoft.com/office/drawing/2014/main" id="{205C4139-D851-4DB5-AEC0-F69DEBACA147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51</xdr:row>
      <xdr:rowOff>60960</xdr:rowOff>
    </xdr:from>
    <xdr:to>
      <xdr:col>10</xdr:col>
      <xdr:colOff>152400</xdr:colOff>
      <xdr:row>51</xdr:row>
      <xdr:rowOff>152400</xdr:rowOff>
    </xdr:to>
    <xdr:sp macro="" textlink="">
      <xdr:nvSpPr>
        <xdr:cNvPr id="86" name="Rectangle 1">
          <a:extLst>
            <a:ext uri="{FF2B5EF4-FFF2-40B4-BE49-F238E27FC236}">
              <a16:creationId xmlns:a16="http://schemas.microsoft.com/office/drawing/2014/main" id="{71ECB4CB-B524-424A-9996-566B0CF867D1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51</xdr:row>
      <xdr:rowOff>60960</xdr:rowOff>
    </xdr:from>
    <xdr:to>
      <xdr:col>10</xdr:col>
      <xdr:colOff>906780</xdr:colOff>
      <xdr:row>51</xdr:row>
      <xdr:rowOff>152400</xdr:rowOff>
    </xdr:to>
    <xdr:sp macro="" textlink="">
      <xdr:nvSpPr>
        <xdr:cNvPr id="87" name="Rectangle 1">
          <a:extLst>
            <a:ext uri="{FF2B5EF4-FFF2-40B4-BE49-F238E27FC236}">
              <a16:creationId xmlns:a16="http://schemas.microsoft.com/office/drawing/2014/main" id="{0588C13C-FF38-489D-8F38-16B65283F8D0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52</xdr:row>
      <xdr:rowOff>60960</xdr:rowOff>
    </xdr:from>
    <xdr:to>
      <xdr:col>10</xdr:col>
      <xdr:colOff>152400</xdr:colOff>
      <xdr:row>52</xdr:row>
      <xdr:rowOff>152400</xdr:rowOff>
    </xdr:to>
    <xdr:sp macro="" textlink="">
      <xdr:nvSpPr>
        <xdr:cNvPr id="88" name="Rectangle 1">
          <a:extLst>
            <a:ext uri="{FF2B5EF4-FFF2-40B4-BE49-F238E27FC236}">
              <a16:creationId xmlns:a16="http://schemas.microsoft.com/office/drawing/2014/main" id="{E946643D-919D-4A8D-9E8B-5E3F84A92265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52</xdr:row>
      <xdr:rowOff>60960</xdr:rowOff>
    </xdr:from>
    <xdr:to>
      <xdr:col>10</xdr:col>
      <xdr:colOff>906780</xdr:colOff>
      <xdr:row>52</xdr:row>
      <xdr:rowOff>152400</xdr:rowOff>
    </xdr:to>
    <xdr:sp macro="" textlink="">
      <xdr:nvSpPr>
        <xdr:cNvPr id="89" name="Rectangle 1">
          <a:extLst>
            <a:ext uri="{FF2B5EF4-FFF2-40B4-BE49-F238E27FC236}">
              <a16:creationId xmlns:a16="http://schemas.microsoft.com/office/drawing/2014/main" id="{A9BCA70D-060E-4251-9757-29C8A44EA263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53</xdr:row>
      <xdr:rowOff>60960</xdr:rowOff>
    </xdr:from>
    <xdr:to>
      <xdr:col>10</xdr:col>
      <xdr:colOff>152400</xdr:colOff>
      <xdr:row>53</xdr:row>
      <xdr:rowOff>152400</xdr:rowOff>
    </xdr:to>
    <xdr:sp macro="" textlink="">
      <xdr:nvSpPr>
        <xdr:cNvPr id="90" name="Rectangle 1">
          <a:extLst>
            <a:ext uri="{FF2B5EF4-FFF2-40B4-BE49-F238E27FC236}">
              <a16:creationId xmlns:a16="http://schemas.microsoft.com/office/drawing/2014/main" id="{D724B527-8EDA-416E-A1EB-60B40348D932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53</xdr:row>
      <xdr:rowOff>60960</xdr:rowOff>
    </xdr:from>
    <xdr:to>
      <xdr:col>10</xdr:col>
      <xdr:colOff>906780</xdr:colOff>
      <xdr:row>53</xdr:row>
      <xdr:rowOff>152400</xdr:rowOff>
    </xdr:to>
    <xdr:sp macro="" textlink="">
      <xdr:nvSpPr>
        <xdr:cNvPr id="91" name="Rectangle 1">
          <a:extLst>
            <a:ext uri="{FF2B5EF4-FFF2-40B4-BE49-F238E27FC236}">
              <a16:creationId xmlns:a16="http://schemas.microsoft.com/office/drawing/2014/main" id="{1D6EE63B-C00A-4562-AE8D-63F386242E1F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60960</xdr:colOff>
      <xdr:row>9</xdr:row>
      <xdr:rowOff>60960</xdr:rowOff>
    </xdr:from>
    <xdr:to>
      <xdr:col>10</xdr:col>
      <xdr:colOff>152400</xdr:colOff>
      <xdr:row>9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326D5D6-B149-467D-A24D-38E75EE7B3BF}"/>
            </a:ext>
          </a:extLst>
        </xdr:cNvPr>
        <xdr:cNvSpPr>
          <a:spLocks noChangeArrowheads="1"/>
        </xdr:cNvSpPr>
      </xdr:nvSpPr>
      <xdr:spPr bwMode="auto">
        <a:xfrm>
          <a:off x="10073640" y="25298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9</xdr:row>
      <xdr:rowOff>60960</xdr:rowOff>
    </xdr:from>
    <xdr:to>
      <xdr:col>10</xdr:col>
      <xdr:colOff>906780</xdr:colOff>
      <xdr:row>9</xdr:row>
      <xdr:rowOff>152400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E8661521-F521-4894-BEE8-F45C3B2D014D}"/>
            </a:ext>
          </a:extLst>
        </xdr:cNvPr>
        <xdr:cNvSpPr>
          <a:spLocks noChangeArrowheads="1"/>
        </xdr:cNvSpPr>
      </xdr:nvSpPr>
      <xdr:spPr bwMode="auto">
        <a:xfrm>
          <a:off x="10828020" y="25298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10</xdr:row>
      <xdr:rowOff>60960</xdr:rowOff>
    </xdr:from>
    <xdr:to>
      <xdr:col>10</xdr:col>
      <xdr:colOff>152400</xdr:colOff>
      <xdr:row>10</xdr:row>
      <xdr:rowOff>152400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EEADACBB-968D-435C-BDEC-FCC0863B638E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10</xdr:row>
      <xdr:rowOff>60960</xdr:rowOff>
    </xdr:from>
    <xdr:to>
      <xdr:col>10</xdr:col>
      <xdr:colOff>906780</xdr:colOff>
      <xdr:row>10</xdr:row>
      <xdr:rowOff>152400</xdr:rowOff>
    </xdr:to>
    <xdr:sp macro="" textlink="">
      <xdr:nvSpPr>
        <xdr:cNvPr id="5" name="Rectangle 1">
          <a:extLst>
            <a:ext uri="{FF2B5EF4-FFF2-40B4-BE49-F238E27FC236}">
              <a16:creationId xmlns:a16="http://schemas.microsoft.com/office/drawing/2014/main" id="{1A606672-A5DE-40AB-9E73-CB965CC765D6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11</xdr:row>
      <xdr:rowOff>60960</xdr:rowOff>
    </xdr:from>
    <xdr:to>
      <xdr:col>10</xdr:col>
      <xdr:colOff>152400</xdr:colOff>
      <xdr:row>11</xdr:row>
      <xdr:rowOff>152400</xdr:rowOff>
    </xdr:to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5A3FCABE-AB0A-43FE-8A8F-0066174F550B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11</xdr:row>
      <xdr:rowOff>60960</xdr:rowOff>
    </xdr:from>
    <xdr:to>
      <xdr:col>10</xdr:col>
      <xdr:colOff>906780</xdr:colOff>
      <xdr:row>11</xdr:row>
      <xdr:rowOff>152400</xdr:rowOff>
    </xdr:to>
    <xdr:sp macro="" textlink="">
      <xdr:nvSpPr>
        <xdr:cNvPr id="7" name="Rectangle 1">
          <a:extLst>
            <a:ext uri="{FF2B5EF4-FFF2-40B4-BE49-F238E27FC236}">
              <a16:creationId xmlns:a16="http://schemas.microsoft.com/office/drawing/2014/main" id="{825E1B3A-7F50-4514-889A-E9246067C80D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12</xdr:row>
      <xdr:rowOff>60960</xdr:rowOff>
    </xdr:from>
    <xdr:to>
      <xdr:col>10</xdr:col>
      <xdr:colOff>152400</xdr:colOff>
      <xdr:row>12</xdr:row>
      <xdr:rowOff>152400</xdr:rowOff>
    </xdr:to>
    <xdr:sp macro="" textlink="">
      <xdr:nvSpPr>
        <xdr:cNvPr id="8" name="Rectangle 1">
          <a:extLst>
            <a:ext uri="{FF2B5EF4-FFF2-40B4-BE49-F238E27FC236}">
              <a16:creationId xmlns:a16="http://schemas.microsoft.com/office/drawing/2014/main" id="{9E60577C-3987-43CB-9CB7-8ADD6AECC5C3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12</xdr:row>
      <xdr:rowOff>60960</xdr:rowOff>
    </xdr:from>
    <xdr:to>
      <xdr:col>10</xdr:col>
      <xdr:colOff>906780</xdr:colOff>
      <xdr:row>12</xdr:row>
      <xdr:rowOff>152400</xdr:rowOff>
    </xdr:to>
    <xdr:sp macro="" textlink="">
      <xdr:nvSpPr>
        <xdr:cNvPr id="9" name="Rectangle 1">
          <a:extLst>
            <a:ext uri="{FF2B5EF4-FFF2-40B4-BE49-F238E27FC236}">
              <a16:creationId xmlns:a16="http://schemas.microsoft.com/office/drawing/2014/main" id="{177284C6-BA75-4DD3-95C5-B00A2F4E7DA1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13</xdr:row>
      <xdr:rowOff>60960</xdr:rowOff>
    </xdr:from>
    <xdr:to>
      <xdr:col>10</xdr:col>
      <xdr:colOff>152400</xdr:colOff>
      <xdr:row>13</xdr:row>
      <xdr:rowOff>152400</xdr:rowOff>
    </xdr:to>
    <xdr:sp macro="" textlink="">
      <xdr:nvSpPr>
        <xdr:cNvPr id="10" name="Rectangle 1">
          <a:extLst>
            <a:ext uri="{FF2B5EF4-FFF2-40B4-BE49-F238E27FC236}">
              <a16:creationId xmlns:a16="http://schemas.microsoft.com/office/drawing/2014/main" id="{C0F1B7C0-E7E5-4EC2-A8F2-D9182C068AF0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13</xdr:row>
      <xdr:rowOff>60960</xdr:rowOff>
    </xdr:from>
    <xdr:to>
      <xdr:col>10</xdr:col>
      <xdr:colOff>906780</xdr:colOff>
      <xdr:row>13</xdr:row>
      <xdr:rowOff>152400</xdr:rowOff>
    </xdr:to>
    <xdr:sp macro="" textlink="">
      <xdr:nvSpPr>
        <xdr:cNvPr id="11" name="Rectangle 1">
          <a:extLst>
            <a:ext uri="{FF2B5EF4-FFF2-40B4-BE49-F238E27FC236}">
              <a16:creationId xmlns:a16="http://schemas.microsoft.com/office/drawing/2014/main" id="{9EB1E210-12FE-4933-B388-7380EBE8E6EE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14</xdr:row>
      <xdr:rowOff>60960</xdr:rowOff>
    </xdr:from>
    <xdr:to>
      <xdr:col>10</xdr:col>
      <xdr:colOff>152400</xdr:colOff>
      <xdr:row>14</xdr:row>
      <xdr:rowOff>152400</xdr:rowOff>
    </xdr:to>
    <xdr:sp macro="" textlink="">
      <xdr:nvSpPr>
        <xdr:cNvPr id="12" name="Rectangle 1">
          <a:extLst>
            <a:ext uri="{FF2B5EF4-FFF2-40B4-BE49-F238E27FC236}">
              <a16:creationId xmlns:a16="http://schemas.microsoft.com/office/drawing/2014/main" id="{4486A325-70B2-4536-80DC-F4F133707A0B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14</xdr:row>
      <xdr:rowOff>60960</xdr:rowOff>
    </xdr:from>
    <xdr:to>
      <xdr:col>10</xdr:col>
      <xdr:colOff>906780</xdr:colOff>
      <xdr:row>14</xdr:row>
      <xdr:rowOff>152400</xdr:rowOff>
    </xdr:to>
    <xdr:sp macro="" textlink="">
      <xdr:nvSpPr>
        <xdr:cNvPr id="13" name="Rectangle 1">
          <a:extLst>
            <a:ext uri="{FF2B5EF4-FFF2-40B4-BE49-F238E27FC236}">
              <a16:creationId xmlns:a16="http://schemas.microsoft.com/office/drawing/2014/main" id="{865BF738-3D44-485F-9A6A-D16ACED9122C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15</xdr:row>
      <xdr:rowOff>60960</xdr:rowOff>
    </xdr:from>
    <xdr:to>
      <xdr:col>10</xdr:col>
      <xdr:colOff>152400</xdr:colOff>
      <xdr:row>15</xdr:row>
      <xdr:rowOff>152400</xdr:rowOff>
    </xdr:to>
    <xdr:sp macro="" textlink="">
      <xdr:nvSpPr>
        <xdr:cNvPr id="14" name="Rectangle 1">
          <a:extLst>
            <a:ext uri="{FF2B5EF4-FFF2-40B4-BE49-F238E27FC236}">
              <a16:creationId xmlns:a16="http://schemas.microsoft.com/office/drawing/2014/main" id="{CD46C087-081B-481B-9FA9-0FB6DF876F98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15</xdr:row>
      <xdr:rowOff>60960</xdr:rowOff>
    </xdr:from>
    <xdr:to>
      <xdr:col>10</xdr:col>
      <xdr:colOff>906780</xdr:colOff>
      <xdr:row>15</xdr:row>
      <xdr:rowOff>152400</xdr:rowOff>
    </xdr:to>
    <xdr:sp macro="" textlink="">
      <xdr:nvSpPr>
        <xdr:cNvPr id="15" name="Rectangle 1">
          <a:extLst>
            <a:ext uri="{FF2B5EF4-FFF2-40B4-BE49-F238E27FC236}">
              <a16:creationId xmlns:a16="http://schemas.microsoft.com/office/drawing/2014/main" id="{366730D7-AFD8-47A5-88F4-B724BD01D0FC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16</xdr:row>
      <xdr:rowOff>60960</xdr:rowOff>
    </xdr:from>
    <xdr:to>
      <xdr:col>10</xdr:col>
      <xdr:colOff>152400</xdr:colOff>
      <xdr:row>16</xdr:row>
      <xdr:rowOff>152400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E834CC00-BD00-4A66-9D7D-D6C8A1A35064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16</xdr:row>
      <xdr:rowOff>60960</xdr:rowOff>
    </xdr:from>
    <xdr:to>
      <xdr:col>10</xdr:col>
      <xdr:colOff>906780</xdr:colOff>
      <xdr:row>16</xdr:row>
      <xdr:rowOff>152400</xdr:rowOff>
    </xdr:to>
    <xdr:sp macro="" textlink="">
      <xdr:nvSpPr>
        <xdr:cNvPr id="17" name="Rectangle 1">
          <a:extLst>
            <a:ext uri="{FF2B5EF4-FFF2-40B4-BE49-F238E27FC236}">
              <a16:creationId xmlns:a16="http://schemas.microsoft.com/office/drawing/2014/main" id="{C4E4A29E-5FE4-488C-B5CA-950D1641079A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17</xdr:row>
      <xdr:rowOff>60960</xdr:rowOff>
    </xdr:from>
    <xdr:to>
      <xdr:col>10</xdr:col>
      <xdr:colOff>152400</xdr:colOff>
      <xdr:row>17</xdr:row>
      <xdr:rowOff>152400</xdr:rowOff>
    </xdr:to>
    <xdr:sp macro="" textlink="">
      <xdr:nvSpPr>
        <xdr:cNvPr id="18" name="Rectangle 1">
          <a:extLst>
            <a:ext uri="{FF2B5EF4-FFF2-40B4-BE49-F238E27FC236}">
              <a16:creationId xmlns:a16="http://schemas.microsoft.com/office/drawing/2014/main" id="{340307AB-EC54-449C-8D80-B2342864282A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17</xdr:row>
      <xdr:rowOff>60960</xdr:rowOff>
    </xdr:from>
    <xdr:to>
      <xdr:col>10</xdr:col>
      <xdr:colOff>906780</xdr:colOff>
      <xdr:row>17</xdr:row>
      <xdr:rowOff>152400</xdr:rowOff>
    </xdr:to>
    <xdr:sp macro="" textlink="">
      <xdr:nvSpPr>
        <xdr:cNvPr id="19" name="Rectangle 1">
          <a:extLst>
            <a:ext uri="{FF2B5EF4-FFF2-40B4-BE49-F238E27FC236}">
              <a16:creationId xmlns:a16="http://schemas.microsoft.com/office/drawing/2014/main" id="{72F804DA-47AD-41DE-9B85-6D8C58FF079B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18</xdr:row>
      <xdr:rowOff>60960</xdr:rowOff>
    </xdr:from>
    <xdr:to>
      <xdr:col>10</xdr:col>
      <xdr:colOff>152400</xdr:colOff>
      <xdr:row>18</xdr:row>
      <xdr:rowOff>152400</xdr:rowOff>
    </xdr:to>
    <xdr:sp macro="" textlink="">
      <xdr:nvSpPr>
        <xdr:cNvPr id="20" name="Rectangle 1">
          <a:extLst>
            <a:ext uri="{FF2B5EF4-FFF2-40B4-BE49-F238E27FC236}">
              <a16:creationId xmlns:a16="http://schemas.microsoft.com/office/drawing/2014/main" id="{6DFFCBBD-6F47-4A30-BF6D-56C36654DBB3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18</xdr:row>
      <xdr:rowOff>60960</xdr:rowOff>
    </xdr:from>
    <xdr:to>
      <xdr:col>10</xdr:col>
      <xdr:colOff>906780</xdr:colOff>
      <xdr:row>18</xdr:row>
      <xdr:rowOff>152400</xdr:rowOff>
    </xdr:to>
    <xdr:sp macro="" textlink="">
      <xdr:nvSpPr>
        <xdr:cNvPr id="21" name="Rectangle 1">
          <a:extLst>
            <a:ext uri="{FF2B5EF4-FFF2-40B4-BE49-F238E27FC236}">
              <a16:creationId xmlns:a16="http://schemas.microsoft.com/office/drawing/2014/main" id="{9C5E9C3B-94D6-4850-ADD5-4D2D790EC148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19</xdr:row>
      <xdr:rowOff>60960</xdr:rowOff>
    </xdr:from>
    <xdr:to>
      <xdr:col>10</xdr:col>
      <xdr:colOff>152400</xdr:colOff>
      <xdr:row>19</xdr:row>
      <xdr:rowOff>152400</xdr:rowOff>
    </xdr:to>
    <xdr:sp macro="" textlink="">
      <xdr:nvSpPr>
        <xdr:cNvPr id="22" name="Rectangle 1">
          <a:extLst>
            <a:ext uri="{FF2B5EF4-FFF2-40B4-BE49-F238E27FC236}">
              <a16:creationId xmlns:a16="http://schemas.microsoft.com/office/drawing/2014/main" id="{607D99FA-5349-42E2-9BD0-A831525D117B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19</xdr:row>
      <xdr:rowOff>60960</xdr:rowOff>
    </xdr:from>
    <xdr:to>
      <xdr:col>10</xdr:col>
      <xdr:colOff>906780</xdr:colOff>
      <xdr:row>19</xdr:row>
      <xdr:rowOff>152400</xdr:rowOff>
    </xdr:to>
    <xdr:sp macro="" textlink="">
      <xdr:nvSpPr>
        <xdr:cNvPr id="23" name="Rectangle 1">
          <a:extLst>
            <a:ext uri="{FF2B5EF4-FFF2-40B4-BE49-F238E27FC236}">
              <a16:creationId xmlns:a16="http://schemas.microsoft.com/office/drawing/2014/main" id="{B6EE75E3-FE22-46BD-B613-2A886B207256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20</xdr:row>
      <xdr:rowOff>60960</xdr:rowOff>
    </xdr:from>
    <xdr:to>
      <xdr:col>10</xdr:col>
      <xdr:colOff>152400</xdr:colOff>
      <xdr:row>20</xdr:row>
      <xdr:rowOff>152400</xdr:rowOff>
    </xdr:to>
    <xdr:sp macro="" textlink="">
      <xdr:nvSpPr>
        <xdr:cNvPr id="24" name="Rectangle 1">
          <a:extLst>
            <a:ext uri="{FF2B5EF4-FFF2-40B4-BE49-F238E27FC236}">
              <a16:creationId xmlns:a16="http://schemas.microsoft.com/office/drawing/2014/main" id="{B4BF7E0C-8589-4611-9176-152CA5A8455E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20</xdr:row>
      <xdr:rowOff>60960</xdr:rowOff>
    </xdr:from>
    <xdr:to>
      <xdr:col>10</xdr:col>
      <xdr:colOff>906780</xdr:colOff>
      <xdr:row>20</xdr:row>
      <xdr:rowOff>152400</xdr:rowOff>
    </xdr:to>
    <xdr:sp macro="" textlink="">
      <xdr:nvSpPr>
        <xdr:cNvPr id="25" name="Rectangle 1">
          <a:extLst>
            <a:ext uri="{FF2B5EF4-FFF2-40B4-BE49-F238E27FC236}">
              <a16:creationId xmlns:a16="http://schemas.microsoft.com/office/drawing/2014/main" id="{9635C088-6185-4C02-AA66-37AB962874B1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21</xdr:row>
      <xdr:rowOff>60960</xdr:rowOff>
    </xdr:from>
    <xdr:to>
      <xdr:col>10</xdr:col>
      <xdr:colOff>152400</xdr:colOff>
      <xdr:row>21</xdr:row>
      <xdr:rowOff>152400</xdr:rowOff>
    </xdr:to>
    <xdr:sp macro="" textlink="">
      <xdr:nvSpPr>
        <xdr:cNvPr id="26" name="Rectangle 1">
          <a:extLst>
            <a:ext uri="{FF2B5EF4-FFF2-40B4-BE49-F238E27FC236}">
              <a16:creationId xmlns:a16="http://schemas.microsoft.com/office/drawing/2014/main" id="{DC5946A2-8EF8-4196-89F7-1E7031AFF2D8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21</xdr:row>
      <xdr:rowOff>60960</xdr:rowOff>
    </xdr:from>
    <xdr:to>
      <xdr:col>10</xdr:col>
      <xdr:colOff>906780</xdr:colOff>
      <xdr:row>21</xdr:row>
      <xdr:rowOff>152400</xdr:rowOff>
    </xdr:to>
    <xdr:sp macro="" textlink="">
      <xdr:nvSpPr>
        <xdr:cNvPr id="27" name="Rectangle 1">
          <a:extLst>
            <a:ext uri="{FF2B5EF4-FFF2-40B4-BE49-F238E27FC236}">
              <a16:creationId xmlns:a16="http://schemas.microsoft.com/office/drawing/2014/main" id="{7C814BD5-CEC5-4067-8CD6-6C7430F09863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22</xdr:row>
      <xdr:rowOff>60960</xdr:rowOff>
    </xdr:from>
    <xdr:to>
      <xdr:col>10</xdr:col>
      <xdr:colOff>152400</xdr:colOff>
      <xdr:row>22</xdr:row>
      <xdr:rowOff>152400</xdr:rowOff>
    </xdr:to>
    <xdr:sp macro="" textlink="">
      <xdr:nvSpPr>
        <xdr:cNvPr id="28" name="Rectangle 1">
          <a:extLst>
            <a:ext uri="{FF2B5EF4-FFF2-40B4-BE49-F238E27FC236}">
              <a16:creationId xmlns:a16="http://schemas.microsoft.com/office/drawing/2014/main" id="{483691CD-BE07-4034-BA88-5F078CDF7020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22</xdr:row>
      <xdr:rowOff>60960</xdr:rowOff>
    </xdr:from>
    <xdr:to>
      <xdr:col>10</xdr:col>
      <xdr:colOff>906780</xdr:colOff>
      <xdr:row>22</xdr:row>
      <xdr:rowOff>152400</xdr:rowOff>
    </xdr:to>
    <xdr:sp macro="" textlink="">
      <xdr:nvSpPr>
        <xdr:cNvPr id="29" name="Rectangle 1">
          <a:extLst>
            <a:ext uri="{FF2B5EF4-FFF2-40B4-BE49-F238E27FC236}">
              <a16:creationId xmlns:a16="http://schemas.microsoft.com/office/drawing/2014/main" id="{F6A80DD4-4C66-4F12-AD61-CFC6DC686196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23</xdr:row>
      <xdr:rowOff>60960</xdr:rowOff>
    </xdr:from>
    <xdr:to>
      <xdr:col>10</xdr:col>
      <xdr:colOff>152400</xdr:colOff>
      <xdr:row>23</xdr:row>
      <xdr:rowOff>152400</xdr:rowOff>
    </xdr:to>
    <xdr:sp macro="" textlink="">
      <xdr:nvSpPr>
        <xdr:cNvPr id="30" name="Rectangle 1">
          <a:extLst>
            <a:ext uri="{FF2B5EF4-FFF2-40B4-BE49-F238E27FC236}">
              <a16:creationId xmlns:a16="http://schemas.microsoft.com/office/drawing/2014/main" id="{B7943A70-CCA5-4F8B-9179-733FAA1F35CA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23</xdr:row>
      <xdr:rowOff>60960</xdr:rowOff>
    </xdr:from>
    <xdr:to>
      <xdr:col>10</xdr:col>
      <xdr:colOff>906780</xdr:colOff>
      <xdr:row>23</xdr:row>
      <xdr:rowOff>152400</xdr:rowOff>
    </xdr:to>
    <xdr:sp macro="" textlink="">
      <xdr:nvSpPr>
        <xdr:cNvPr id="31" name="Rectangle 1">
          <a:extLst>
            <a:ext uri="{FF2B5EF4-FFF2-40B4-BE49-F238E27FC236}">
              <a16:creationId xmlns:a16="http://schemas.microsoft.com/office/drawing/2014/main" id="{C5D97192-5DD6-4BF6-B4F0-D019EB783DB2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24</xdr:row>
      <xdr:rowOff>60960</xdr:rowOff>
    </xdr:from>
    <xdr:to>
      <xdr:col>10</xdr:col>
      <xdr:colOff>152400</xdr:colOff>
      <xdr:row>24</xdr:row>
      <xdr:rowOff>152400</xdr:rowOff>
    </xdr:to>
    <xdr:sp macro="" textlink="">
      <xdr:nvSpPr>
        <xdr:cNvPr id="32" name="Rectangle 1">
          <a:extLst>
            <a:ext uri="{FF2B5EF4-FFF2-40B4-BE49-F238E27FC236}">
              <a16:creationId xmlns:a16="http://schemas.microsoft.com/office/drawing/2014/main" id="{FD8BA7AC-DB4A-4DF0-9C9A-C2BF05C362F6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24</xdr:row>
      <xdr:rowOff>60960</xdr:rowOff>
    </xdr:from>
    <xdr:to>
      <xdr:col>10</xdr:col>
      <xdr:colOff>906780</xdr:colOff>
      <xdr:row>24</xdr:row>
      <xdr:rowOff>152400</xdr:rowOff>
    </xdr:to>
    <xdr:sp macro="" textlink="">
      <xdr:nvSpPr>
        <xdr:cNvPr id="33" name="Rectangle 1">
          <a:extLst>
            <a:ext uri="{FF2B5EF4-FFF2-40B4-BE49-F238E27FC236}">
              <a16:creationId xmlns:a16="http://schemas.microsoft.com/office/drawing/2014/main" id="{726E5E38-1B71-4A52-8979-3D159CB176B7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25</xdr:row>
      <xdr:rowOff>60960</xdr:rowOff>
    </xdr:from>
    <xdr:to>
      <xdr:col>10</xdr:col>
      <xdr:colOff>152400</xdr:colOff>
      <xdr:row>25</xdr:row>
      <xdr:rowOff>152400</xdr:rowOff>
    </xdr:to>
    <xdr:sp macro="" textlink="">
      <xdr:nvSpPr>
        <xdr:cNvPr id="34" name="Rectangle 1">
          <a:extLst>
            <a:ext uri="{FF2B5EF4-FFF2-40B4-BE49-F238E27FC236}">
              <a16:creationId xmlns:a16="http://schemas.microsoft.com/office/drawing/2014/main" id="{90449513-C54A-411D-9BB9-25022AB2DA65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25</xdr:row>
      <xdr:rowOff>60960</xdr:rowOff>
    </xdr:from>
    <xdr:to>
      <xdr:col>10</xdr:col>
      <xdr:colOff>906780</xdr:colOff>
      <xdr:row>25</xdr:row>
      <xdr:rowOff>152400</xdr:rowOff>
    </xdr:to>
    <xdr:sp macro="" textlink="">
      <xdr:nvSpPr>
        <xdr:cNvPr id="35" name="Rectangle 1">
          <a:extLst>
            <a:ext uri="{FF2B5EF4-FFF2-40B4-BE49-F238E27FC236}">
              <a16:creationId xmlns:a16="http://schemas.microsoft.com/office/drawing/2014/main" id="{A7571C2C-A3CE-43CD-AAC5-B5BB84AC4EFA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26</xdr:row>
      <xdr:rowOff>60960</xdr:rowOff>
    </xdr:from>
    <xdr:to>
      <xdr:col>10</xdr:col>
      <xdr:colOff>152400</xdr:colOff>
      <xdr:row>26</xdr:row>
      <xdr:rowOff>152400</xdr:rowOff>
    </xdr:to>
    <xdr:sp macro="" textlink="">
      <xdr:nvSpPr>
        <xdr:cNvPr id="36" name="Rectangle 1">
          <a:extLst>
            <a:ext uri="{FF2B5EF4-FFF2-40B4-BE49-F238E27FC236}">
              <a16:creationId xmlns:a16="http://schemas.microsoft.com/office/drawing/2014/main" id="{8B883D4B-7B34-42E9-BB6B-956ED834D59F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26</xdr:row>
      <xdr:rowOff>60960</xdr:rowOff>
    </xdr:from>
    <xdr:to>
      <xdr:col>10</xdr:col>
      <xdr:colOff>906780</xdr:colOff>
      <xdr:row>26</xdr:row>
      <xdr:rowOff>152400</xdr:rowOff>
    </xdr:to>
    <xdr:sp macro="" textlink="">
      <xdr:nvSpPr>
        <xdr:cNvPr id="37" name="Rectangle 1">
          <a:extLst>
            <a:ext uri="{FF2B5EF4-FFF2-40B4-BE49-F238E27FC236}">
              <a16:creationId xmlns:a16="http://schemas.microsoft.com/office/drawing/2014/main" id="{4201FC00-4E78-4CF4-96CF-C3DF21F22587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27</xdr:row>
      <xdr:rowOff>60960</xdr:rowOff>
    </xdr:from>
    <xdr:to>
      <xdr:col>10</xdr:col>
      <xdr:colOff>152400</xdr:colOff>
      <xdr:row>27</xdr:row>
      <xdr:rowOff>152400</xdr:rowOff>
    </xdr:to>
    <xdr:sp macro="" textlink="">
      <xdr:nvSpPr>
        <xdr:cNvPr id="38" name="Rectangle 1">
          <a:extLst>
            <a:ext uri="{FF2B5EF4-FFF2-40B4-BE49-F238E27FC236}">
              <a16:creationId xmlns:a16="http://schemas.microsoft.com/office/drawing/2014/main" id="{72028804-2831-4B60-B29B-CCAE760B7469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27</xdr:row>
      <xdr:rowOff>60960</xdr:rowOff>
    </xdr:from>
    <xdr:to>
      <xdr:col>10</xdr:col>
      <xdr:colOff>906780</xdr:colOff>
      <xdr:row>27</xdr:row>
      <xdr:rowOff>152400</xdr:rowOff>
    </xdr:to>
    <xdr:sp macro="" textlink="">
      <xdr:nvSpPr>
        <xdr:cNvPr id="39" name="Rectangle 1">
          <a:extLst>
            <a:ext uri="{FF2B5EF4-FFF2-40B4-BE49-F238E27FC236}">
              <a16:creationId xmlns:a16="http://schemas.microsoft.com/office/drawing/2014/main" id="{01CFED0D-9A58-4B1B-B243-01BC8436AE99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28</xdr:row>
      <xdr:rowOff>60960</xdr:rowOff>
    </xdr:from>
    <xdr:to>
      <xdr:col>10</xdr:col>
      <xdr:colOff>152400</xdr:colOff>
      <xdr:row>28</xdr:row>
      <xdr:rowOff>152400</xdr:rowOff>
    </xdr:to>
    <xdr:sp macro="" textlink="">
      <xdr:nvSpPr>
        <xdr:cNvPr id="40" name="Rectangle 1">
          <a:extLst>
            <a:ext uri="{FF2B5EF4-FFF2-40B4-BE49-F238E27FC236}">
              <a16:creationId xmlns:a16="http://schemas.microsoft.com/office/drawing/2014/main" id="{41C94801-7942-4678-A0F0-E028F3657F04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28</xdr:row>
      <xdr:rowOff>60960</xdr:rowOff>
    </xdr:from>
    <xdr:to>
      <xdr:col>10</xdr:col>
      <xdr:colOff>906780</xdr:colOff>
      <xdr:row>28</xdr:row>
      <xdr:rowOff>152400</xdr:rowOff>
    </xdr:to>
    <xdr:sp macro="" textlink="">
      <xdr:nvSpPr>
        <xdr:cNvPr id="41" name="Rectangle 1">
          <a:extLst>
            <a:ext uri="{FF2B5EF4-FFF2-40B4-BE49-F238E27FC236}">
              <a16:creationId xmlns:a16="http://schemas.microsoft.com/office/drawing/2014/main" id="{84106965-A107-4607-B5DB-4AF8F061CD7E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29</xdr:row>
      <xdr:rowOff>60960</xdr:rowOff>
    </xdr:from>
    <xdr:to>
      <xdr:col>10</xdr:col>
      <xdr:colOff>152400</xdr:colOff>
      <xdr:row>29</xdr:row>
      <xdr:rowOff>152400</xdr:rowOff>
    </xdr:to>
    <xdr:sp macro="" textlink="">
      <xdr:nvSpPr>
        <xdr:cNvPr id="42" name="Rectangle 1">
          <a:extLst>
            <a:ext uri="{FF2B5EF4-FFF2-40B4-BE49-F238E27FC236}">
              <a16:creationId xmlns:a16="http://schemas.microsoft.com/office/drawing/2014/main" id="{B40F8F0A-BA1E-450C-A158-34AAD635AE23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29</xdr:row>
      <xdr:rowOff>60960</xdr:rowOff>
    </xdr:from>
    <xdr:to>
      <xdr:col>10</xdr:col>
      <xdr:colOff>906780</xdr:colOff>
      <xdr:row>29</xdr:row>
      <xdr:rowOff>152400</xdr:rowOff>
    </xdr:to>
    <xdr:sp macro="" textlink="">
      <xdr:nvSpPr>
        <xdr:cNvPr id="43" name="Rectangle 1">
          <a:extLst>
            <a:ext uri="{FF2B5EF4-FFF2-40B4-BE49-F238E27FC236}">
              <a16:creationId xmlns:a16="http://schemas.microsoft.com/office/drawing/2014/main" id="{161E8447-DC11-42C8-9E99-82CCE37B0556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30</xdr:row>
      <xdr:rowOff>60960</xdr:rowOff>
    </xdr:from>
    <xdr:to>
      <xdr:col>10</xdr:col>
      <xdr:colOff>152400</xdr:colOff>
      <xdr:row>30</xdr:row>
      <xdr:rowOff>152400</xdr:rowOff>
    </xdr:to>
    <xdr:sp macro="" textlink="">
      <xdr:nvSpPr>
        <xdr:cNvPr id="44" name="Rectangle 1">
          <a:extLst>
            <a:ext uri="{FF2B5EF4-FFF2-40B4-BE49-F238E27FC236}">
              <a16:creationId xmlns:a16="http://schemas.microsoft.com/office/drawing/2014/main" id="{7B7AD62A-D3ED-4013-9285-B396432F18BA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30</xdr:row>
      <xdr:rowOff>60960</xdr:rowOff>
    </xdr:from>
    <xdr:to>
      <xdr:col>10</xdr:col>
      <xdr:colOff>906780</xdr:colOff>
      <xdr:row>30</xdr:row>
      <xdr:rowOff>152400</xdr:rowOff>
    </xdr:to>
    <xdr:sp macro="" textlink="">
      <xdr:nvSpPr>
        <xdr:cNvPr id="45" name="Rectangle 1">
          <a:extLst>
            <a:ext uri="{FF2B5EF4-FFF2-40B4-BE49-F238E27FC236}">
              <a16:creationId xmlns:a16="http://schemas.microsoft.com/office/drawing/2014/main" id="{320DBC02-8D13-4D5B-A13B-CFD480588AE8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31</xdr:row>
      <xdr:rowOff>60960</xdr:rowOff>
    </xdr:from>
    <xdr:to>
      <xdr:col>10</xdr:col>
      <xdr:colOff>152400</xdr:colOff>
      <xdr:row>31</xdr:row>
      <xdr:rowOff>152400</xdr:rowOff>
    </xdr:to>
    <xdr:sp macro="" textlink="">
      <xdr:nvSpPr>
        <xdr:cNvPr id="46" name="Rectangle 1">
          <a:extLst>
            <a:ext uri="{FF2B5EF4-FFF2-40B4-BE49-F238E27FC236}">
              <a16:creationId xmlns:a16="http://schemas.microsoft.com/office/drawing/2014/main" id="{CABE30B4-3711-4C56-94D0-E7395910DCF3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31</xdr:row>
      <xdr:rowOff>60960</xdr:rowOff>
    </xdr:from>
    <xdr:to>
      <xdr:col>10</xdr:col>
      <xdr:colOff>906780</xdr:colOff>
      <xdr:row>31</xdr:row>
      <xdr:rowOff>152400</xdr:rowOff>
    </xdr:to>
    <xdr:sp macro="" textlink="">
      <xdr:nvSpPr>
        <xdr:cNvPr id="47" name="Rectangle 1">
          <a:extLst>
            <a:ext uri="{FF2B5EF4-FFF2-40B4-BE49-F238E27FC236}">
              <a16:creationId xmlns:a16="http://schemas.microsoft.com/office/drawing/2014/main" id="{664CDC9A-3976-472A-8753-43D9EC5AB3C9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32</xdr:row>
      <xdr:rowOff>60960</xdr:rowOff>
    </xdr:from>
    <xdr:to>
      <xdr:col>10</xdr:col>
      <xdr:colOff>152400</xdr:colOff>
      <xdr:row>32</xdr:row>
      <xdr:rowOff>152400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CFCCCC7A-E7F3-4B78-84C8-092F8EA22538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32</xdr:row>
      <xdr:rowOff>60960</xdr:rowOff>
    </xdr:from>
    <xdr:to>
      <xdr:col>10</xdr:col>
      <xdr:colOff>906780</xdr:colOff>
      <xdr:row>32</xdr:row>
      <xdr:rowOff>152400</xdr:rowOff>
    </xdr:to>
    <xdr:sp macro="" textlink="">
      <xdr:nvSpPr>
        <xdr:cNvPr id="49" name="Rectangle 1">
          <a:extLst>
            <a:ext uri="{FF2B5EF4-FFF2-40B4-BE49-F238E27FC236}">
              <a16:creationId xmlns:a16="http://schemas.microsoft.com/office/drawing/2014/main" id="{216F33A3-E08C-4679-A635-BC43ADA7BB50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33</xdr:row>
      <xdr:rowOff>60960</xdr:rowOff>
    </xdr:from>
    <xdr:to>
      <xdr:col>10</xdr:col>
      <xdr:colOff>152400</xdr:colOff>
      <xdr:row>33</xdr:row>
      <xdr:rowOff>152400</xdr:rowOff>
    </xdr:to>
    <xdr:sp macro="" textlink="">
      <xdr:nvSpPr>
        <xdr:cNvPr id="50" name="Rectangle 1">
          <a:extLst>
            <a:ext uri="{FF2B5EF4-FFF2-40B4-BE49-F238E27FC236}">
              <a16:creationId xmlns:a16="http://schemas.microsoft.com/office/drawing/2014/main" id="{439A2FB9-5047-4D5C-A2D5-066006809945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33</xdr:row>
      <xdr:rowOff>60960</xdr:rowOff>
    </xdr:from>
    <xdr:to>
      <xdr:col>10</xdr:col>
      <xdr:colOff>906780</xdr:colOff>
      <xdr:row>33</xdr:row>
      <xdr:rowOff>152400</xdr:rowOff>
    </xdr:to>
    <xdr:sp macro="" textlink="">
      <xdr:nvSpPr>
        <xdr:cNvPr id="51" name="Rectangle 1">
          <a:extLst>
            <a:ext uri="{FF2B5EF4-FFF2-40B4-BE49-F238E27FC236}">
              <a16:creationId xmlns:a16="http://schemas.microsoft.com/office/drawing/2014/main" id="{F314F699-60D2-4BA6-84D6-D90AA45B028B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34</xdr:row>
      <xdr:rowOff>60960</xdr:rowOff>
    </xdr:from>
    <xdr:to>
      <xdr:col>10</xdr:col>
      <xdr:colOff>152400</xdr:colOff>
      <xdr:row>34</xdr:row>
      <xdr:rowOff>152400</xdr:rowOff>
    </xdr:to>
    <xdr:sp macro="" textlink="">
      <xdr:nvSpPr>
        <xdr:cNvPr id="52" name="Rectangle 1">
          <a:extLst>
            <a:ext uri="{FF2B5EF4-FFF2-40B4-BE49-F238E27FC236}">
              <a16:creationId xmlns:a16="http://schemas.microsoft.com/office/drawing/2014/main" id="{A2EE8626-62CC-44C9-8882-10CA72594DAA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34</xdr:row>
      <xdr:rowOff>60960</xdr:rowOff>
    </xdr:from>
    <xdr:to>
      <xdr:col>10</xdr:col>
      <xdr:colOff>906780</xdr:colOff>
      <xdr:row>34</xdr:row>
      <xdr:rowOff>152400</xdr:rowOff>
    </xdr:to>
    <xdr:sp macro="" textlink="">
      <xdr:nvSpPr>
        <xdr:cNvPr id="53" name="Rectangle 1">
          <a:extLst>
            <a:ext uri="{FF2B5EF4-FFF2-40B4-BE49-F238E27FC236}">
              <a16:creationId xmlns:a16="http://schemas.microsoft.com/office/drawing/2014/main" id="{FA55B98F-CE39-488E-9BCD-3A43E7DFB6D4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35</xdr:row>
      <xdr:rowOff>60960</xdr:rowOff>
    </xdr:from>
    <xdr:to>
      <xdr:col>10</xdr:col>
      <xdr:colOff>152400</xdr:colOff>
      <xdr:row>35</xdr:row>
      <xdr:rowOff>152400</xdr:rowOff>
    </xdr:to>
    <xdr:sp macro="" textlink="">
      <xdr:nvSpPr>
        <xdr:cNvPr id="54" name="Rectangle 1">
          <a:extLst>
            <a:ext uri="{FF2B5EF4-FFF2-40B4-BE49-F238E27FC236}">
              <a16:creationId xmlns:a16="http://schemas.microsoft.com/office/drawing/2014/main" id="{997B92AD-B2A9-43AC-A554-8B70B3E3E2F1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35</xdr:row>
      <xdr:rowOff>60960</xdr:rowOff>
    </xdr:from>
    <xdr:to>
      <xdr:col>10</xdr:col>
      <xdr:colOff>906780</xdr:colOff>
      <xdr:row>35</xdr:row>
      <xdr:rowOff>152400</xdr:rowOff>
    </xdr:to>
    <xdr:sp macro="" textlink="">
      <xdr:nvSpPr>
        <xdr:cNvPr id="55" name="Rectangle 1">
          <a:extLst>
            <a:ext uri="{FF2B5EF4-FFF2-40B4-BE49-F238E27FC236}">
              <a16:creationId xmlns:a16="http://schemas.microsoft.com/office/drawing/2014/main" id="{9ABDC56B-264E-4A71-9D08-8BEEFE00897B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36</xdr:row>
      <xdr:rowOff>60960</xdr:rowOff>
    </xdr:from>
    <xdr:to>
      <xdr:col>10</xdr:col>
      <xdr:colOff>152400</xdr:colOff>
      <xdr:row>36</xdr:row>
      <xdr:rowOff>152400</xdr:rowOff>
    </xdr:to>
    <xdr:sp macro="" textlink="">
      <xdr:nvSpPr>
        <xdr:cNvPr id="56" name="Rectangle 1">
          <a:extLst>
            <a:ext uri="{FF2B5EF4-FFF2-40B4-BE49-F238E27FC236}">
              <a16:creationId xmlns:a16="http://schemas.microsoft.com/office/drawing/2014/main" id="{E69218FB-2CA2-4E80-BBD0-2F5C54016303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36</xdr:row>
      <xdr:rowOff>60960</xdr:rowOff>
    </xdr:from>
    <xdr:to>
      <xdr:col>10</xdr:col>
      <xdr:colOff>906780</xdr:colOff>
      <xdr:row>36</xdr:row>
      <xdr:rowOff>152400</xdr:rowOff>
    </xdr:to>
    <xdr:sp macro="" textlink="">
      <xdr:nvSpPr>
        <xdr:cNvPr id="57" name="Rectangle 1">
          <a:extLst>
            <a:ext uri="{FF2B5EF4-FFF2-40B4-BE49-F238E27FC236}">
              <a16:creationId xmlns:a16="http://schemas.microsoft.com/office/drawing/2014/main" id="{A35CFA1A-08B1-41B6-B9C8-22CC24FF941B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37</xdr:row>
      <xdr:rowOff>60960</xdr:rowOff>
    </xdr:from>
    <xdr:to>
      <xdr:col>10</xdr:col>
      <xdr:colOff>152400</xdr:colOff>
      <xdr:row>37</xdr:row>
      <xdr:rowOff>152400</xdr:rowOff>
    </xdr:to>
    <xdr:sp macro="" textlink="">
      <xdr:nvSpPr>
        <xdr:cNvPr id="58" name="Rectangle 1">
          <a:extLst>
            <a:ext uri="{FF2B5EF4-FFF2-40B4-BE49-F238E27FC236}">
              <a16:creationId xmlns:a16="http://schemas.microsoft.com/office/drawing/2014/main" id="{1817A7FA-325D-4F90-8915-F3D46EA1F1B4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37</xdr:row>
      <xdr:rowOff>60960</xdr:rowOff>
    </xdr:from>
    <xdr:to>
      <xdr:col>10</xdr:col>
      <xdr:colOff>906780</xdr:colOff>
      <xdr:row>37</xdr:row>
      <xdr:rowOff>152400</xdr:rowOff>
    </xdr:to>
    <xdr:sp macro="" textlink="">
      <xdr:nvSpPr>
        <xdr:cNvPr id="59" name="Rectangle 1">
          <a:extLst>
            <a:ext uri="{FF2B5EF4-FFF2-40B4-BE49-F238E27FC236}">
              <a16:creationId xmlns:a16="http://schemas.microsoft.com/office/drawing/2014/main" id="{2AC4B607-2BA0-4FB3-B9C8-3CD5CECF9523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38</xdr:row>
      <xdr:rowOff>60960</xdr:rowOff>
    </xdr:from>
    <xdr:to>
      <xdr:col>10</xdr:col>
      <xdr:colOff>152400</xdr:colOff>
      <xdr:row>38</xdr:row>
      <xdr:rowOff>152400</xdr:rowOff>
    </xdr:to>
    <xdr:sp macro="" textlink="">
      <xdr:nvSpPr>
        <xdr:cNvPr id="60" name="Rectangle 1">
          <a:extLst>
            <a:ext uri="{FF2B5EF4-FFF2-40B4-BE49-F238E27FC236}">
              <a16:creationId xmlns:a16="http://schemas.microsoft.com/office/drawing/2014/main" id="{D2FFD02B-B2C3-445D-B988-EA9FF0EA6F2F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38</xdr:row>
      <xdr:rowOff>60960</xdr:rowOff>
    </xdr:from>
    <xdr:to>
      <xdr:col>10</xdr:col>
      <xdr:colOff>906780</xdr:colOff>
      <xdr:row>38</xdr:row>
      <xdr:rowOff>152400</xdr:rowOff>
    </xdr:to>
    <xdr:sp macro="" textlink="">
      <xdr:nvSpPr>
        <xdr:cNvPr id="61" name="Rectangle 1">
          <a:extLst>
            <a:ext uri="{FF2B5EF4-FFF2-40B4-BE49-F238E27FC236}">
              <a16:creationId xmlns:a16="http://schemas.microsoft.com/office/drawing/2014/main" id="{5FC22107-E8D1-45E9-B871-9EC41473F3E9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39</xdr:row>
      <xdr:rowOff>60960</xdr:rowOff>
    </xdr:from>
    <xdr:to>
      <xdr:col>10</xdr:col>
      <xdr:colOff>152400</xdr:colOff>
      <xdr:row>39</xdr:row>
      <xdr:rowOff>152400</xdr:rowOff>
    </xdr:to>
    <xdr:sp macro="" textlink="">
      <xdr:nvSpPr>
        <xdr:cNvPr id="62" name="Rectangle 1">
          <a:extLst>
            <a:ext uri="{FF2B5EF4-FFF2-40B4-BE49-F238E27FC236}">
              <a16:creationId xmlns:a16="http://schemas.microsoft.com/office/drawing/2014/main" id="{7D3B158F-E9A0-4D2A-96DD-B8AA25B75E0A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39</xdr:row>
      <xdr:rowOff>60960</xdr:rowOff>
    </xdr:from>
    <xdr:to>
      <xdr:col>10</xdr:col>
      <xdr:colOff>906780</xdr:colOff>
      <xdr:row>39</xdr:row>
      <xdr:rowOff>152400</xdr:rowOff>
    </xdr:to>
    <xdr:sp macro="" textlink="">
      <xdr:nvSpPr>
        <xdr:cNvPr id="63" name="Rectangle 1">
          <a:extLst>
            <a:ext uri="{FF2B5EF4-FFF2-40B4-BE49-F238E27FC236}">
              <a16:creationId xmlns:a16="http://schemas.microsoft.com/office/drawing/2014/main" id="{C3A5C582-AA9E-4238-9B6E-536FD248F5AC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40</xdr:row>
      <xdr:rowOff>60960</xdr:rowOff>
    </xdr:from>
    <xdr:to>
      <xdr:col>10</xdr:col>
      <xdr:colOff>152400</xdr:colOff>
      <xdr:row>40</xdr:row>
      <xdr:rowOff>152400</xdr:rowOff>
    </xdr:to>
    <xdr:sp macro="" textlink="">
      <xdr:nvSpPr>
        <xdr:cNvPr id="64" name="Rectangle 1">
          <a:extLst>
            <a:ext uri="{FF2B5EF4-FFF2-40B4-BE49-F238E27FC236}">
              <a16:creationId xmlns:a16="http://schemas.microsoft.com/office/drawing/2014/main" id="{9DCE1BDD-4B74-40F3-A2FB-E8F6AC877DD5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40</xdr:row>
      <xdr:rowOff>60960</xdr:rowOff>
    </xdr:from>
    <xdr:to>
      <xdr:col>10</xdr:col>
      <xdr:colOff>906780</xdr:colOff>
      <xdr:row>40</xdr:row>
      <xdr:rowOff>152400</xdr:rowOff>
    </xdr:to>
    <xdr:sp macro="" textlink="">
      <xdr:nvSpPr>
        <xdr:cNvPr id="65" name="Rectangle 1">
          <a:extLst>
            <a:ext uri="{FF2B5EF4-FFF2-40B4-BE49-F238E27FC236}">
              <a16:creationId xmlns:a16="http://schemas.microsoft.com/office/drawing/2014/main" id="{4A95F374-CF68-4CDF-8121-A1F45E774E5D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41</xdr:row>
      <xdr:rowOff>60960</xdr:rowOff>
    </xdr:from>
    <xdr:to>
      <xdr:col>10</xdr:col>
      <xdr:colOff>152400</xdr:colOff>
      <xdr:row>41</xdr:row>
      <xdr:rowOff>152400</xdr:rowOff>
    </xdr:to>
    <xdr:sp macro="" textlink="">
      <xdr:nvSpPr>
        <xdr:cNvPr id="66" name="Rectangle 1">
          <a:extLst>
            <a:ext uri="{FF2B5EF4-FFF2-40B4-BE49-F238E27FC236}">
              <a16:creationId xmlns:a16="http://schemas.microsoft.com/office/drawing/2014/main" id="{F8F21A8C-9CB3-4DD2-A0BC-E6951D4E6B12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41</xdr:row>
      <xdr:rowOff>60960</xdr:rowOff>
    </xdr:from>
    <xdr:to>
      <xdr:col>10</xdr:col>
      <xdr:colOff>906780</xdr:colOff>
      <xdr:row>41</xdr:row>
      <xdr:rowOff>152400</xdr:rowOff>
    </xdr:to>
    <xdr:sp macro="" textlink="">
      <xdr:nvSpPr>
        <xdr:cNvPr id="67" name="Rectangle 1">
          <a:extLst>
            <a:ext uri="{FF2B5EF4-FFF2-40B4-BE49-F238E27FC236}">
              <a16:creationId xmlns:a16="http://schemas.microsoft.com/office/drawing/2014/main" id="{6180BD09-91F5-4B07-AE54-3B02E631C98A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42</xdr:row>
      <xdr:rowOff>60960</xdr:rowOff>
    </xdr:from>
    <xdr:to>
      <xdr:col>10</xdr:col>
      <xdr:colOff>152400</xdr:colOff>
      <xdr:row>42</xdr:row>
      <xdr:rowOff>152400</xdr:rowOff>
    </xdr:to>
    <xdr:sp macro="" textlink="">
      <xdr:nvSpPr>
        <xdr:cNvPr id="68" name="Rectangle 1">
          <a:extLst>
            <a:ext uri="{FF2B5EF4-FFF2-40B4-BE49-F238E27FC236}">
              <a16:creationId xmlns:a16="http://schemas.microsoft.com/office/drawing/2014/main" id="{B3F45380-CD7C-4EA0-AC20-852DF16C998E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42</xdr:row>
      <xdr:rowOff>60960</xdr:rowOff>
    </xdr:from>
    <xdr:to>
      <xdr:col>10</xdr:col>
      <xdr:colOff>906780</xdr:colOff>
      <xdr:row>42</xdr:row>
      <xdr:rowOff>152400</xdr:rowOff>
    </xdr:to>
    <xdr:sp macro="" textlink="">
      <xdr:nvSpPr>
        <xdr:cNvPr id="69" name="Rectangle 1">
          <a:extLst>
            <a:ext uri="{FF2B5EF4-FFF2-40B4-BE49-F238E27FC236}">
              <a16:creationId xmlns:a16="http://schemas.microsoft.com/office/drawing/2014/main" id="{29150474-46DB-479F-B5A3-B086281CA5B9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43</xdr:row>
      <xdr:rowOff>60960</xdr:rowOff>
    </xdr:from>
    <xdr:to>
      <xdr:col>10</xdr:col>
      <xdr:colOff>152400</xdr:colOff>
      <xdr:row>43</xdr:row>
      <xdr:rowOff>152400</xdr:rowOff>
    </xdr:to>
    <xdr:sp macro="" textlink="">
      <xdr:nvSpPr>
        <xdr:cNvPr id="70" name="Rectangle 1">
          <a:extLst>
            <a:ext uri="{FF2B5EF4-FFF2-40B4-BE49-F238E27FC236}">
              <a16:creationId xmlns:a16="http://schemas.microsoft.com/office/drawing/2014/main" id="{FC2E6046-3F76-4E51-8E20-5BD8499F690D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43</xdr:row>
      <xdr:rowOff>60960</xdr:rowOff>
    </xdr:from>
    <xdr:to>
      <xdr:col>10</xdr:col>
      <xdr:colOff>906780</xdr:colOff>
      <xdr:row>43</xdr:row>
      <xdr:rowOff>152400</xdr:rowOff>
    </xdr:to>
    <xdr:sp macro="" textlink="">
      <xdr:nvSpPr>
        <xdr:cNvPr id="71" name="Rectangle 1">
          <a:extLst>
            <a:ext uri="{FF2B5EF4-FFF2-40B4-BE49-F238E27FC236}">
              <a16:creationId xmlns:a16="http://schemas.microsoft.com/office/drawing/2014/main" id="{8D726D36-FE9C-4C26-95FF-A4E011019FA1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44</xdr:row>
      <xdr:rowOff>60960</xdr:rowOff>
    </xdr:from>
    <xdr:to>
      <xdr:col>10</xdr:col>
      <xdr:colOff>152400</xdr:colOff>
      <xdr:row>44</xdr:row>
      <xdr:rowOff>152400</xdr:rowOff>
    </xdr:to>
    <xdr:sp macro="" textlink="">
      <xdr:nvSpPr>
        <xdr:cNvPr id="72" name="Rectangle 1">
          <a:extLst>
            <a:ext uri="{FF2B5EF4-FFF2-40B4-BE49-F238E27FC236}">
              <a16:creationId xmlns:a16="http://schemas.microsoft.com/office/drawing/2014/main" id="{F12290C4-2809-4597-B672-92C9A5C4C2FA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44</xdr:row>
      <xdr:rowOff>60960</xdr:rowOff>
    </xdr:from>
    <xdr:to>
      <xdr:col>10</xdr:col>
      <xdr:colOff>906780</xdr:colOff>
      <xdr:row>44</xdr:row>
      <xdr:rowOff>152400</xdr:rowOff>
    </xdr:to>
    <xdr:sp macro="" textlink="">
      <xdr:nvSpPr>
        <xdr:cNvPr id="73" name="Rectangle 1">
          <a:extLst>
            <a:ext uri="{FF2B5EF4-FFF2-40B4-BE49-F238E27FC236}">
              <a16:creationId xmlns:a16="http://schemas.microsoft.com/office/drawing/2014/main" id="{B24E6FD9-76D5-40A0-A9AD-7523F7D9739D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45</xdr:row>
      <xdr:rowOff>60960</xdr:rowOff>
    </xdr:from>
    <xdr:to>
      <xdr:col>10</xdr:col>
      <xdr:colOff>152400</xdr:colOff>
      <xdr:row>45</xdr:row>
      <xdr:rowOff>152400</xdr:rowOff>
    </xdr:to>
    <xdr:sp macro="" textlink="">
      <xdr:nvSpPr>
        <xdr:cNvPr id="74" name="Rectangle 1">
          <a:extLst>
            <a:ext uri="{FF2B5EF4-FFF2-40B4-BE49-F238E27FC236}">
              <a16:creationId xmlns:a16="http://schemas.microsoft.com/office/drawing/2014/main" id="{4839FFD2-1846-4ACB-B4A7-4E0CFCE30C5C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45</xdr:row>
      <xdr:rowOff>60960</xdr:rowOff>
    </xdr:from>
    <xdr:to>
      <xdr:col>10</xdr:col>
      <xdr:colOff>906780</xdr:colOff>
      <xdr:row>45</xdr:row>
      <xdr:rowOff>152400</xdr:rowOff>
    </xdr:to>
    <xdr:sp macro="" textlink="">
      <xdr:nvSpPr>
        <xdr:cNvPr id="75" name="Rectangle 1">
          <a:extLst>
            <a:ext uri="{FF2B5EF4-FFF2-40B4-BE49-F238E27FC236}">
              <a16:creationId xmlns:a16="http://schemas.microsoft.com/office/drawing/2014/main" id="{CC62D855-7603-42CB-B42D-85E0BF827276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46</xdr:row>
      <xdr:rowOff>60960</xdr:rowOff>
    </xdr:from>
    <xdr:to>
      <xdr:col>10</xdr:col>
      <xdr:colOff>152400</xdr:colOff>
      <xdr:row>46</xdr:row>
      <xdr:rowOff>152400</xdr:rowOff>
    </xdr:to>
    <xdr:sp macro="" textlink="">
      <xdr:nvSpPr>
        <xdr:cNvPr id="76" name="Rectangle 1">
          <a:extLst>
            <a:ext uri="{FF2B5EF4-FFF2-40B4-BE49-F238E27FC236}">
              <a16:creationId xmlns:a16="http://schemas.microsoft.com/office/drawing/2014/main" id="{86F1567E-4B41-4CCD-9827-6DCD299CF593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46</xdr:row>
      <xdr:rowOff>60960</xdr:rowOff>
    </xdr:from>
    <xdr:to>
      <xdr:col>10</xdr:col>
      <xdr:colOff>906780</xdr:colOff>
      <xdr:row>46</xdr:row>
      <xdr:rowOff>152400</xdr:rowOff>
    </xdr:to>
    <xdr:sp macro="" textlink="">
      <xdr:nvSpPr>
        <xdr:cNvPr id="77" name="Rectangle 1">
          <a:extLst>
            <a:ext uri="{FF2B5EF4-FFF2-40B4-BE49-F238E27FC236}">
              <a16:creationId xmlns:a16="http://schemas.microsoft.com/office/drawing/2014/main" id="{E23F204E-9FCC-4142-B305-FBF768CC3D59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47</xdr:row>
      <xdr:rowOff>60960</xdr:rowOff>
    </xdr:from>
    <xdr:to>
      <xdr:col>10</xdr:col>
      <xdr:colOff>152400</xdr:colOff>
      <xdr:row>47</xdr:row>
      <xdr:rowOff>152400</xdr:rowOff>
    </xdr:to>
    <xdr:sp macro="" textlink="">
      <xdr:nvSpPr>
        <xdr:cNvPr id="78" name="Rectangle 1">
          <a:extLst>
            <a:ext uri="{FF2B5EF4-FFF2-40B4-BE49-F238E27FC236}">
              <a16:creationId xmlns:a16="http://schemas.microsoft.com/office/drawing/2014/main" id="{13E54B1F-CFC0-493B-97B0-8D8343B448B0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47</xdr:row>
      <xdr:rowOff>60960</xdr:rowOff>
    </xdr:from>
    <xdr:to>
      <xdr:col>10</xdr:col>
      <xdr:colOff>906780</xdr:colOff>
      <xdr:row>47</xdr:row>
      <xdr:rowOff>152400</xdr:rowOff>
    </xdr:to>
    <xdr:sp macro="" textlink="">
      <xdr:nvSpPr>
        <xdr:cNvPr id="79" name="Rectangle 1">
          <a:extLst>
            <a:ext uri="{FF2B5EF4-FFF2-40B4-BE49-F238E27FC236}">
              <a16:creationId xmlns:a16="http://schemas.microsoft.com/office/drawing/2014/main" id="{9082E66F-19B8-4893-A43C-92CD9B066A17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48</xdr:row>
      <xdr:rowOff>60960</xdr:rowOff>
    </xdr:from>
    <xdr:to>
      <xdr:col>10</xdr:col>
      <xdr:colOff>152400</xdr:colOff>
      <xdr:row>48</xdr:row>
      <xdr:rowOff>152400</xdr:rowOff>
    </xdr:to>
    <xdr:sp macro="" textlink="">
      <xdr:nvSpPr>
        <xdr:cNvPr id="80" name="Rectangle 1">
          <a:extLst>
            <a:ext uri="{FF2B5EF4-FFF2-40B4-BE49-F238E27FC236}">
              <a16:creationId xmlns:a16="http://schemas.microsoft.com/office/drawing/2014/main" id="{FD85945D-E0B6-40FD-BFA6-732C17D802C8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48</xdr:row>
      <xdr:rowOff>60960</xdr:rowOff>
    </xdr:from>
    <xdr:to>
      <xdr:col>10</xdr:col>
      <xdr:colOff>906780</xdr:colOff>
      <xdr:row>48</xdr:row>
      <xdr:rowOff>152400</xdr:rowOff>
    </xdr:to>
    <xdr:sp macro="" textlink="">
      <xdr:nvSpPr>
        <xdr:cNvPr id="81" name="Rectangle 1">
          <a:extLst>
            <a:ext uri="{FF2B5EF4-FFF2-40B4-BE49-F238E27FC236}">
              <a16:creationId xmlns:a16="http://schemas.microsoft.com/office/drawing/2014/main" id="{4EF9FF2A-DE06-46EC-BEAE-1F39CD200025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49</xdr:row>
      <xdr:rowOff>60960</xdr:rowOff>
    </xdr:from>
    <xdr:to>
      <xdr:col>10</xdr:col>
      <xdr:colOff>152400</xdr:colOff>
      <xdr:row>49</xdr:row>
      <xdr:rowOff>152400</xdr:rowOff>
    </xdr:to>
    <xdr:sp macro="" textlink="">
      <xdr:nvSpPr>
        <xdr:cNvPr id="82" name="Rectangle 1">
          <a:extLst>
            <a:ext uri="{FF2B5EF4-FFF2-40B4-BE49-F238E27FC236}">
              <a16:creationId xmlns:a16="http://schemas.microsoft.com/office/drawing/2014/main" id="{D54B2347-D7EC-4978-85F3-28B89239350D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49</xdr:row>
      <xdr:rowOff>60960</xdr:rowOff>
    </xdr:from>
    <xdr:to>
      <xdr:col>10</xdr:col>
      <xdr:colOff>906780</xdr:colOff>
      <xdr:row>49</xdr:row>
      <xdr:rowOff>152400</xdr:rowOff>
    </xdr:to>
    <xdr:sp macro="" textlink="">
      <xdr:nvSpPr>
        <xdr:cNvPr id="83" name="Rectangle 1">
          <a:extLst>
            <a:ext uri="{FF2B5EF4-FFF2-40B4-BE49-F238E27FC236}">
              <a16:creationId xmlns:a16="http://schemas.microsoft.com/office/drawing/2014/main" id="{BEC8F692-D82B-49AB-B1D0-C82E352A48F3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50</xdr:row>
      <xdr:rowOff>60960</xdr:rowOff>
    </xdr:from>
    <xdr:to>
      <xdr:col>10</xdr:col>
      <xdr:colOff>152400</xdr:colOff>
      <xdr:row>50</xdr:row>
      <xdr:rowOff>152400</xdr:rowOff>
    </xdr:to>
    <xdr:sp macro="" textlink="">
      <xdr:nvSpPr>
        <xdr:cNvPr id="84" name="Rectangle 1">
          <a:extLst>
            <a:ext uri="{FF2B5EF4-FFF2-40B4-BE49-F238E27FC236}">
              <a16:creationId xmlns:a16="http://schemas.microsoft.com/office/drawing/2014/main" id="{5AF4C29D-C645-421B-B608-30A223D25F0F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50</xdr:row>
      <xdr:rowOff>60960</xdr:rowOff>
    </xdr:from>
    <xdr:to>
      <xdr:col>10</xdr:col>
      <xdr:colOff>906780</xdr:colOff>
      <xdr:row>50</xdr:row>
      <xdr:rowOff>152400</xdr:rowOff>
    </xdr:to>
    <xdr:sp macro="" textlink="">
      <xdr:nvSpPr>
        <xdr:cNvPr id="85" name="Rectangle 1">
          <a:extLst>
            <a:ext uri="{FF2B5EF4-FFF2-40B4-BE49-F238E27FC236}">
              <a16:creationId xmlns:a16="http://schemas.microsoft.com/office/drawing/2014/main" id="{9D22A7A0-817B-42A6-A9DE-BE8880AFF6F9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51</xdr:row>
      <xdr:rowOff>60960</xdr:rowOff>
    </xdr:from>
    <xdr:to>
      <xdr:col>10</xdr:col>
      <xdr:colOff>152400</xdr:colOff>
      <xdr:row>51</xdr:row>
      <xdr:rowOff>152400</xdr:rowOff>
    </xdr:to>
    <xdr:sp macro="" textlink="">
      <xdr:nvSpPr>
        <xdr:cNvPr id="86" name="Rectangle 1">
          <a:extLst>
            <a:ext uri="{FF2B5EF4-FFF2-40B4-BE49-F238E27FC236}">
              <a16:creationId xmlns:a16="http://schemas.microsoft.com/office/drawing/2014/main" id="{AB0AAE5B-1CBD-441F-AFE1-598FB7A3F3C7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51</xdr:row>
      <xdr:rowOff>60960</xdr:rowOff>
    </xdr:from>
    <xdr:to>
      <xdr:col>10</xdr:col>
      <xdr:colOff>906780</xdr:colOff>
      <xdr:row>51</xdr:row>
      <xdr:rowOff>152400</xdr:rowOff>
    </xdr:to>
    <xdr:sp macro="" textlink="">
      <xdr:nvSpPr>
        <xdr:cNvPr id="87" name="Rectangle 1">
          <a:extLst>
            <a:ext uri="{FF2B5EF4-FFF2-40B4-BE49-F238E27FC236}">
              <a16:creationId xmlns:a16="http://schemas.microsoft.com/office/drawing/2014/main" id="{07F95B4D-051D-471B-9BDC-D11BC6E258D3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52</xdr:row>
      <xdr:rowOff>60960</xdr:rowOff>
    </xdr:from>
    <xdr:to>
      <xdr:col>10</xdr:col>
      <xdr:colOff>152400</xdr:colOff>
      <xdr:row>52</xdr:row>
      <xdr:rowOff>152400</xdr:rowOff>
    </xdr:to>
    <xdr:sp macro="" textlink="">
      <xdr:nvSpPr>
        <xdr:cNvPr id="88" name="Rectangle 1">
          <a:extLst>
            <a:ext uri="{FF2B5EF4-FFF2-40B4-BE49-F238E27FC236}">
              <a16:creationId xmlns:a16="http://schemas.microsoft.com/office/drawing/2014/main" id="{4148BA8F-0AC0-46E2-9331-54A563BC0FAA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52</xdr:row>
      <xdr:rowOff>60960</xdr:rowOff>
    </xdr:from>
    <xdr:to>
      <xdr:col>10</xdr:col>
      <xdr:colOff>906780</xdr:colOff>
      <xdr:row>52</xdr:row>
      <xdr:rowOff>152400</xdr:rowOff>
    </xdr:to>
    <xdr:sp macro="" textlink="">
      <xdr:nvSpPr>
        <xdr:cNvPr id="89" name="Rectangle 1">
          <a:extLst>
            <a:ext uri="{FF2B5EF4-FFF2-40B4-BE49-F238E27FC236}">
              <a16:creationId xmlns:a16="http://schemas.microsoft.com/office/drawing/2014/main" id="{DEF2AC4A-C63A-42A2-B9BB-23D07029A507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53</xdr:row>
      <xdr:rowOff>60960</xdr:rowOff>
    </xdr:from>
    <xdr:to>
      <xdr:col>10</xdr:col>
      <xdr:colOff>152400</xdr:colOff>
      <xdr:row>53</xdr:row>
      <xdr:rowOff>152400</xdr:rowOff>
    </xdr:to>
    <xdr:sp macro="" textlink="">
      <xdr:nvSpPr>
        <xdr:cNvPr id="90" name="Rectangle 1">
          <a:extLst>
            <a:ext uri="{FF2B5EF4-FFF2-40B4-BE49-F238E27FC236}">
              <a16:creationId xmlns:a16="http://schemas.microsoft.com/office/drawing/2014/main" id="{418E703C-B770-4CF8-A324-30B032DF81FD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53</xdr:row>
      <xdr:rowOff>60960</xdr:rowOff>
    </xdr:from>
    <xdr:to>
      <xdr:col>10</xdr:col>
      <xdr:colOff>906780</xdr:colOff>
      <xdr:row>53</xdr:row>
      <xdr:rowOff>152400</xdr:rowOff>
    </xdr:to>
    <xdr:sp macro="" textlink="">
      <xdr:nvSpPr>
        <xdr:cNvPr id="91" name="Rectangle 1">
          <a:extLst>
            <a:ext uri="{FF2B5EF4-FFF2-40B4-BE49-F238E27FC236}">
              <a16:creationId xmlns:a16="http://schemas.microsoft.com/office/drawing/2014/main" id="{12803969-5D5A-4CD9-AD63-5558755B9EF7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60960</xdr:colOff>
      <xdr:row>9</xdr:row>
      <xdr:rowOff>60960</xdr:rowOff>
    </xdr:from>
    <xdr:to>
      <xdr:col>10</xdr:col>
      <xdr:colOff>152400</xdr:colOff>
      <xdr:row>9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45F7F9C-6C3D-47D0-8475-8536C891A114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9</xdr:row>
      <xdr:rowOff>60960</xdr:rowOff>
    </xdr:from>
    <xdr:to>
      <xdr:col>10</xdr:col>
      <xdr:colOff>906780</xdr:colOff>
      <xdr:row>9</xdr:row>
      <xdr:rowOff>152400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5299C3FA-7308-4DBB-B0B2-475E359C509C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10</xdr:row>
      <xdr:rowOff>60960</xdr:rowOff>
    </xdr:from>
    <xdr:to>
      <xdr:col>10</xdr:col>
      <xdr:colOff>152400</xdr:colOff>
      <xdr:row>10</xdr:row>
      <xdr:rowOff>152400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C2DE333-C06B-4082-9EBC-BF07947B04D6}"/>
            </a:ext>
          </a:extLst>
        </xdr:cNvPr>
        <xdr:cNvSpPr>
          <a:spLocks noChangeArrowheads="1"/>
        </xdr:cNvSpPr>
      </xdr:nvSpPr>
      <xdr:spPr bwMode="auto">
        <a:xfrm>
          <a:off x="10073640" y="25298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10</xdr:row>
      <xdr:rowOff>60960</xdr:rowOff>
    </xdr:from>
    <xdr:to>
      <xdr:col>10</xdr:col>
      <xdr:colOff>906780</xdr:colOff>
      <xdr:row>10</xdr:row>
      <xdr:rowOff>152400</xdr:rowOff>
    </xdr:to>
    <xdr:sp macro="" textlink="">
      <xdr:nvSpPr>
        <xdr:cNvPr id="5" name="Rectangle 1">
          <a:extLst>
            <a:ext uri="{FF2B5EF4-FFF2-40B4-BE49-F238E27FC236}">
              <a16:creationId xmlns:a16="http://schemas.microsoft.com/office/drawing/2014/main" id="{539DC441-6772-484E-A1F0-FA5D80F6EA6C}"/>
            </a:ext>
          </a:extLst>
        </xdr:cNvPr>
        <xdr:cNvSpPr>
          <a:spLocks noChangeArrowheads="1"/>
        </xdr:cNvSpPr>
      </xdr:nvSpPr>
      <xdr:spPr bwMode="auto">
        <a:xfrm>
          <a:off x="10828020" y="25298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11</xdr:row>
      <xdr:rowOff>60960</xdr:rowOff>
    </xdr:from>
    <xdr:to>
      <xdr:col>10</xdr:col>
      <xdr:colOff>152400</xdr:colOff>
      <xdr:row>11</xdr:row>
      <xdr:rowOff>152400</xdr:rowOff>
    </xdr:to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D045DFDC-563E-4610-81FF-F8FC1685BDD6}"/>
            </a:ext>
          </a:extLst>
        </xdr:cNvPr>
        <xdr:cNvSpPr>
          <a:spLocks noChangeArrowheads="1"/>
        </xdr:cNvSpPr>
      </xdr:nvSpPr>
      <xdr:spPr bwMode="auto">
        <a:xfrm>
          <a:off x="10073640" y="27127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11</xdr:row>
      <xdr:rowOff>60960</xdr:rowOff>
    </xdr:from>
    <xdr:to>
      <xdr:col>10</xdr:col>
      <xdr:colOff>906780</xdr:colOff>
      <xdr:row>11</xdr:row>
      <xdr:rowOff>152400</xdr:rowOff>
    </xdr:to>
    <xdr:sp macro="" textlink="">
      <xdr:nvSpPr>
        <xdr:cNvPr id="7" name="Rectangle 1">
          <a:extLst>
            <a:ext uri="{FF2B5EF4-FFF2-40B4-BE49-F238E27FC236}">
              <a16:creationId xmlns:a16="http://schemas.microsoft.com/office/drawing/2014/main" id="{A29C59C3-AD06-4D87-9F8B-CBBC0DEFEE1B}"/>
            </a:ext>
          </a:extLst>
        </xdr:cNvPr>
        <xdr:cNvSpPr>
          <a:spLocks noChangeArrowheads="1"/>
        </xdr:cNvSpPr>
      </xdr:nvSpPr>
      <xdr:spPr bwMode="auto">
        <a:xfrm>
          <a:off x="10828020" y="27127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12</xdr:row>
      <xdr:rowOff>60960</xdr:rowOff>
    </xdr:from>
    <xdr:to>
      <xdr:col>10</xdr:col>
      <xdr:colOff>152400</xdr:colOff>
      <xdr:row>12</xdr:row>
      <xdr:rowOff>152400</xdr:rowOff>
    </xdr:to>
    <xdr:sp macro="" textlink="">
      <xdr:nvSpPr>
        <xdr:cNvPr id="8" name="Rectangle 1">
          <a:extLst>
            <a:ext uri="{FF2B5EF4-FFF2-40B4-BE49-F238E27FC236}">
              <a16:creationId xmlns:a16="http://schemas.microsoft.com/office/drawing/2014/main" id="{12504E0F-7FB4-465F-A19D-9E480BAFFAE8}"/>
            </a:ext>
          </a:extLst>
        </xdr:cNvPr>
        <xdr:cNvSpPr>
          <a:spLocks noChangeArrowheads="1"/>
        </xdr:cNvSpPr>
      </xdr:nvSpPr>
      <xdr:spPr bwMode="auto">
        <a:xfrm>
          <a:off x="10073640" y="28956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12</xdr:row>
      <xdr:rowOff>60960</xdr:rowOff>
    </xdr:from>
    <xdr:to>
      <xdr:col>10</xdr:col>
      <xdr:colOff>906780</xdr:colOff>
      <xdr:row>12</xdr:row>
      <xdr:rowOff>152400</xdr:rowOff>
    </xdr:to>
    <xdr:sp macro="" textlink="">
      <xdr:nvSpPr>
        <xdr:cNvPr id="9" name="Rectangle 1">
          <a:extLst>
            <a:ext uri="{FF2B5EF4-FFF2-40B4-BE49-F238E27FC236}">
              <a16:creationId xmlns:a16="http://schemas.microsoft.com/office/drawing/2014/main" id="{ACD5CD0E-E180-41C4-A8AB-0AAA5D7E9E95}"/>
            </a:ext>
          </a:extLst>
        </xdr:cNvPr>
        <xdr:cNvSpPr>
          <a:spLocks noChangeArrowheads="1"/>
        </xdr:cNvSpPr>
      </xdr:nvSpPr>
      <xdr:spPr bwMode="auto">
        <a:xfrm>
          <a:off x="10828020" y="28956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13</xdr:row>
      <xdr:rowOff>60960</xdr:rowOff>
    </xdr:from>
    <xdr:to>
      <xdr:col>10</xdr:col>
      <xdr:colOff>152400</xdr:colOff>
      <xdr:row>13</xdr:row>
      <xdr:rowOff>152400</xdr:rowOff>
    </xdr:to>
    <xdr:sp macro="" textlink="">
      <xdr:nvSpPr>
        <xdr:cNvPr id="10" name="Rectangle 1">
          <a:extLst>
            <a:ext uri="{FF2B5EF4-FFF2-40B4-BE49-F238E27FC236}">
              <a16:creationId xmlns:a16="http://schemas.microsoft.com/office/drawing/2014/main" id="{D4B988CC-9775-4A44-A985-FBC81298CF52}"/>
            </a:ext>
          </a:extLst>
        </xdr:cNvPr>
        <xdr:cNvSpPr>
          <a:spLocks noChangeArrowheads="1"/>
        </xdr:cNvSpPr>
      </xdr:nvSpPr>
      <xdr:spPr bwMode="auto">
        <a:xfrm>
          <a:off x="10073640" y="30784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13</xdr:row>
      <xdr:rowOff>60960</xdr:rowOff>
    </xdr:from>
    <xdr:to>
      <xdr:col>10</xdr:col>
      <xdr:colOff>906780</xdr:colOff>
      <xdr:row>13</xdr:row>
      <xdr:rowOff>152400</xdr:rowOff>
    </xdr:to>
    <xdr:sp macro="" textlink="">
      <xdr:nvSpPr>
        <xdr:cNvPr id="11" name="Rectangle 1">
          <a:extLst>
            <a:ext uri="{FF2B5EF4-FFF2-40B4-BE49-F238E27FC236}">
              <a16:creationId xmlns:a16="http://schemas.microsoft.com/office/drawing/2014/main" id="{18188E79-10B4-4211-BB08-AD99FC3C6B62}"/>
            </a:ext>
          </a:extLst>
        </xdr:cNvPr>
        <xdr:cNvSpPr>
          <a:spLocks noChangeArrowheads="1"/>
        </xdr:cNvSpPr>
      </xdr:nvSpPr>
      <xdr:spPr bwMode="auto">
        <a:xfrm>
          <a:off x="10828020" y="30784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14</xdr:row>
      <xdr:rowOff>60960</xdr:rowOff>
    </xdr:from>
    <xdr:to>
      <xdr:col>10</xdr:col>
      <xdr:colOff>152400</xdr:colOff>
      <xdr:row>14</xdr:row>
      <xdr:rowOff>152400</xdr:rowOff>
    </xdr:to>
    <xdr:sp macro="" textlink="">
      <xdr:nvSpPr>
        <xdr:cNvPr id="12" name="Rectangle 1">
          <a:extLst>
            <a:ext uri="{FF2B5EF4-FFF2-40B4-BE49-F238E27FC236}">
              <a16:creationId xmlns:a16="http://schemas.microsoft.com/office/drawing/2014/main" id="{F2375C07-AC59-475A-AB37-F8F7BEE33F89}"/>
            </a:ext>
          </a:extLst>
        </xdr:cNvPr>
        <xdr:cNvSpPr>
          <a:spLocks noChangeArrowheads="1"/>
        </xdr:cNvSpPr>
      </xdr:nvSpPr>
      <xdr:spPr bwMode="auto">
        <a:xfrm>
          <a:off x="10073640" y="32613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14</xdr:row>
      <xdr:rowOff>60960</xdr:rowOff>
    </xdr:from>
    <xdr:to>
      <xdr:col>10</xdr:col>
      <xdr:colOff>906780</xdr:colOff>
      <xdr:row>14</xdr:row>
      <xdr:rowOff>152400</xdr:rowOff>
    </xdr:to>
    <xdr:sp macro="" textlink="">
      <xdr:nvSpPr>
        <xdr:cNvPr id="13" name="Rectangle 1">
          <a:extLst>
            <a:ext uri="{FF2B5EF4-FFF2-40B4-BE49-F238E27FC236}">
              <a16:creationId xmlns:a16="http://schemas.microsoft.com/office/drawing/2014/main" id="{5DD10973-3ED1-4C82-8596-757992670D84}"/>
            </a:ext>
          </a:extLst>
        </xdr:cNvPr>
        <xdr:cNvSpPr>
          <a:spLocks noChangeArrowheads="1"/>
        </xdr:cNvSpPr>
      </xdr:nvSpPr>
      <xdr:spPr bwMode="auto">
        <a:xfrm>
          <a:off x="10828020" y="32613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15</xdr:row>
      <xdr:rowOff>60960</xdr:rowOff>
    </xdr:from>
    <xdr:to>
      <xdr:col>10</xdr:col>
      <xdr:colOff>152400</xdr:colOff>
      <xdr:row>15</xdr:row>
      <xdr:rowOff>152400</xdr:rowOff>
    </xdr:to>
    <xdr:sp macro="" textlink="">
      <xdr:nvSpPr>
        <xdr:cNvPr id="14" name="Rectangle 1">
          <a:extLst>
            <a:ext uri="{FF2B5EF4-FFF2-40B4-BE49-F238E27FC236}">
              <a16:creationId xmlns:a16="http://schemas.microsoft.com/office/drawing/2014/main" id="{FFDA26E4-2979-4D4D-ACFB-33154A89F3FA}"/>
            </a:ext>
          </a:extLst>
        </xdr:cNvPr>
        <xdr:cNvSpPr>
          <a:spLocks noChangeArrowheads="1"/>
        </xdr:cNvSpPr>
      </xdr:nvSpPr>
      <xdr:spPr bwMode="auto">
        <a:xfrm>
          <a:off x="10073640" y="34442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15</xdr:row>
      <xdr:rowOff>60960</xdr:rowOff>
    </xdr:from>
    <xdr:to>
      <xdr:col>10</xdr:col>
      <xdr:colOff>906780</xdr:colOff>
      <xdr:row>15</xdr:row>
      <xdr:rowOff>152400</xdr:rowOff>
    </xdr:to>
    <xdr:sp macro="" textlink="">
      <xdr:nvSpPr>
        <xdr:cNvPr id="15" name="Rectangle 1">
          <a:extLst>
            <a:ext uri="{FF2B5EF4-FFF2-40B4-BE49-F238E27FC236}">
              <a16:creationId xmlns:a16="http://schemas.microsoft.com/office/drawing/2014/main" id="{50C0A7C7-E121-466C-A236-D7CFBA38D5ED}"/>
            </a:ext>
          </a:extLst>
        </xdr:cNvPr>
        <xdr:cNvSpPr>
          <a:spLocks noChangeArrowheads="1"/>
        </xdr:cNvSpPr>
      </xdr:nvSpPr>
      <xdr:spPr bwMode="auto">
        <a:xfrm>
          <a:off x="10828020" y="34442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16</xdr:row>
      <xdr:rowOff>60960</xdr:rowOff>
    </xdr:from>
    <xdr:to>
      <xdr:col>10</xdr:col>
      <xdr:colOff>152400</xdr:colOff>
      <xdr:row>16</xdr:row>
      <xdr:rowOff>152400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B8FB7B6A-8AF7-409D-BBB7-5313A08B2F17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16</xdr:row>
      <xdr:rowOff>60960</xdr:rowOff>
    </xdr:from>
    <xdr:to>
      <xdr:col>10</xdr:col>
      <xdr:colOff>906780</xdr:colOff>
      <xdr:row>16</xdr:row>
      <xdr:rowOff>152400</xdr:rowOff>
    </xdr:to>
    <xdr:sp macro="" textlink="">
      <xdr:nvSpPr>
        <xdr:cNvPr id="17" name="Rectangle 1">
          <a:extLst>
            <a:ext uri="{FF2B5EF4-FFF2-40B4-BE49-F238E27FC236}">
              <a16:creationId xmlns:a16="http://schemas.microsoft.com/office/drawing/2014/main" id="{2F93282D-31ED-46CE-8BF8-9008567E10B4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17</xdr:row>
      <xdr:rowOff>60960</xdr:rowOff>
    </xdr:from>
    <xdr:to>
      <xdr:col>10</xdr:col>
      <xdr:colOff>152400</xdr:colOff>
      <xdr:row>17</xdr:row>
      <xdr:rowOff>152400</xdr:rowOff>
    </xdr:to>
    <xdr:sp macro="" textlink="">
      <xdr:nvSpPr>
        <xdr:cNvPr id="18" name="Rectangle 1">
          <a:extLst>
            <a:ext uri="{FF2B5EF4-FFF2-40B4-BE49-F238E27FC236}">
              <a16:creationId xmlns:a16="http://schemas.microsoft.com/office/drawing/2014/main" id="{845CBAF7-9F2E-47A7-BF36-F9AFAC195048}"/>
            </a:ext>
          </a:extLst>
        </xdr:cNvPr>
        <xdr:cNvSpPr>
          <a:spLocks noChangeArrowheads="1"/>
        </xdr:cNvSpPr>
      </xdr:nvSpPr>
      <xdr:spPr bwMode="auto">
        <a:xfrm>
          <a:off x="10073640" y="38100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17</xdr:row>
      <xdr:rowOff>60960</xdr:rowOff>
    </xdr:from>
    <xdr:to>
      <xdr:col>10</xdr:col>
      <xdr:colOff>906780</xdr:colOff>
      <xdr:row>17</xdr:row>
      <xdr:rowOff>152400</xdr:rowOff>
    </xdr:to>
    <xdr:sp macro="" textlink="">
      <xdr:nvSpPr>
        <xdr:cNvPr id="19" name="Rectangle 1">
          <a:extLst>
            <a:ext uri="{FF2B5EF4-FFF2-40B4-BE49-F238E27FC236}">
              <a16:creationId xmlns:a16="http://schemas.microsoft.com/office/drawing/2014/main" id="{C80FCF3A-15A8-4D67-AAA5-EE7D4594925C}"/>
            </a:ext>
          </a:extLst>
        </xdr:cNvPr>
        <xdr:cNvSpPr>
          <a:spLocks noChangeArrowheads="1"/>
        </xdr:cNvSpPr>
      </xdr:nvSpPr>
      <xdr:spPr bwMode="auto">
        <a:xfrm>
          <a:off x="10828020" y="38100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18</xdr:row>
      <xdr:rowOff>60960</xdr:rowOff>
    </xdr:from>
    <xdr:to>
      <xdr:col>10</xdr:col>
      <xdr:colOff>152400</xdr:colOff>
      <xdr:row>18</xdr:row>
      <xdr:rowOff>152400</xdr:rowOff>
    </xdr:to>
    <xdr:sp macro="" textlink="">
      <xdr:nvSpPr>
        <xdr:cNvPr id="20" name="Rectangle 1">
          <a:extLst>
            <a:ext uri="{FF2B5EF4-FFF2-40B4-BE49-F238E27FC236}">
              <a16:creationId xmlns:a16="http://schemas.microsoft.com/office/drawing/2014/main" id="{2B854D4C-C309-40C2-BC75-3A1B69370ECB}"/>
            </a:ext>
          </a:extLst>
        </xdr:cNvPr>
        <xdr:cNvSpPr>
          <a:spLocks noChangeArrowheads="1"/>
        </xdr:cNvSpPr>
      </xdr:nvSpPr>
      <xdr:spPr bwMode="auto">
        <a:xfrm>
          <a:off x="10073640" y="39928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18</xdr:row>
      <xdr:rowOff>60960</xdr:rowOff>
    </xdr:from>
    <xdr:to>
      <xdr:col>10</xdr:col>
      <xdr:colOff>906780</xdr:colOff>
      <xdr:row>18</xdr:row>
      <xdr:rowOff>152400</xdr:rowOff>
    </xdr:to>
    <xdr:sp macro="" textlink="">
      <xdr:nvSpPr>
        <xdr:cNvPr id="21" name="Rectangle 1">
          <a:extLst>
            <a:ext uri="{FF2B5EF4-FFF2-40B4-BE49-F238E27FC236}">
              <a16:creationId xmlns:a16="http://schemas.microsoft.com/office/drawing/2014/main" id="{C4F0EE57-6069-4380-986D-639DA306E2BB}"/>
            </a:ext>
          </a:extLst>
        </xdr:cNvPr>
        <xdr:cNvSpPr>
          <a:spLocks noChangeArrowheads="1"/>
        </xdr:cNvSpPr>
      </xdr:nvSpPr>
      <xdr:spPr bwMode="auto">
        <a:xfrm>
          <a:off x="10828020" y="39928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19</xdr:row>
      <xdr:rowOff>60960</xdr:rowOff>
    </xdr:from>
    <xdr:to>
      <xdr:col>10</xdr:col>
      <xdr:colOff>152400</xdr:colOff>
      <xdr:row>19</xdr:row>
      <xdr:rowOff>152400</xdr:rowOff>
    </xdr:to>
    <xdr:sp macro="" textlink="">
      <xdr:nvSpPr>
        <xdr:cNvPr id="22" name="Rectangle 1">
          <a:extLst>
            <a:ext uri="{FF2B5EF4-FFF2-40B4-BE49-F238E27FC236}">
              <a16:creationId xmlns:a16="http://schemas.microsoft.com/office/drawing/2014/main" id="{F818E07F-E26C-433A-9A49-B191EBDE253C}"/>
            </a:ext>
          </a:extLst>
        </xdr:cNvPr>
        <xdr:cNvSpPr>
          <a:spLocks noChangeArrowheads="1"/>
        </xdr:cNvSpPr>
      </xdr:nvSpPr>
      <xdr:spPr bwMode="auto">
        <a:xfrm>
          <a:off x="10073640" y="41757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19</xdr:row>
      <xdr:rowOff>60960</xdr:rowOff>
    </xdr:from>
    <xdr:to>
      <xdr:col>10</xdr:col>
      <xdr:colOff>906780</xdr:colOff>
      <xdr:row>19</xdr:row>
      <xdr:rowOff>152400</xdr:rowOff>
    </xdr:to>
    <xdr:sp macro="" textlink="">
      <xdr:nvSpPr>
        <xdr:cNvPr id="23" name="Rectangle 1">
          <a:extLst>
            <a:ext uri="{FF2B5EF4-FFF2-40B4-BE49-F238E27FC236}">
              <a16:creationId xmlns:a16="http://schemas.microsoft.com/office/drawing/2014/main" id="{307AB9A8-FC7E-43C9-8F72-E34CDB27D77E}"/>
            </a:ext>
          </a:extLst>
        </xdr:cNvPr>
        <xdr:cNvSpPr>
          <a:spLocks noChangeArrowheads="1"/>
        </xdr:cNvSpPr>
      </xdr:nvSpPr>
      <xdr:spPr bwMode="auto">
        <a:xfrm>
          <a:off x="10828020" y="41757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20</xdr:row>
      <xdr:rowOff>60960</xdr:rowOff>
    </xdr:from>
    <xdr:to>
      <xdr:col>10</xdr:col>
      <xdr:colOff>152400</xdr:colOff>
      <xdr:row>20</xdr:row>
      <xdr:rowOff>152400</xdr:rowOff>
    </xdr:to>
    <xdr:sp macro="" textlink="">
      <xdr:nvSpPr>
        <xdr:cNvPr id="24" name="Rectangle 1">
          <a:extLst>
            <a:ext uri="{FF2B5EF4-FFF2-40B4-BE49-F238E27FC236}">
              <a16:creationId xmlns:a16="http://schemas.microsoft.com/office/drawing/2014/main" id="{F9EBFBF3-6048-4428-97C6-38142453A571}"/>
            </a:ext>
          </a:extLst>
        </xdr:cNvPr>
        <xdr:cNvSpPr>
          <a:spLocks noChangeArrowheads="1"/>
        </xdr:cNvSpPr>
      </xdr:nvSpPr>
      <xdr:spPr bwMode="auto">
        <a:xfrm>
          <a:off x="10073640" y="43586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20</xdr:row>
      <xdr:rowOff>60960</xdr:rowOff>
    </xdr:from>
    <xdr:to>
      <xdr:col>10</xdr:col>
      <xdr:colOff>906780</xdr:colOff>
      <xdr:row>20</xdr:row>
      <xdr:rowOff>152400</xdr:rowOff>
    </xdr:to>
    <xdr:sp macro="" textlink="">
      <xdr:nvSpPr>
        <xdr:cNvPr id="25" name="Rectangle 1">
          <a:extLst>
            <a:ext uri="{FF2B5EF4-FFF2-40B4-BE49-F238E27FC236}">
              <a16:creationId xmlns:a16="http://schemas.microsoft.com/office/drawing/2014/main" id="{CA2C766F-B6BC-42A4-B476-45C12358B446}"/>
            </a:ext>
          </a:extLst>
        </xdr:cNvPr>
        <xdr:cNvSpPr>
          <a:spLocks noChangeArrowheads="1"/>
        </xdr:cNvSpPr>
      </xdr:nvSpPr>
      <xdr:spPr bwMode="auto">
        <a:xfrm>
          <a:off x="10828020" y="43586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21</xdr:row>
      <xdr:rowOff>60960</xdr:rowOff>
    </xdr:from>
    <xdr:to>
      <xdr:col>10</xdr:col>
      <xdr:colOff>152400</xdr:colOff>
      <xdr:row>21</xdr:row>
      <xdr:rowOff>152400</xdr:rowOff>
    </xdr:to>
    <xdr:sp macro="" textlink="">
      <xdr:nvSpPr>
        <xdr:cNvPr id="26" name="Rectangle 1">
          <a:extLst>
            <a:ext uri="{FF2B5EF4-FFF2-40B4-BE49-F238E27FC236}">
              <a16:creationId xmlns:a16="http://schemas.microsoft.com/office/drawing/2014/main" id="{09423ADE-2AAA-4A95-A1CF-268A8BE00476}"/>
            </a:ext>
          </a:extLst>
        </xdr:cNvPr>
        <xdr:cNvSpPr>
          <a:spLocks noChangeArrowheads="1"/>
        </xdr:cNvSpPr>
      </xdr:nvSpPr>
      <xdr:spPr bwMode="auto">
        <a:xfrm>
          <a:off x="10073640" y="45415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21</xdr:row>
      <xdr:rowOff>60960</xdr:rowOff>
    </xdr:from>
    <xdr:to>
      <xdr:col>10</xdr:col>
      <xdr:colOff>906780</xdr:colOff>
      <xdr:row>21</xdr:row>
      <xdr:rowOff>152400</xdr:rowOff>
    </xdr:to>
    <xdr:sp macro="" textlink="">
      <xdr:nvSpPr>
        <xdr:cNvPr id="27" name="Rectangle 1">
          <a:extLst>
            <a:ext uri="{FF2B5EF4-FFF2-40B4-BE49-F238E27FC236}">
              <a16:creationId xmlns:a16="http://schemas.microsoft.com/office/drawing/2014/main" id="{7065CF9F-522D-4A0E-9EFA-C2DF2F757585}"/>
            </a:ext>
          </a:extLst>
        </xdr:cNvPr>
        <xdr:cNvSpPr>
          <a:spLocks noChangeArrowheads="1"/>
        </xdr:cNvSpPr>
      </xdr:nvSpPr>
      <xdr:spPr bwMode="auto">
        <a:xfrm>
          <a:off x="10828020" y="45415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22</xdr:row>
      <xdr:rowOff>60960</xdr:rowOff>
    </xdr:from>
    <xdr:to>
      <xdr:col>10</xdr:col>
      <xdr:colOff>152400</xdr:colOff>
      <xdr:row>22</xdr:row>
      <xdr:rowOff>152400</xdr:rowOff>
    </xdr:to>
    <xdr:sp macro="" textlink="">
      <xdr:nvSpPr>
        <xdr:cNvPr id="28" name="Rectangle 1">
          <a:extLst>
            <a:ext uri="{FF2B5EF4-FFF2-40B4-BE49-F238E27FC236}">
              <a16:creationId xmlns:a16="http://schemas.microsoft.com/office/drawing/2014/main" id="{21400084-7358-4FA1-AB78-497F58C38A74}"/>
            </a:ext>
          </a:extLst>
        </xdr:cNvPr>
        <xdr:cNvSpPr>
          <a:spLocks noChangeArrowheads="1"/>
        </xdr:cNvSpPr>
      </xdr:nvSpPr>
      <xdr:spPr bwMode="auto">
        <a:xfrm>
          <a:off x="10073640" y="47244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22</xdr:row>
      <xdr:rowOff>60960</xdr:rowOff>
    </xdr:from>
    <xdr:to>
      <xdr:col>10</xdr:col>
      <xdr:colOff>906780</xdr:colOff>
      <xdr:row>22</xdr:row>
      <xdr:rowOff>152400</xdr:rowOff>
    </xdr:to>
    <xdr:sp macro="" textlink="">
      <xdr:nvSpPr>
        <xdr:cNvPr id="29" name="Rectangle 1">
          <a:extLst>
            <a:ext uri="{FF2B5EF4-FFF2-40B4-BE49-F238E27FC236}">
              <a16:creationId xmlns:a16="http://schemas.microsoft.com/office/drawing/2014/main" id="{F9297D3A-3EB1-4591-9EE5-419886C110BB}"/>
            </a:ext>
          </a:extLst>
        </xdr:cNvPr>
        <xdr:cNvSpPr>
          <a:spLocks noChangeArrowheads="1"/>
        </xdr:cNvSpPr>
      </xdr:nvSpPr>
      <xdr:spPr bwMode="auto">
        <a:xfrm>
          <a:off x="10828020" y="47244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23</xdr:row>
      <xdr:rowOff>60960</xdr:rowOff>
    </xdr:from>
    <xdr:to>
      <xdr:col>10</xdr:col>
      <xdr:colOff>152400</xdr:colOff>
      <xdr:row>23</xdr:row>
      <xdr:rowOff>152400</xdr:rowOff>
    </xdr:to>
    <xdr:sp macro="" textlink="">
      <xdr:nvSpPr>
        <xdr:cNvPr id="30" name="Rectangle 1">
          <a:extLst>
            <a:ext uri="{FF2B5EF4-FFF2-40B4-BE49-F238E27FC236}">
              <a16:creationId xmlns:a16="http://schemas.microsoft.com/office/drawing/2014/main" id="{CC4CA7A3-8244-4067-8492-AE071F51A67A}"/>
            </a:ext>
          </a:extLst>
        </xdr:cNvPr>
        <xdr:cNvSpPr>
          <a:spLocks noChangeArrowheads="1"/>
        </xdr:cNvSpPr>
      </xdr:nvSpPr>
      <xdr:spPr bwMode="auto">
        <a:xfrm>
          <a:off x="10073640" y="49072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23</xdr:row>
      <xdr:rowOff>60960</xdr:rowOff>
    </xdr:from>
    <xdr:to>
      <xdr:col>10</xdr:col>
      <xdr:colOff>906780</xdr:colOff>
      <xdr:row>23</xdr:row>
      <xdr:rowOff>152400</xdr:rowOff>
    </xdr:to>
    <xdr:sp macro="" textlink="">
      <xdr:nvSpPr>
        <xdr:cNvPr id="31" name="Rectangle 1">
          <a:extLst>
            <a:ext uri="{FF2B5EF4-FFF2-40B4-BE49-F238E27FC236}">
              <a16:creationId xmlns:a16="http://schemas.microsoft.com/office/drawing/2014/main" id="{107660DC-9077-418F-A409-83FD900216A2}"/>
            </a:ext>
          </a:extLst>
        </xdr:cNvPr>
        <xdr:cNvSpPr>
          <a:spLocks noChangeArrowheads="1"/>
        </xdr:cNvSpPr>
      </xdr:nvSpPr>
      <xdr:spPr bwMode="auto">
        <a:xfrm>
          <a:off x="10828020" y="49072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24</xdr:row>
      <xdr:rowOff>60960</xdr:rowOff>
    </xdr:from>
    <xdr:to>
      <xdr:col>10</xdr:col>
      <xdr:colOff>152400</xdr:colOff>
      <xdr:row>24</xdr:row>
      <xdr:rowOff>152400</xdr:rowOff>
    </xdr:to>
    <xdr:sp macro="" textlink="">
      <xdr:nvSpPr>
        <xdr:cNvPr id="32" name="Rectangle 1">
          <a:extLst>
            <a:ext uri="{FF2B5EF4-FFF2-40B4-BE49-F238E27FC236}">
              <a16:creationId xmlns:a16="http://schemas.microsoft.com/office/drawing/2014/main" id="{6AB38F06-211C-4E03-B4F0-E86CDC704101}"/>
            </a:ext>
          </a:extLst>
        </xdr:cNvPr>
        <xdr:cNvSpPr>
          <a:spLocks noChangeArrowheads="1"/>
        </xdr:cNvSpPr>
      </xdr:nvSpPr>
      <xdr:spPr bwMode="auto">
        <a:xfrm>
          <a:off x="10073640" y="50901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24</xdr:row>
      <xdr:rowOff>60960</xdr:rowOff>
    </xdr:from>
    <xdr:to>
      <xdr:col>10</xdr:col>
      <xdr:colOff>906780</xdr:colOff>
      <xdr:row>24</xdr:row>
      <xdr:rowOff>152400</xdr:rowOff>
    </xdr:to>
    <xdr:sp macro="" textlink="">
      <xdr:nvSpPr>
        <xdr:cNvPr id="33" name="Rectangle 1">
          <a:extLst>
            <a:ext uri="{FF2B5EF4-FFF2-40B4-BE49-F238E27FC236}">
              <a16:creationId xmlns:a16="http://schemas.microsoft.com/office/drawing/2014/main" id="{519CC4F5-9491-4B5A-8FC1-1BA914B3D4AB}"/>
            </a:ext>
          </a:extLst>
        </xdr:cNvPr>
        <xdr:cNvSpPr>
          <a:spLocks noChangeArrowheads="1"/>
        </xdr:cNvSpPr>
      </xdr:nvSpPr>
      <xdr:spPr bwMode="auto">
        <a:xfrm>
          <a:off x="10828020" y="50901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25</xdr:row>
      <xdr:rowOff>60960</xdr:rowOff>
    </xdr:from>
    <xdr:to>
      <xdr:col>10</xdr:col>
      <xdr:colOff>152400</xdr:colOff>
      <xdr:row>25</xdr:row>
      <xdr:rowOff>152400</xdr:rowOff>
    </xdr:to>
    <xdr:sp macro="" textlink="">
      <xdr:nvSpPr>
        <xdr:cNvPr id="34" name="Rectangle 1">
          <a:extLst>
            <a:ext uri="{FF2B5EF4-FFF2-40B4-BE49-F238E27FC236}">
              <a16:creationId xmlns:a16="http://schemas.microsoft.com/office/drawing/2014/main" id="{28A9518F-D89D-461B-953C-CF77CF3AA90F}"/>
            </a:ext>
          </a:extLst>
        </xdr:cNvPr>
        <xdr:cNvSpPr>
          <a:spLocks noChangeArrowheads="1"/>
        </xdr:cNvSpPr>
      </xdr:nvSpPr>
      <xdr:spPr bwMode="auto">
        <a:xfrm>
          <a:off x="10073640" y="52730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25</xdr:row>
      <xdr:rowOff>60960</xdr:rowOff>
    </xdr:from>
    <xdr:to>
      <xdr:col>10</xdr:col>
      <xdr:colOff>906780</xdr:colOff>
      <xdr:row>25</xdr:row>
      <xdr:rowOff>152400</xdr:rowOff>
    </xdr:to>
    <xdr:sp macro="" textlink="">
      <xdr:nvSpPr>
        <xdr:cNvPr id="35" name="Rectangle 1">
          <a:extLst>
            <a:ext uri="{FF2B5EF4-FFF2-40B4-BE49-F238E27FC236}">
              <a16:creationId xmlns:a16="http://schemas.microsoft.com/office/drawing/2014/main" id="{C6444ED9-E664-4A80-BDF8-E9D7D21C8670}"/>
            </a:ext>
          </a:extLst>
        </xdr:cNvPr>
        <xdr:cNvSpPr>
          <a:spLocks noChangeArrowheads="1"/>
        </xdr:cNvSpPr>
      </xdr:nvSpPr>
      <xdr:spPr bwMode="auto">
        <a:xfrm>
          <a:off x="10828020" y="52730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26</xdr:row>
      <xdr:rowOff>60960</xdr:rowOff>
    </xdr:from>
    <xdr:to>
      <xdr:col>10</xdr:col>
      <xdr:colOff>152400</xdr:colOff>
      <xdr:row>26</xdr:row>
      <xdr:rowOff>152400</xdr:rowOff>
    </xdr:to>
    <xdr:sp macro="" textlink="">
      <xdr:nvSpPr>
        <xdr:cNvPr id="36" name="Rectangle 1">
          <a:extLst>
            <a:ext uri="{FF2B5EF4-FFF2-40B4-BE49-F238E27FC236}">
              <a16:creationId xmlns:a16="http://schemas.microsoft.com/office/drawing/2014/main" id="{549E21AE-A273-4277-905C-004BB6B695AC}"/>
            </a:ext>
          </a:extLst>
        </xdr:cNvPr>
        <xdr:cNvSpPr>
          <a:spLocks noChangeArrowheads="1"/>
        </xdr:cNvSpPr>
      </xdr:nvSpPr>
      <xdr:spPr bwMode="auto">
        <a:xfrm>
          <a:off x="10073640" y="54559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26</xdr:row>
      <xdr:rowOff>60960</xdr:rowOff>
    </xdr:from>
    <xdr:to>
      <xdr:col>10</xdr:col>
      <xdr:colOff>906780</xdr:colOff>
      <xdr:row>26</xdr:row>
      <xdr:rowOff>152400</xdr:rowOff>
    </xdr:to>
    <xdr:sp macro="" textlink="">
      <xdr:nvSpPr>
        <xdr:cNvPr id="37" name="Rectangle 1">
          <a:extLst>
            <a:ext uri="{FF2B5EF4-FFF2-40B4-BE49-F238E27FC236}">
              <a16:creationId xmlns:a16="http://schemas.microsoft.com/office/drawing/2014/main" id="{2F5678B6-CEF7-46E7-B702-ED387A1E7160}"/>
            </a:ext>
          </a:extLst>
        </xdr:cNvPr>
        <xdr:cNvSpPr>
          <a:spLocks noChangeArrowheads="1"/>
        </xdr:cNvSpPr>
      </xdr:nvSpPr>
      <xdr:spPr bwMode="auto">
        <a:xfrm>
          <a:off x="10828020" y="54559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27</xdr:row>
      <xdr:rowOff>60960</xdr:rowOff>
    </xdr:from>
    <xdr:to>
      <xdr:col>10</xdr:col>
      <xdr:colOff>152400</xdr:colOff>
      <xdr:row>27</xdr:row>
      <xdr:rowOff>152400</xdr:rowOff>
    </xdr:to>
    <xdr:sp macro="" textlink="">
      <xdr:nvSpPr>
        <xdr:cNvPr id="38" name="Rectangle 1">
          <a:extLst>
            <a:ext uri="{FF2B5EF4-FFF2-40B4-BE49-F238E27FC236}">
              <a16:creationId xmlns:a16="http://schemas.microsoft.com/office/drawing/2014/main" id="{5D4C767B-943E-480D-80E6-D66701B50F69}"/>
            </a:ext>
          </a:extLst>
        </xdr:cNvPr>
        <xdr:cNvSpPr>
          <a:spLocks noChangeArrowheads="1"/>
        </xdr:cNvSpPr>
      </xdr:nvSpPr>
      <xdr:spPr bwMode="auto">
        <a:xfrm>
          <a:off x="10073640" y="56388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27</xdr:row>
      <xdr:rowOff>60960</xdr:rowOff>
    </xdr:from>
    <xdr:to>
      <xdr:col>10</xdr:col>
      <xdr:colOff>906780</xdr:colOff>
      <xdr:row>27</xdr:row>
      <xdr:rowOff>152400</xdr:rowOff>
    </xdr:to>
    <xdr:sp macro="" textlink="">
      <xdr:nvSpPr>
        <xdr:cNvPr id="39" name="Rectangle 1">
          <a:extLst>
            <a:ext uri="{FF2B5EF4-FFF2-40B4-BE49-F238E27FC236}">
              <a16:creationId xmlns:a16="http://schemas.microsoft.com/office/drawing/2014/main" id="{C1FF3E6A-8574-4CB5-89BA-34F474AF5ABF}"/>
            </a:ext>
          </a:extLst>
        </xdr:cNvPr>
        <xdr:cNvSpPr>
          <a:spLocks noChangeArrowheads="1"/>
        </xdr:cNvSpPr>
      </xdr:nvSpPr>
      <xdr:spPr bwMode="auto">
        <a:xfrm>
          <a:off x="10828020" y="56388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28</xdr:row>
      <xdr:rowOff>60960</xdr:rowOff>
    </xdr:from>
    <xdr:to>
      <xdr:col>10</xdr:col>
      <xdr:colOff>152400</xdr:colOff>
      <xdr:row>28</xdr:row>
      <xdr:rowOff>152400</xdr:rowOff>
    </xdr:to>
    <xdr:sp macro="" textlink="">
      <xdr:nvSpPr>
        <xdr:cNvPr id="40" name="Rectangle 1">
          <a:extLst>
            <a:ext uri="{FF2B5EF4-FFF2-40B4-BE49-F238E27FC236}">
              <a16:creationId xmlns:a16="http://schemas.microsoft.com/office/drawing/2014/main" id="{8F69C425-9B43-4447-ADBF-FD04D268D56F}"/>
            </a:ext>
          </a:extLst>
        </xdr:cNvPr>
        <xdr:cNvSpPr>
          <a:spLocks noChangeArrowheads="1"/>
        </xdr:cNvSpPr>
      </xdr:nvSpPr>
      <xdr:spPr bwMode="auto">
        <a:xfrm>
          <a:off x="10073640" y="58216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28</xdr:row>
      <xdr:rowOff>60960</xdr:rowOff>
    </xdr:from>
    <xdr:to>
      <xdr:col>10</xdr:col>
      <xdr:colOff>906780</xdr:colOff>
      <xdr:row>28</xdr:row>
      <xdr:rowOff>152400</xdr:rowOff>
    </xdr:to>
    <xdr:sp macro="" textlink="">
      <xdr:nvSpPr>
        <xdr:cNvPr id="41" name="Rectangle 1">
          <a:extLst>
            <a:ext uri="{FF2B5EF4-FFF2-40B4-BE49-F238E27FC236}">
              <a16:creationId xmlns:a16="http://schemas.microsoft.com/office/drawing/2014/main" id="{D69E9737-575A-4753-B0CB-30AB2E9CAACE}"/>
            </a:ext>
          </a:extLst>
        </xdr:cNvPr>
        <xdr:cNvSpPr>
          <a:spLocks noChangeArrowheads="1"/>
        </xdr:cNvSpPr>
      </xdr:nvSpPr>
      <xdr:spPr bwMode="auto">
        <a:xfrm>
          <a:off x="10828020" y="58216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29</xdr:row>
      <xdr:rowOff>60960</xdr:rowOff>
    </xdr:from>
    <xdr:to>
      <xdr:col>10</xdr:col>
      <xdr:colOff>152400</xdr:colOff>
      <xdr:row>29</xdr:row>
      <xdr:rowOff>152400</xdr:rowOff>
    </xdr:to>
    <xdr:sp macro="" textlink="">
      <xdr:nvSpPr>
        <xdr:cNvPr id="42" name="Rectangle 1">
          <a:extLst>
            <a:ext uri="{FF2B5EF4-FFF2-40B4-BE49-F238E27FC236}">
              <a16:creationId xmlns:a16="http://schemas.microsoft.com/office/drawing/2014/main" id="{5C6FED05-69C9-429F-9D6C-D360E3C73745}"/>
            </a:ext>
          </a:extLst>
        </xdr:cNvPr>
        <xdr:cNvSpPr>
          <a:spLocks noChangeArrowheads="1"/>
        </xdr:cNvSpPr>
      </xdr:nvSpPr>
      <xdr:spPr bwMode="auto">
        <a:xfrm>
          <a:off x="10073640" y="60045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29</xdr:row>
      <xdr:rowOff>60960</xdr:rowOff>
    </xdr:from>
    <xdr:to>
      <xdr:col>10</xdr:col>
      <xdr:colOff>906780</xdr:colOff>
      <xdr:row>29</xdr:row>
      <xdr:rowOff>152400</xdr:rowOff>
    </xdr:to>
    <xdr:sp macro="" textlink="">
      <xdr:nvSpPr>
        <xdr:cNvPr id="43" name="Rectangle 1">
          <a:extLst>
            <a:ext uri="{FF2B5EF4-FFF2-40B4-BE49-F238E27FC236}">
              <a16:creationId xmlns:a16="http://schemas.microsoft.com/office/drawing/2014/main" id="{C50B136D-1CF6-4676-B79E-E4DB4339B1CE}"/>
            </a:ext>
          </a:extLst>
        </xdr:cNvPr>
        <xdr:cNvSpPr>
          <a:spLocks noChangeArrowheads="1"/>
        </xdr:cNvSpPr>
      </xdr:nvSpPr>
      <xdr:spPr bwMode="auto">
        <a:xfrm>
          <a:off x="10828020" y="60045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30</xdr:row>
      <xdr:rowOff>60960</xdr:rowOff>
    </xdr:from>
    <xdr:to>
      <xdr:col>10</xdr:col>
      <xdr:colOff>152400</xdr:colOff>
      <xdr:row>30</xdr:row>
      <xdr:rowOff>152400</xdr:rowOff>
    </xdr:to>
    <xdr:sp macro="" textlink="">
      <xdr:nvSpPr>
        <xdr:cNvPr id="44" name="Rectangle 1">
          <a:extLst>
            <a:ext uri="{FF2B5EF4-FFF2-40B4-BE49-F238E27FC236}">
              <a16:creationId xmlns:a16="http://schemas.microsoft.com/office/drawing/2014/main" id="{B4075C48-5720-4BB7-877D-66EA5D7026E2}"/>
            </a:ext>
          </a:extLst>
        </xdr:cNvPr>
        <xdr:cNvSpPr>
          <a:spLocks noChangeArrowheads="1"/>
        </xdr:cNvSpPr>
      </xdr:nvSpPr>
      <xdr:spPr bwMode="auto">
        <a:xfrm>
          <a:off x="10073640" y="61874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30</xdr:row>
      <xdr:rowOff>60960</xdr:rowOff>
    </xdr:from>
    <xdr:to>
      <xdr:col>10</xdr:col>
      <xdr:colOff>906780</xdr:colOff>
      <xdr:row>30</xdr:row>
      <xdr:rowOff>152400</xdr:rowOff>
    </xdr:to>
    <xdr:sp macro="" textlink="">
      <xdr:nvSpPr>
        <xdr:cNvPr id="45" name="Rectangle 1">
          <a:extLst>
            <a:ext uri="{FF2B5EF4-FFF2-40B4-BE49-F238E27FC236}">
              <a16:creationId xmlns:a16="http://schemas.microsoft.com/office/drawing/2014/main" id="{4A2A33ED-33B0-4C3C-885D-DDAE0CC1BF45}"/>
            </a:ext>
          </a:extLst>
        </xdr:cNvPr>
        <xdr:cNvSpPr>
          <a:spLocks noChangeArrowheads="1"/>
        </xdr:cNvSpPr>
      </xdr:nvSpPr>
      <xdr:spPr bwMode="auto">
        <a:xfrm>
          <a:off x="10828020" y="61874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31</xdr:row>
      <xdr:rowOff>60960</xdr:rowOff>
    </xdr:from>
    <xdr:to>
      <xdr:col>10</xdr:col>
      <xdr:colOff>152400</xdr:colOff>
      <xdr:row>31</xdr:row>
      <xdr:rowOff>152400</xdr:rowOff>
    </xdr:to>
    <xdr:sp macro="" textlink="">
      <xdr:nvSpPr>
        <xdr:cNvPr id="46" name="Rectangle 1">
          <a:extLst>
            <a:ext uri="{FF2B5EF4-FFF2-40B4-BE49-F238E27FC236}">
              <a16:creationId xmlns:a16="http://schemas.microsoft.com/office/drawing/2014/main" id="{52FD49F6-8298-44FB-9268-F411B90F21D7}"/>
            </a:ext>
          </a:extLst>
        </xdr:cNvPr>
        <xdr:cNvSpPr>
          <a:spLocks noChangeArrowheads="1"/>
        </xdr:cNvSpPr>
      </xdr:nvSpPr>
      <xdr:spPr bwMode="auto">
        <a:xfrm>
          <a:off x="10073640" y="63703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31</xdr:row>
      <xdr:rowOff>60960</xdr:rowOff>
    </xdr:from>
    <xdr:to>
      <xdr:col>10</xdr:col>
      <xdr:colOff>906780</xdr:colOff>
      <xdr:row>31</xdr:row>
      <xdr:rowOff>152400</xdr:rowOff>
    </xdr:to>
    <xdr:sp macro="" textlink="">
      <xdr:nvSpPr>
        <xdr:cNvPr id="47" name="Rectangle 1">
          <a:extLst>
            <a:ext uri="{FF2B5EF4-FFF2-40B4-BE49-F238E27FC236}">
              <a16:creationId xmlns:a16="http://schemas.microsoft.com/office/drawing/2014/main" id="{C763EC94-3703-4B63-8948-D452EBBE9AFB}"/>
            </a:ext>
          </a:extLst>
        </xdr:cNvPr>
        <xdr:cNvSpPr>
          <a:spLocks noChangeArrowheads="1"/>
        </xdr:cNvSpPr>
      </xdr:nvSpPr>
      <xdr:spPr bwMode="auto">
        <a:xfrm>
          <a:off x="10828020" y="63703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32</xdr:row>
      <xdr:rowOff>60960</xdr:rowOff>
    </xdr:from>
    <xdr:to>
      <xdr:col>10</xdr:col>
      <xdr:colOff>152400</xdr:colOff>
      <xdr:row>32</xdr:row>
      <xdr:rowOff>152400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4C256935-B18F-4726-A8C4-B44756A981B6}"/>
            </a:ext>
          </a:extLst>
        </xdr:cNvPr>
        <xdr:cNvSpPr>
          <a:spLocks noChangeArrowheads="1"/>
        </xdr:cNvSpPr>
      </xdr:nvSpPr>
      <xdr:spPr bwMode="auto">
        <a:xfrm>
          <a:off x="10073640" y="65532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32</xdr:row>
      <xdr:rowOff>60960</xdr:rowOff>
    </xdr:from>
    <xdr:to>
      <xdr:col>10</xdr:col>
      <xdr:colOff>906780</xdr:colOff>
      <xdr:row>32</xdr:row>
      <xdr:rowOff>152400</xdr:rowOff>
    </xdr:to>
    <xdr:sp macro="" textlink="">
      <xdr:nvSpPr>
        <xdr:cNvPr id="49" name="Rectangle 1">
          <a:extLst>
            <a:ext uri="{FF2B5EF4-FFF2-40B4-BE49-F238E27FC236}">
              <a16:creationId xmlns:a16="http://schemas.microsoft.com/office/drawing/2014/main" id="{04BA1DE0-D26A-41D7-AAF7-1A3745762E2E}"/>
            </a:ext>
          </a:extLst>
        </xdr:cNvPr>
        <xdr:cNvSpPr>
          <a:spLocks noChangeArrowheads="1"/>
        </xdr:cNvSpPr>
      </xdr:nvSpPr>
      <xdr:spPr bwMode="auto">
        <a:xfrm>
          <a:off x="10828020" y="65532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33</xdr:row>
      <xdr:rowOff>60960</xdr:rowOff>
    </xdr:from>
    <xdr:to>
      <xdr:col>10</xdr:col>
      <xdr:colOff>152400</xdr:colOff>
      <xdr:row>33</xdr:row>
      <xdr:rowOff>152400</xdr:rowOff>
    </xdr:to>
    <xdr:sp macro="" textlink="">
      <xdr:nvSpPr>
        <xdr:cNvPr id="50" name="Rectangle 1">
          <a:extLst>
            <a:ext uri="{FF2B5EF4-FFF2-40B4-BE49-F238E27FC236}">
              <a16:creationId xmlns:a16="http://schemas.microsoft.com/office/drawing/2014/main" id="{A8985F89-BE83-4333-A873-032EDFDDAFFB}"/>
            </a:ext>
          </a:extLst>
        </xdr:cNvPr>
        <xdr:cNvSpPr>
          <a:spLocks noChangeArrowheads="1"/>
        </xdr:cNvSpPr>
      </xdr:nvSpPr>
      <xdr:spPr bwMode="auto">
        <a:xfrm>
          <a:off x="10073640" y="6736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33</xdr:row>
      <xdr:rowOff>60960</xdr:rowOff>
    </xdr:from>
    <xdr:to>
      <xdr:col>10</xdr:col>
      <xdr:colOff>906780</xdr:colOff>
      <xdr:row>33</xdr:row>
      <xdr:rowOff>152400</xdr:rowOff>
    </xdr:to>
    <xdr:sp macro="" textlink="">
      <xdr:nvSpPr>
        <xdr:cNvPr id="51" name="Rectangle 1">
          <a:extLst>
            <a:ext uri="{FF2B5EF4-FFF2-40B4-BE49-F238E27FC236}">
              <a16:creationId xmlns:a16="http://schemas.microsoft.com/office/drawing/2014/main" id="{4258E231-74F6-4B67-B32B-3A6B4E6C3EA0}"/>
            </a:ext>
          </a:extLst>
        </xdr:cNvPr>
        <xdr:cNvSpPr>
          <a:spLocks noChangeArrowheads="1"/>
        </xdr:cNvSpPr>
      </xdr:nvSpPr>
      <xdr:spPr bwMode="auto">
        <a:xfrm>
          <a:off x="10828020" y="6736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34</xdr:row>
      <xdr:rowOff>60960</xdr:rowOff>
    </xdr:from>
    <xdr:to>
      <xdr:col>10</xdr:col>
      <xdr:colOff>152400</xdr:colOff>
      <xdr:row>34</xdr:row>
      <xdr:rowOff>152400</xdr:rowOff>
    </xdr:to>
    <xdr:sp macro="" textlink="">
      <xdr:nvSpPr>
        <xdr:cNvPr id="52" name="Rectangle 1">
          <a:extLst>
            <a:ext uri="{FF2B5EF4-FFF2-40B4-BE49-F238E27FC236}">
              <a16:creationId xmlns:a16="http://schemas.microsoft.com/office/drawing/2014/main" id="{84A26CC6-4C31-4A07-AE8D-AD057F585FE8}"/>
            </a:ext>
          </a:extLst>
        </xdr:cNvPr>
        <xdr:cNvSpPr>
          <a:spLocks noChangeArrowheads="1"/>
        </xdr:cNvSpPr>
      </xdr:nvSpPr>
      <xdr:spPr bwMode="auto">
        <a:xfrm>
          <a:off x="10073640" y="6918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34</xdr:row>
      <xdr:rowOff>60960</xdr:rowOff>
    </xdr:from>
    <xdr:to>
      <xdr:col>10</xdr:col>
      <xdr:colOff>906780</xdr:colOff>
      <xdr:row>34</xdr:row>
      <xdr:rowOff>152400</xdr:rowOff>
    </xdr:to>
    <xdr:sp macro="" textlink="">
      <xdr:nvSpPr>
        <xdr:cNvPr id="53" name="Rectangle 1">
          <a:extLst>
            <a:ext uri="{FF2B5EF4-FFF2-40B4-BE49-F238E27FC236}">
              <a16:creationId xmlns:a16="http://schemas.microsoft.com/office/drawing/2014/main" id="{50BED799-BA0C-49E5-895B-A288093C5027}"/>
            </a:ext>
          </a:extLst>
        </xdr:cNvPr>
        <xdr:cNvSpPr>
          <a:spLocks noChangeArrowheads="1"/>
        </xdr:cNvSpPr>
      </xdr:nvSpPr>
      <xdr:spPr bwMode="auto">
        <a:xfrm>
          <a:off x="10828020" y="6918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35</xdr:row>
      <xdr:rowOff>60960</xdr:rowOff>
    </xdr:from>
    <xdr:to>
      <xdr:col>10</xdr:col>
      <xdr:colOff>152400</xdr:colOff>
      <xdr:row>35</xdr:row>
      <xdr:rowOff>152400</xdr:rowOff>
    </xdr:to>
    <xdr:sp macro="" textlink="">
      <xdr:nvSpPr>
        <xdr:cNvPr id="54" name="Rectangle 1">
          <a:extLst>
            <a:ext uri="{FF2B5EF4-FFF2-40B4-BE49-F238E27FC236}">
              <a16:creationId xmlns:a16="http://schemas.microsoft.com/office/drawing/2014/main" id="{BB206215-E988-41EA-8919-25C979B9D85B}"/>
            </a:ext>
          </a:extLst>
        </xdr:cNvPr>
        <xdr:cNvSpPr>
          <a:spLocks noChangeArrowheads="1"/>
        </xdr:cNvSpPr>
      </xdr:nvSpPr>
      <xdr:spPr bwMode="auto">
        <a:xfrm>
          <a:off x="10073640" y="71018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35</xdr:row>
      <xdr:rowOff>60960</xdr:rowOff>
    </xdr:from>
    <xdr:to>
      <xdr:col>10</xdr:col>
      <xdr:colOff>906780</xdr:colOff>
      <xdr:row>35</xdr:row>
      <xdr:rowOff>152400</xdr:rowOff>
    </xdr:to>
    <xdr:sp macro="" textlink="">
      <xdr:nvSpPr>
        <xdr:cNvPr id="55" name="Rectangle 1">
          <a:extLst>
            <a:ext uri="{FF2B5EF4-FFF2-40B4-BE49-F238E27FC236}">
              <a16:creationId xmlns:a16="http://schemas.microsoft.com/office/drawing/2014/main" id="{230E3AC9-8C60-40C5-AB72-40E32141AFE4}"/>
            </a:ext>
          </a:extLst>
        </xdr:cNvPr>
        <xdr:cNvSpPr>
          <a:spLocks noChangeArrowheads="1"/>
        </xdr:cNvSpPr>
      </xdr:nvSpPr>
      <xdr:spPr bwMode="auto">
        <a:xfrm>
          <a:off x="10828020" y="71018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36</xdr:row>
      <xdr:rowOff>60960</xdr:rowOff>
    </xdr:from>
    <xdr:to>
      <xdr:col>10</xdr:col>
      <xdr:colOff>152400</xdr:colOff>
      <xdr:row>36</xdr:row>
      <xdr:rowOff>152400</xdr:rowOff>
    </xdr:to>
    <xdr:sp macro="" textlink="">
      <xdr:nvSpPr>
        <xdr:cNvPr id="56" name="Rectangle 1">
          <a:extLst>
            <a:ext uri="{FF2B5EF4-FFF2-40B4-BE49-F238E27FC236}">
              <a16:creationId xmlns:a16="http://schemas.microsoft.com/office/drawing/2014/main" id="{01556BAD-B1EE-4FC0-9F7D-A71E84E2757D}"/>
            </a:ext>
          </a:extLst>
        </xdr:cNvPr>
        <xdr:cNvSpPr>
          <a:spLocks noChangeArrowheads="1"/>
        </xdr:cNvSpPr>
      </xdr:nvSpPr>
      <xdr:spPr bwMode="auto">
        <a:xfrm>
          <a:off x="10073640" y="72847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36</xdr:row>
      <xdr:rowOff>60960</xdr:rowOff>
    </xdr:from>
    <xdr:to>
      <xdr:col>10</xdr:col>
      <xdr:colOff>906780</xdr:colOff>
      <xdr:row>36</xdr:row>
      <xdr:rowOff>152400</xdr:rowOff>
    </xdr:to>
    <xdr:sp macro="" textlink="">
      <xdr:nvSpPr>
        <xdr:cNvPr id="57" name="Rectangle 1">
          <a:extLst>
            <a:ext uri="{FF2B5EF4-FFF2-40B4-BE49-F238E27FC236}">
              <a16:creationId xmlns:a16="http://schemas.microsoft.com/office/drawing/2014/main" id="{816D8CF0-6FAD-4081-812D-86981635048B}"/>
            </a:ext>
          </a:extLst>
        </xdr:cNvPr>
        <xdr:cNvSpPr>
          <a:spLocks noChangeArrowheads="1"/>
        </xdr:cNvSpPr>
      </xdr:nvSpPr>
      <xdr:spPr bwMode="auto">
        <a:xfrm>
          <a:off x="10828020" y="72847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37</xdr:row>
      <xdr:rowOff>60960</xdr:rowOff>
    </xdr:from>
    <xdr:to>
      <xdr:col>10</xdr:col>
      <xdr:colOff>152400</xdr:colOff>
      <xdr:row>37</xdr:row>
      <xdr:rowOff>152400</xdr:rowOff>
    </xdr:to>
    <xdr:sp macro="" textlink="">
      <xdr:nvSpPr>
        <xdr:cNvPr id="58" name="Rectangle 1">
          <a:extLst>
            <a:ext uri="{FF2B5EF4-FFF2-40B4-BE49-F238E27FC236}">
              <a16:creationId xmlns:a16="http://schemas.microsoft.com/office/drawing/2014/main" id="{2014DBB2-B689-486E-8C7F-63BE60D26E3E}"/>
            </a:ext>
          </a:extLst>
        </xdr:cNvPr>
        <xdr:cNvSpPr>
          <a:spLocks noChangeArrowheads="1"/>
        </xdr:cNvSpPr>
      </xdr:nvSpPr>
      <xdr:spPr bwMode="auto">
        <a:xfrm>
          <a:off x="10073640" y="74676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37</xdr:row>
      <xdr:rowOff>60960</xdr:rowOff>
    </xdr:from>
    <xdr:to>
      <xdr:col>10</xdr:col>
      <xdr:colOff>906780</xdr:colOff>
      <xdr:row>37</xdr:row>
      <xdr:rowOff>152400</xdr:rowOff>
    </xdr:to>
    <xdr:sp macro="" textlink="">
      <xdr:nvSpPr>
        <xdr:cNvPr id="59" name="Rectangle 1">
          <a:extLst>
            <a:ext uri="{FF2B5EF4-FFF2-40B4-BE49-F238E27FC236}">
              <a16:creationId xmlns:a16="http://schemas.microsoft.com/office/drawing/2014/main" id="{226022A0-C041-4637-B478-F91170BD93DA}"/>
            </a:ext>
          </a:extLst>
        </xdr:cNvPr>
        <xdr:cNvSpPr>
          <a:spLocks noChangeArrowheads="1"/>
        </xdr:cNvSpPr>
      </xdr:nvSpPr>
      <xdr:spPr bwMode="auto">
        <a:xfrm>
          <a:off x="10828020" y="74676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38</xdr:row>
      <xdr:rowOff>60960</xdr:rowOff>
    </xdr:from>
    <xdr:to>
      <xdr:col>10</xdr:col>
      <xdr:colOff>152400</xdr:colOff>
      <xdr:row>38</xdr:row>
      <xdr:rowOff>152400</xdr:rowOff>
    </xdr:to>
    <xdr:sp macro="" textlink="">
      <xdr:nvSpPr>
        <xdr:cNvPr id="60" name="Rectangle 1">
          <a:extLst>
            <a:ext uri="{FF2B5EF4-FFF2-40B4-BE49-F238E27FC236}">
              <a16:creationId xmlns:a16="http://schemas.microsoft.com/office/drawing/2014/main" id="{B32836F9-D226-42AF-92F0-F6D56E556316}"/>
            </a:ext>
          </a:extLst>
        </xdr:cNvPr>
        <xdr:cNvSpPr>
          <a:spLocks noChangeArrowheads="1"/>
        </xdr:cNvSpPr>
      </xdr:nvSpPr>
      <xdr:spPr bwMode="auto">
        <a:xfrm>
          <a:off x="10073640" y="76504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38</xdr:row>
      <xdr:rowOff>60960</xdr:rowOff>
    </xdr:from>
    <xdr:to>
      <xdr:col>10</xdr:col>
      <xdr:colOff>906780</xdr:colOff>
      <xdr:row>38</xdr:row>
      <xdr:rowOff>152400</xdr:rowOff>
    </xdr:to>
    <xdr:sp macro="" textlink="">
      <xdr:nvSpPr>
        <xdr:cNvPr id="61" name="Rectangle 1">
          <a:extLst>
            <a:ext uri="{FF2B5EF4-FFF2-40B4-BE49-F238E27FC236}">
              <a16:creationId xmlns:a16="http://schemas.microsoft.com/office/drawing/2014/main" id="{53BA9D9E-C5C8-43A8-A391-C6FC0EE541F6}"/>
            </a:ext>
          </a:extLst>
        </xdr:cNvPr>
        <xdr:cNvSpPr>
          <a:spLocks noChangeArrowheads="1"/>
        </xdr:cNvSpPr>
      </xdr:nvSpPr>
      <xdr:spPr bwMode="auto">
        <a:xfrm>
          <a:off x="10828020" y="76504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39</xdr:row>
      <xdr:rowOff>60960</xdr:rowOff>
    </xdr:from>
    <xdr:to>
      <xdr:col>10</xdr:col>
      <xdr:colOff>152400</xdr:colOff>
      <xdr:row>39</xdr:row>
      <xdr:rowOff>152400</xdr:rowOff>
    </xdr:to>
    <xdr:sp macro="" textlink="">
      <xdr:nvSpPr>
        <xdr:cNvPr id="62" name="Rectangle 1">
          <a:extLst>
            <a:ext uri="{FF2B5EF4-FFF2-40B4-BE49-F238E27FC236}">
              <a16:creationId xmlns:a16="http://schemas.microsoft.com/office/drawing/2014/main" id="{C78FCAB1-6F0B-4573-B99C-39A8A628C53D}"/>
            </a:ext>
          </a:extLst>
        </xdr:cNvPr>
        <xdr:cNvSpPr>
          <a:spLocks noChangeArrowheads="1"/>
        </xdr:cNvSpPr>
      </xdr:nvSpPr>
      <xdr:spPr bwMode="auto">
        <a:xfrm>
          <a:off x="10073640" y="78333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39</xdr:row>
      <xdr:rowOff>60960</xdr:rowOff>
    </xdr:from>
    <xdr:to>
      <xdr:col>10</xdr:col>
      <xdr:colOff>906780</xdr:colOff>
      <xdr:row>39</xdr:row>
      <xdr:rowOff>152400</xdr:rowOff>
    </xdr:to>
    <xdr:sp macro="" textlink="">
      <xdr:nvSpPr>
        <xdr:cNvPr id="63" name="Rectangle 1">
          <a:extLst>
            <a:ext uri="{FF2B5EF4-FFF2-40B4-BE49-F238E27FC236}">
              <a16:creationId xmlns:a16="http://schemas.microsoft.com/office/drawing/2014/main" id="{141112D0-6F2A-4A71-93FC-7F6011FABD5A}"/>
            </a:ext>
          </a:extLst>
        </xdr:cNvPr>
        <xdr:cNvSpPr>
          <a:spLocks noChangeArrowheads="1"/>
        </xdr:cNvSpPr>
      </xdr:nvSpPr>
      <xdr:spPr bwMode="auto">
        <a:xfrm>
          <a:off x="10828020" y="78333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40</xdr:row>
      <xdr:rowOff>60960</xdr:rowOff>
    </xdr:from>
    <xdr:to>
      <xdr:col>10</xdr:col>
      <xdr:colOff>152400</xdr:colOff>
      <xdr:row>40</xdr:row>
      <xdr:rowOff>152400</xdr:rowOff>
    </xdr:to>
    <xdr:sp macro="" textlink="">
      <xdr:nvSpPr>
        <xdr:cNvPr id="64" name="Rectangle 1">
          <a:extLst>
            <a:ext uri="{FF2B5EF4-FFF2-40B4-BE49-F238E27FC236}">
              <a16:creationId xmlns:a16="http://schemas.microsoft.com/office/drawing/2014/main" id="{6B1A836D-AF14-4AF7-B469-BAAFCE27B005}"/>
            </a:ext>
          </a:extLst>
        </xdr:cNvPr>
        <xdr:cNvSpPr>
          <a:spLocks noChangeArrowheads="1"/>
        </xdr:cNvSpPr>
      </xdr:nvSpPr>
      <xdr:spPr bwMode="auto">
        <a:xfrm>
          <a:off x="10073640" y="80162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40</xdr:row>
      <xdr:rowOff>60960</xdr:rowOff>
    </xdr:from>
    <xdr:to>
      <xdr:col>10</xdr:col>
      <xdr:colOff>906780</xdr:colOff>
      <xdr:row>40</xdr:row>
      <xdr:rowOff>152400</xdr:rowOff>
    </xdr:to>
    <xdr:sp macro="" textlink="">
      <xdr:nvSpPr>
        <xdr:cNvPr id="65" name="Rectangle 1">
          <a:extLst>
            <a:ext uri="{FF2B5EF4-FFF2-40B4-BE49-F238E27FC236}">
              <a16:creationId xmlns:a16="http://schemas.microsoft.com/office/drawing/2014/main" id="{45C1B7CF-01CE-409C-AAE3-84B987E02F82}"/>
            </a:ext>
          </a:extLst>
        </xdr:cNvPr>
        <xdr:cNvSpPr>
          <a:spLocks noChangeArrowheads="1"/>
        </xdr:cNvSpPr>
      </xdr:nvSpPr>
      <xdr:spPr bwMode="auto">
        <a:xfrm>
          <a:off x="10828020" y="80162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41</xdr:row>
      <xdr:rowOff>60960</xdr:rowOff>
    </xdr:from>
    <xdr:to>
      <xdr:col>10</xdr:col>
      <xdr:colOff>152400</xdr:colOff>
      <xdr:row>41</xdr:row>
      <xdr:rowOff>152400</xdr:rowOff>
    </xdr:to>
    <xdr:sp macro="" textlink="">
      <xdr:nvSpPr>
        <xdr:cNvPr id="66" name="Rectangle 1">
          <a:extLst>
            <a:ext uri="{FF2B5EF4-FFF2-40B4-BE49-F238E27FC236}">
              <a16:creationId xmlns:a16="http://schemas.microsoft.com/office/drawing/2014/main" id="{64BBA679-C211-45E0-8208-5FD91CC3D988}"/>
            </a:ext>
          </a:extLst>
        </xdr:cNvPr>
        <xdr:cNvSpPr>
          <a:spLocks noChangeArrowheads="1"/>
        </xdr:cNvSpPr>
      </xdr:nvSpPr>
      <xdr:spPr bwMode="auto">
        <a:xfrm>
          <a:off x="10073640" y="8199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41</xdr:row>
      <xdr:rowOff>60960</xdr:rowOff>
    </xdr:from>
    <xdr:to>
      <xdr:col>10</xdr:col>
      <xdr:colOff>906780</xdr:colOff>
      <xdr:row>41</xdr:row>
      <xdr:rowOff>152400</xdr:rowOff>
    </xdr:to>
    <xdr:sp macro="" textlink="">
      <xdr:nvSpPr>
        <xdr:cNvPr id="67" name="Rectangle 1">
          <a:extLst>
            <a:ext uri="{FF2B5EF4-FFF2-40B4-BE49-F238E27FC236}">
              <a16:creationId xmlns:a16="http://schemas.microsoft.com/office/drawing/2014/main" id="{5E01998F-B6A1-425A-B844-EA1614A30E0B}"/>
            </a:ext>
          </a:extLst>
        </xdr:cNvPr>
        <xdr:cNvSpPr>
          <a:spLocks noChangeArrowheads="1"/>
        </xdr:cNvSpPr>
      </xdr:nvSpPr>
      <xdr:spPr bwMode="auto">
        <a:xfrm>
          <a:off x="10828020" y="8199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42</xdr:row>
      <xdr:rowOff>60960</xdr:rowOff>
    </xdr:from>
    <xdr:to>
      <xdr:col>10</xdr:col>
      <xdr:colOff>152400</xdr:colOff>
      <xdr:row>42</xdr:row>
      <xdr:rowOff>152400</xdr:rowOff>
    </xdr:to>
    <xdr:sp macro="" textlink="">
      <xdr:nvSpPr>
        <xdr:cNvPr id="68" name="Rectangle 1">
          <a:extLst>
            <a:ext uri="{FF2B5EF4-FFF2-40B4-BE49-F238E27FC236}">
              <a16:creationId xmlns:a16="http://schemas.microsoft.com/office/drawing/2014/main" id="{672C51F2-4CF7-4165-8D34-C9D16D53A7D4}"/>
            </a:ext>
          </a:extLst>
        </xdr:cNvPr>
        <xdr:cNvSpPr>
          <a:spLocks noChangeArrowheads="1"/>
        </xdr:cNvSpPr>
      </xdr:nvSpPr>
      <xdr:spPr bwMode="auto">
        <a:xfrm>
          <a:off x="10073640" y="83820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42</xdr:row>
      <xdr:rowOff>60960</xdr:rowOff>
    </xdr:from>
    <xdr:to>
      <xdr:col>10</xdr:col>
      <xdr:colOff>906780</xdr:colOff>
      <xdr:row>42</xdr:row>
      <xdr:rowOff>152400</xdr:rowOff>
    </xdr:to>
    <xdr:sp macro="" textlink="">
      <xdr:nvSpPr>
        <xdr:cNvPr id="69" name="Rectangle 1">
          <a:extLst>
            <a:ext uri="{FF2B5EF4-FFF2-40B4-BE49-F238E27FC236}">
              <a16:creationId xmlns:a16="http://schemas.microsoft.com/office/drawing/2014/main" id="{2AB27C7C-FDA8-4375-9330-3472F3698140}"/>
            </a:ext>
          </a:extLst>
        </xdr:cNvPr>
        <xdr:cNvSpPr>
          <a:spLocks noChangeArrowheads="1"/>
        </xdr:cNvSpPr>
      </xdr:nvSpPr>
      <xdr:spPr bwMode="auto">
        <a:xfrm>
          <a:off x="10828020" y="83820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43</xdr:row>
      <xdr:rowOff>60960</xdr:rowOff>
    </xdr:from>
    <xdr:to>
      <xdr:col>10</xdr:col>
      <xdr:colOff>152400</xdr:colOff>
      <xdr:row>43</xdr:row>
      <xdr:rowOff>152400</xdr:rowOff>
    </xdr:to>
    <xdr:sp macro="" textlink="">
      <xdr:nvSpPr>
        <xdr:cNvPr id="70" name="Rectangle 1">
          <a:extLst>
            <a:ext uri="{FF2B5EF4-FFF2-40B4-BE49-F238E27FC236}">
              <a16:creationId xmlns:a16="http://schemas.microsoft.com/office/drawing/2014/main" id="{9D14BC4F-6F0D-4A03-8072-2530DC7A71B4}"/>
            </a:ext>
          </a:extLst>
        </xdr:cNvPr>
        <xdr:cNvSpPr>
          <a:spLocks noChangeArrowheads="1"/>
        </xdr:cNvSpPr>
      </xdr:nvSpPr>
      <xdr:spPr bwMode="auto">
        <a:xfrm>
          <a:off x="10073640" y="85648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43</xdr:row>
      <xdr:rowOff>60960</xdr:rowOff>
    </xdr:from>
    <xdr:to>
      <xdr:col>10</xdr:col>
      <xdr:colOff>906780</xdr:colOff>
      <xdr:row>43</xdr:row>
      <xdr:rowOff>152400</xdr:rowOff>
    </xdr:to>
    <xdr:sp macro="" textlink="">
      <xdr:nvSpPr>
        <xdr:cNvPr id="71" name="Rectangle 1">
          <a:extLst>
            <a:ext uri="{FF2B5EF4-FFF2-40B4-BE49-F238E27FC236}">
              <a16:creationId xmlns:a16="http://schemas.microsoft.com/office/drawing/2014/main" id="{23545A01-9565-46DB-993B-FD506621B043}"/>
            </a:ext>
          </a:extLst>
        </xdr:cNvPr>
        <xdr:cNvSpPr>
          <a:spLocks noChangeArrowheads="1"/>
        </xdr:cNvSpPr>
      </xdr:nvSpPr>
      <xdr:spPr bwMode="auto">
        <a:xfrm>
          <a:off x="10828020" y="85648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44</xdr:row>
      <xdr:rowOff>60960</xdr:rowOff>
    </xdr:from>
    <xdr:to>
      <xdr:col>10</xdr:col>
      <xdr:colOff>152400</xdr:colOff>
      <xdr:row>44</xdr:row>
      <xdr:rowOff>152400</xdr:rowOff>
    </xdr:to>
    <xdr:sp macro="" textlink="">
      <xdr:nvSpPr>
        <xdr:cNvPr id="72" name="Rectangle 1">
          <a:extLst>
            <a:ext uri="{FF2B5EF4-FFF2-40B4-BE49-F238E27FC236}">
              <a16:creationId xmlns:a16="http://schemas.microsoft.com/office/drawing/2014/main" id="{FBBFCE68-8E4D-497A-AA7D-691E8F6A9E0C}"/>
            </a:ext>
          </a:extLst>
        </xdr:cNvPr>
        <xdr:cNvSpPr>
          <a:spLocks noChangeArrowheads="1"/>
        </xdr:cNvSpPr>
      </xdr:nvSpPr>
      <xdr:spPr bwMode="auto">
        <a:xfrm>
          <a:off x="10073640" y="87477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44</xdr:row>
      <xdr:rowOff>60960</xdr:rowOff>
    </xdr:from>
    <xdr:to>
      <xdr:col>10</xdr:col>
      <xdr:colOff>906780</xdr:colOff>
      <xdr:row>44</xdr:row>
      <xdr:rowOff>152400</xdr:rowOff>
    </xdr:to>
    <xdr:sp macro="" textlink="">
      <xdr:nvSpPr>
        <xdr:cNvPr id="73" name="Rectangle 1">
          <a:extLst>
            <a:ext uri="{FF2B5EF4-FFF2-40B4-BE49-F238E27FC236}">
              <a16:creationId xmlns:a16="http://schemas.microsoft.com/office/drawing/2014/main" id="{792C289E-2A6D-421C-8AAE-2569B3DE2CC3}"/>
            </a:ext>
          </a:extLst>
        </xdr:cNvPr>
        <xdr:cNvSpPr>
          <a:spLocks noChangeArrowheads="1"/>
        </xdr:cNvSpPr>
      </xdr:nvSpPr>
      <xdr:spPr bwMode="auto">
        <a:xfrm>
          <a:off x="10828020" y="87477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45</xdr:row>
      <xdr:rowOff>60960</xdr:rowOff>
    </xdr:from>
    <xdr:to>
      <xdr:col>10</xdr:col>
      <xdr:colOff>152400</xdr:colOff>
      <xdr:row>45</xdr:row>
      <xdr:rowOff>152400</xdr:rowOff>
    </xdr:to>
    <xdr:sp macro="" textlink="">
      <xdr:nvSpPr>
        <xdr:cNvPr id="74" name="Rectangle 1">
          <a:extLst>
            <a:ext uri="{FF2B5EF4-FFF2-40B4-BE49-F238E27FC236}">
              <a16:creationId xmlns:a16="http://schemas.microsoft.com/office/drawing/2014/main" id="{C653F015-193F-44A3-8A68-B8F83F466353}"/>
            </a:ext>
          </a:extLst>
        </xdr:cNvPr>
        <xdr:cNvSpPr>
          <a:spLocks noChangeArrowheads="1"/>
        </xdr:cNvSpPr>
      </xdr:nvSpPr>
      <xdr:spPr bwMode="auto">
        <a:xfrm>
          <a:off x="10073640" y="89306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45</xdr:row>
      <xdr:rowOff>60960</xdr:rowOff>
    </xdr:from>
    <xdr:to>
      <xdr:col>10</xdr:col>
      <xdr:colOff>906780</xdr:colOff>
      <xdr:row>45</xdr:row>
      <xdr:rowOff>152400</xdr:rowOff>
    </xdr:to>
    <xdr:sp macro="" textlink="">
      <xdr:nvSpPr>
        <xdr:cNvPr id="75" name="Rectangle 1">
          <a:extLst>
            <a:ext uri="{FF2B5EF4-FFF2-40B4-BE49-F238E27FC236}">
              <a16:creationId xmlns:a16="http://schemas.microsoft.com/office/drawing/2014/main" id="{C446633F-5A7E-4298-A8D7-5FD8BAF0FE19}"/>
            </a:ext>
          </a:extLst>
        </xdr:cNvPr>
        <xdr:cNvSpPr>
          <a:spLocks noChangeArrowheads="1"/>
        </xdr:cNvSpPr>
      </xdr:nvSpPr>
      <xdr:spPr bwMode="auto">
        <a:xfrm>
          <a:off x="10828020" y="89306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46</xdr:row>
      <xdr:rowOff>60960</xdr:rowOff>
    </xdr:from>
    <xdr:to>
      <xdr:col>10</xdr:col>
      <xdr:colOff>152400</xdr:colOff>
      <xdr:row>46</xdr:row>
      <xdr:rowOff>152400</xdr:rowOff>
    </xdr:to>
    <xdr:sp macro="" textlink="">
      <xdr:nvSpPr>
        <xdr:cNvPr id="76" name="Rectangle 1">
          <a:extLst>
            <a:ext uri="{FF2B5EF4-FFF2-40B4-BE49-F238E27FC236}">
              <a16:creationId xmlns:a16="http://schemas.microsoft.com/office/drawing/2014/main" id="{0778922E-D332-49F0-921D-FEE87B768B02}"/>
            </a:ext>
          </a:extLst>
        </xdr:cNvPr>
        <xdr:cNvSpPr>
          <a:spLocks noChangeArrowheads="1"/>
        </xdr:cNvSpPr>
      </xdr:nvSpPr>
      <xdr:spPr bwMode="auto">
        <a:xfrm>
          <a:off x="10073640" y="91135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46</xdr:row>
      <xdr:rowOff>60960</xdr:rowOff>
    </xdr:from>
    <xdr:to>
      <xdr:col>10</xdr:col>
      <xdr:colOff>906780</xdr:colOff>
      <xdr:row>46</xdr:row>
      <xdr:rowOff>152400</xdr:rowOff>
    </xdr:to>
    <xdr:sp macro="" textlink="">
      <xdr:nvSpPr>
        <xdr:cNvPr id="77" name="Rectangle 1">
          <a:extLst>
            <a:ext uri="{FF2B5EF4-FFF2-40B4-BE49-F238E27FC236}">
              <a16:creationId xmlns:a16="http://schemas.microsoft.com/office/drawing/2014/main" id="{31F23347-4B25-43DC-B84F-13686551236D}"/>
            </a:ext>
          </a:extLst>
        </xdr:cNvPr>
        <xdr:cNvSpPr>
          <a:spLocks noChangeArrowheads="1"/>
        </xdr:cNvSpPr>
      </xdr:nvSpPr>
      <xdr:spPr bwMode="auto">
        <a:xfrm>
          <a:off x="10828020" y="91135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47</xdr:row>
      <xdr:rowOff>60960</xdr:rowOff>
    </xdr:from>
    <xdr:to>
      <xdr:col>10</xdr:col>
      <xdr:colOff>152400</xdr:colOff>
      <xdr:row>47</xdr:row>
      <xdr:rowOff>152400</xdr:rowOff>
    </xdr:to>
    <xdr:sp macro="" textlink="">
      <xdr:nvSpPr>
        <xdr:cNvPr id="78" name="Rectangle 1">
          <a:extLst>
            <a:ext uri="{FF2B5EF4-FFF2-40B4-BE49-F238E27FC236}">
              <a16:creationId xmlns:a16="http://schemas.microsoft.com/office/drawing/2014/main" id="{A6854CDB-8F33-4AE3-939D-98FDAEF3C00B}"/>
            </a:ext>
          </a:extLst>
        </xdr:cNvPr>
        <xdr:cNvSpPr>
          <a:spLocks noChangeArrowheads="1"/>
        </xdr:cNvSpPr>
      </xdr:nvSpPr>
      <xdr:spPr bwMode="auto">
        <a:xfrm>
          <a:off x="10073640" y="92964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47</xdr:row>
      <xdr:rowOff>60960</xdr:rowOff>
    </xdr:from>
    <xdr:to>
      <xdr:col>10</xdr:col>
      <xdr:colOff>906780</xdr:colOff>
      <xdr:row>47</xdr:row>
      <xdr:rowOff>152400</xdr:rowOff>
    </xdr:to>
    <xdr:sp macro="" textlink="">
      <xdr:nvSpPr>
        <xdr:cNvPr id="79" name="Rectangle 1">
          <a:extLst>
            <a:ext uri="{FF2B5EF4-FFF2-40B4-BE49-F238E27FC236}">
              <a16:creationId xmlns:a16="http://schemas.microsoft.com/office/drawing/2014/main" id="{D1CCFC7D-FF73-436E-88BB-5665F28B0A3C}"/>
            </a:ext>
          </a:extLst>
        </xdr:cNvPr>
        <xdr:cNvSpPr>
          <a:spLocks noChangeArrowheads="1"/>
        </xdr:cNvSpPr>
      </xdr:nvSpPr>
      <xdr:spPr bwMode="auto">
        <a:xfrm>
          <a:off x="10828020" y="92964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48</xdr:row>
      <xdr:rowOff>60960</xdr:rowOff>
    </xdr:from>
    <xdr:to>
      <xdr:col>10</xdr:col>
      <xdr:colOff>152400</xdr:colOff>
      <xdr:row>48</xdr:row>
      <xdr:rowOff>152400</xdr:rowOff>
    </xdr:to>
    <xdr:sp macro="" textlink="">
      <xdr:nvSpPr>
        <xdr:cNvPr id="80" name="Rectangle 1">
          <a:extLst>
            <a:ext uri="{FF2B5EF4-FFF2-40B4-BE49-F238E27FC236}">
              <a16:creationId xmlns:a16="http://schemas.microsoft.com/office/drawing/2014/main" id="{C8D4F131-8EFD-48AE-81DE-3E4D489400AE}"/>
            </a:ext>
          </a:extLst>
        </xdr:cNvPr>
        <xdr:cNvSpPr>
          <a:spLocks noChangeArrowheads="1"/>
        </xdr:cNvSpPr>
      </xdr:nvSpPr>
      <xdr:spPr bwMode="auto">
        <a:xfrm>
          <a:off x="10073640" y="94792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48</xdr:row>
      <xdr:rowOff>60960</xdr:rowOff>
    </xdr:from>
    <xdr:to>
      <xdr:col>10</xdr:col>
      <xdr:colOff>906780</xdr:colOff>
      <xdr:row>48</xdr:row>
      <xdr:rowOff>152400</xdr:rowOff>
    </xdr:to>
    <xdr:sp macro="" textlink="">
      <xdr:nvSpPr>
        <xdr:cNvPr id="81" name="Rectangle 1">
          <a:extLst>
            <a:ext uri="{FF2B5EF4-FFF2-40B4-BE49-F238E27FC236}">
              <a16:creationId xmlns:a16="http://schemas.microsoft.com/office/drawing/2014/main" id="{4D9817C4-BCFE-4D3F-B5C3-1B4C8BFD216B}"/>
            </a:ext>
          </a:extLst>
        </xdr:cNvPr>
        <xdr:cNvSpPr>
          <a:spLocks noChangeArrowheads="1"/>
        </xdr:cNvSpPr>
      </xdr:nvSpPr>
      <xdr:spPr bwMode="auto">
        <a:xfrm>
          <a:off x="10828020" y="94792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49</xdr:row>
      <xdr:rowOff>60960</xdr:rowOff>
    </xdr:from>
    <xdr:to>
      <xdr:col>10</xdr:col>
      <xdr:colOff>152400</xdr:colOff>
      <xdr:row>49</xdr:row>
      <xdr:rowOff>152400</xdr:rowOff>
    </xdr:to>
    <xdr:sp macro="" textlink="">
      <xdr:nvSpPr>
        <xdr:cNvPr id="82" name="Rectangle 1">
          <a:extLst>
            <a:ext uri="{FF2B5EF4-FFF2-40B4-BE49-F238E27FC236}">
              <a16:creationId xmlns:a16="http://schemas.microsoft.com/office/drawing/2014/main" id="{765F59BB-899E-4310-B5F8-1AEF60C402B6}"/>
            </a:ext>
          </a:extLst>
        </xdr:cNvPr>
        <xdr:cNvSpPr>
          <a:spLocks noChangeArrowheads="1"/>
        </xdr:cNvSpPr>
      </xdr:nvSpPr>
      <xdr:spPr bwMode="auto">
        <a:xfrm>
          <a:off x="10073640" y="96621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49</xdr:row>
      <xdr:rowOff>60960</xdr:rowOff>
    </xdr:from>
    <xdr:to>
      <xdr:col>10</xdr:col>
      <xdr:colOff>906780</xdr:colOff>
      <xdr:row>49</xdr:row>
      <xdr:rowOff>152400</xdr:rowOff>
    </xdr:to>
    <xdr:sp macro="" textlink="">
      <xdr:nvSpPr>
        <xdr:cNvPr id="83" name="Rectangle 1">
          <a:extLst>
            <a:ext uri="{FF2B5EF4-FFF2-40B4-BE49-F238E27FC236}">
              <a16:creationId xmlns:a16="http://schemas.microsoft.com/office/drawing/2014/main" id="{84A4A71D-33E0-41DC-A17E-EE2F8653A06C}"/>
            </a:ext>
          </a:extLst>
        </xdr:cNvPr>
        <xdr:cNvSpPr>
          <a:spLocks noChangeArrowheads="1"/>
        </xdr:cNvSpPr>
      </xdr:nvSpPr>
      <xdr:spPr bwMode="auto">
        <a:xfrm>
          <a:off x="10828020" y="96621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50</xdr:row>
      <xdr:rowOff>60960</xdr:rowOff>
    </xdr:from>
    <xdr:to>
      <xdr:col>10</xdr:col>
      <xdr:colOff>152400</xdr:colOff>
      <xdr:row>50</xdr:row>
      <xdr:rowOff>152400</xdr:rowOff>
    </xdr:to>
    <xdr:sp macro="" textlink="">
      <xdr:nvSpPr>
        <xdr:cNvPr id="84" name="Rectangle 1">
          <a:extLst>
            <a:ext uri="{FF2B5EF4-FFF2-40B4-BE49-F238E27FC236}">
              <a16:creationId xmlns:a16="http://schemas.microsoft.com/office/drawing/2014/main" id="{C7A0FF00-226A-489D-8B82-E20146ACBB51}"/>
            </a:ext>
          </a:extLst>
        </xdr:cNvPr>
        <xdr:cNvSpPr>
          <a:spLocks noChangeArrowheads="1"/>
        </xdr:cNvSpPr>
      </xdr:nvSpPr>
      <xdr:spPr bwMode="auto">
        <a:xfrm>
          <a:off x="10073640" y="98450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50</xdr:row>
      <xdr:rowOff>60960</xdr:rowOff>
    </xdr:from>
    <xdr:to>
      <xdr:col>10</xdr:col>
      <xdr:colOff>906780</xdr:colOff>
      <xdr:row>50</xdr:row>
      <xdr:rowOff>152400</xdr:rowOff>
    </xdr:to>
    <xdr:sp macro="" textlink="">
      <xdr:nvSpPr>
        <xdr:cNvPr id="85" name="Rectangle 1">
          <a:extLst>
            <a:ext uri="{FF2B5EF4-FFF2-40B4-BE49-F238E27FC236}">
              <a16:creationId xmlns:a16="http://schemas.microsoft.com/office/drawing/2014/main" id="{67AAEB98-60AF-4B6A-9A1F-C8EFB93EF33A}"/>
            </a:ext>
          </a:extLst>
        </xdr:cNvPr>
        <xdr:cNvSpPr>
          <a:spLocks noChangeArrowheads="1"/>
        </xdr:cNvSpPr>
      </xdr:nvSpPr>
      <xdr:spPr bwMode="auto">
        <a:xfrm>
          <a:off x="10828020" y="98450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51</xdr:row>
      <xdr:rowOff>60960</xdr:rowOff>
    </xdr:from>
    <xdr:to>
      <xdr:col>10</xdr:col>
      <xdr:colOff>152400</xdr:colOff>
      <xdr:row>51</xdr:row>
      <xdr:rowOff>152400</xdr:rowOff>
    </xdr:to>
    <xdr:sp macro="" textlink="">
      <xdr:nvSpPr>
        <xdr:cNvPr id="86" name="Rectangle 1">
          <a:extLst>
            <a:ext uri="{FF2B5EF4-FFF2-40B4-BE49-F238E27FC236}">
              <a16:creationId xmlns:a16="http://schemas.microsoft.com/office/drawing/2014/main" id="{60F048A8-FA18-45D3-B3A0-81D978B3D564}"/>
            </a:ext>
          </a:extLst>
        </xdr:cNvPr>
        <xdr:cNvSpPr>
          <a:spLocks noChangeArrowheads="1"/>
        </xdr:cNvSpPr>
      </xdr:nvSpPr>
      <xdr:spPr bwMode="auto">
        <a:xfrm>
          <a:off x="10073640" y="100279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51</xdr:row>
      <xdr:rowOff>60960</xdr:rowOff>
    </xdr:from>
    <xdr:to>
      <xdr:col>10</xdr:col>
      <xdr:colOff>906780</xdr:colOff>
      <xdr:row>51</xdr:row>
      <xdr:rowOff>152400</xdr:rowOff>
    </xdr:to>
    <xdr:sp macro="" textlink="">
      <xdr:nvSpPr>
        <xdr:cNvPr id="87" name="Rectangle 1">
          <a:extLst>
            <a:ext uri="{FF2B5EF4-FFF2-40B4-BE49-F238E27FC236}">
              <a16:creationId xmlns:a16="http://schemas.microsoft.com/office/drawing/2014/main" id="{3C5D62A4-31EE-45E1-BB77-8E6F98CC108C}"/>
            </a:ext>
          </a:extLst>
        </xdr:cNvPr>
        <xdr:cNvSpPr>
          <a:spLocks noChangeArrowheads="1"/>
        </xdr:cNvSpPr>
      </xdr:nvSpPr>
      <xdr:spPr bwMode="auto">
        <a:xfrm>
          <a:off x="10828020" y="100279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52</xdr:row>
      <xdr:rowOff>60960</xdr:rowOff>
    </xdr:from>
    <xdr:to>
      <xdr:col>10</xdr:col>
      <xdr:colOff>152400</xdr:colOff>
      <xdr:row>52</xdr:row>
      <xdr:rowOff>152400</xdr:rowOff>
    </xdr:to>
    <xdr:sp macro="" textlink="">
      <xdr:nvSpPr>
        <xdr:cNvPr id="88" name="Rectangle 1">
          <a:extLst>
            <a:ext uri="{FF2B5EF4-FFF2-40B4-BE49-F238E27FC236}">
              <a16:creationId xmlns:a16="http://schemas.microsoft.com/office/drawing/2014/main" id="{CC5894F7-E9B4-439B-9512-AABC8B1F169B}"/>
            </a:ext>
          </a:extLst>
        </xdr:cNvPr>
        <xdr:cNvSpPr>
          <a:spLocks noChangeArrowheads="1"/>
        </xdr:cNvSpPr>
      </xdr:nvSpPr>
      <xdr:spPr bwMode="auto">
        <a:xfrm>
          <a:off x="10073640" y="102108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52</xdr:row>
      <xdr:rowOff>60960</xdr:rowOff>
    </xdr:from>
    <xdr:to>
      <xdr:col>10</xdr:col>
      <xdr:colOff>906780</xdr:colOff>
      <xdr:row>52</xdr:row>
      <xdr:rowOff>152400</xdr:rowOff>
    </xdr:to>
    <xdr:sp macro="" textlink="">
      <xdr:nvSpPr>
        <xdr:cNvPr id="89" name="Rectangle 1">
          <a:extLst>
            <a:ext uri="{FF2B5EF4-FFF2-40B4-BE49-F238E27FC236}">
              <a16:creationId xmlns:a16="http://schemas.microsoft.com/office/drawing/2014/main" id="{B5CFEBFC-C014-434D-B603-D5C749B5E248}"/>
            </a:ext>
          </a:extLst>
        </xdr:cNvPr>
        <xdr:cNvSpPr>
          <a:spLocks noChangeArrowheads="1"/>
        </xdr:cNvSpPr>
      </xdr:nvSpPr>
      <xdr:spPr bwMode="auto">
        <a:xfrm>
          <a:off x="10828020" y="102108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53</xdr:row>
      <xdr:rowOff>60960</xdr:rowOff>
    </xdr:from>
    <xdr:to>
      <xdr:col>10</xdr:col>
      <xdr:colOff>152400</xdr:colOff>
      <xdr:row>53</xdr:row>
      <xdr:rowOff>152400</xdr:rowOff>
    </xdr:to>
    <xdr:sp macro="" textlink="">
      <xdr:nvSpPr>
        <xdr:cNvPr id="90" name="Rectangle 1">
          <a:extLst>
            <a:ext uri="{FF2B5EF4-FFF2-40B4-BE49-F238E27FC236}">
              <a16:creationId xmlns:a16="http://schemas.microsoft.com/office/drawing/2014/main" id="{52AD1DDA-FF94-4411-A278-2F783A23FBC7}"/>
            </a:ext>
          </a:extLst>
        </xdr:cNvPr>
        <xdr:cNvSpPr>
          <a:spLocks noChangeArrowheads="1"/>
        </xdr:cNvSpPr>
      </xdr:nvSpPr>
      <xdr:spPr bwMode="auto">
        <a:xfrm>
          <a:off x="10073640" y="103936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53</xdr:row>
      <xdr:rowOff>60960</xdr:rowOff>
    </xdr:from>
    <xdr:to>
      <xdr:col>10</xdr:col>
      <xdr:colOff>906780</xdr:colOff>
      <xdr:row>53</xdr:row>
      <xdr:rowOff>152400</xdr:rowOff>
    </xdr:to>
    <xdr:sp macro="" textlink="">
      <xdr:nvSpPr>
        <xdr:cNvPr id="91" name="Rectangle 1">
          <a:extLst>
            <a:ext uri="{FF2B5EF4-FFF2-40B4-BE49-F238E27FC236}">
              <a16:creationId xmlns:a16="http://schemas.microsoft.com/office/drawing/2014/main" id="{4DABA534-6EAF-46ED-9FF3-B6074006E371}"/>
            </a:ext>
          </a:extLst>
        </xdr:cNvPr>
        <xdr:cNvSpPr>
          <a:spLocks noChangeArrowheads="1"/>
        </xdr:cNvSpPr>
      </xdr:nvSpPr>
      <xdr:spPr bwMode="auto">
        <a:xfrm>
          <a:off x="10828020" y="103936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60960</xdr:colOff>
      <xdr:row>9</xdr:row>
      <xdr:rowOff>60960</xdr:rowOff>
    </xdr:from>
    <xdr:to>
      <xdr:col>10</xdr:col>
      <xdr:colOff>152400</xdr:colOff>
      <xdr:row>9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7C020BF-072F-49F1-B243-556B4406EE7D}"/>
            </a:ext>
          </a:extLst>
        </xdr:cNvPr>
        <xdr:cNvSpPr>
          <a:spLocks noChangeArrowheads="1"/>
        </xdr:cNvSpPr>
      </xdr:nvSpPr>
      <xdr:spPr bwMode="auto">
        <a:xfrm>
          <a:off x="1007364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9</xdr:row>
      <xdr:rowOff>60960</xdr:rowOff>
    </xdr:from>
    <xdr:to>
      <xdr:col>10</xdr:col>
      <xdr:colOff>906780</xdr:colOff>
      <xdr:row>9</xdr:row>
      <xdr:rowOff>152400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5E57921D-BFD5-4190-A599-7E2D2740C892}"/>
            </a:ext>
          </a:extLst>
        </xdr:cNvPr>
        <xdr:cNvSpPr>
          <a:spLocks noChangeArrowheads="1"/>
        </xdr:cNvSpPr>
      </xdr:nvSpPr>
      <xdr:spPr bwMode="auto">
        <a:xfrm>
          <a:off x="10828020" y="2164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10</xdr:row>
      <xdr:rowOff>60960</xdr:rowOff>
    </xdr:from>
    <xdr:to>
      <xdr:col>10</xdr:col>
      <xdr:colOff>152400</xdr:colOff>
      <xdr:row>10</xdr:row>
      <xdr:rowOff>152400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D875F01A-C524-4C18-8CAA-91A1031940CE}"/>
            </a:ext>
          </a:extLst>
        </xdr:cNvPr>
        <xdr:cNvSpPr>
          <a:spLocks noChangeArrowheads="1"/>
        </xdr:cNvSpPr>
      </xdr:nvSpPr>
      <xdr:spPr bwMode="auto">
        <a:xfrm>
          <a:off x="1007364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10</xdr:row>
      <xdr:rowOff>60960</xdr:rowOff>
    </xdr:from>
    <xdr:to>
      <xdr:col>10</xdr:col>
      <xdr:colOff>906780</xdr:colOff>
      <xdr:row>10</xdr:row>
      <xdr:rowOff>152400</xdr:rowOff>
    </xdr:to>
    <xdr:sp macro="" textlink="">
      <xdr:nvSpPr>
        <xdr:cNvPr id="5" name="Rectangle 1">
          <a:extLst>
            <a:ext uri="{FF2B5EF4-FFF2-40B4-BE49-F238E27FC236}">
              <a16:creationId xmlns:a16="http://schemas.microsoft.com/office/drawing/2014/main" id="{76DF6BAB-F86A-4C88-9954-E1604C20510A}"/>
            </a:ext>
          </a:extLst>
        </xdr:cNvPr>
        <xdr:cNvSpPr>
          <a:spLocks noChangeArrowheads="1"/>
        </xdr:cNvSpPr>
      </xdr:nvSpPr>
      <xdr:spPr bwMode="auto">
        <a:xfrm>
          <a:off x="10828020" y="2346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11</xdr:row>
      <xdr:rowOff>60960</xdr:rowOff>
    </xdr:from>
    <xdr:to>
      <xdr:col>10</xdr:col>
      <xdr:colOff>152400</xdr:colOff>
      <xdr:row>11</xdr:row>
      <xdr:rowOff>152400</xdr:rowOff>
    </xdr:to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41FCD9DB-8A4F-4361-B7D4-CC9547D26C24}"/>
            </a:ext>
          </a:extLst>
        </xdr:cNvPr>
        <xdr:cNvSpPr>
          <a:spLocks noChangeArrowheads="1"/>
        </xdr:cNvSpPr>
      </xdr:nvSpPr>
      <xdr:spPr bwMode="auto">
        <a:xfrm>
          <a:off x="10073640" y="25298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11</xdr:row>
      <xdr:rowOff>60960</xdr:rowOff>
    </xdr:from>
    <xdr:to>
      <xdr:col>10</xdr:col>
      <xdr:colOff>906780</xdr:colOff>
      <xdr:row>11</xdr:row>
      <xdr:rowOff>152400</xdr:rowOff>
    </xdr:to>
    <xdr:sp macro="" textlink="">
      <xdr:nvSpPr>
        <xdr:cNvPr id="7" name="Rectangle 1">
          <a:extLst>
            <a:ext uri="{FF2B5EF4-FFF2-40B4-BE49-F238E27FC236}">
              <a16:creationId xmlns:a16="http://schemas.microsoft.com/office/drawing/2014/main" id="{CAD23462-B4FA-4433-B5A7-B6D00A796F91}"/>
            </a:ext>
          </a:extLst>
        </xdr:cNvPr>
        <xdr:cNvSpPr>
          <a:spLocks noChangeArrowheads="1"/>
        </xdr:cNvSpPr>
      </xdr:nvSpPr>
      <xdr:spPr bwMode="auto">
        <a:xfrm>
          <a:off x="10828020" y="25298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12</xdr:row>
      <xdr:rowOff>60960</xdr:rowOff>
    </xdr:from>
    <xdr:to>
      <xdr:col>10</xdr:col>
      <xdr:colOff>152400</xdr:colOff>
      <xdr:row>12</xdr:row>
      <xdr:rowOff>152400</xdr:rowOff>
    </xdr:to>
    <xdr:sp macro="" textlink="">
      <xdr:nvSpPr>
        <xdr:cNvPr id="8" name="Rectangle 1">
          <a:extLst>
            <a:ext uri="{FF2B5EF4-FFF2-40B4-BE49-F238E27FC236}">
              <a16:creationId xmlns:a16="http://schemas.microsoft.com/office/drawing/2014/main" id="{189F0128-FCB8-4F5A-BCCA-5EF8D1D05194}"/>
            </a:ext>
          </a:extLst>
        </xdr:cNvPr>
        <xdr:cNvSpPr>
          <a:spLocks noChangeArrowheads="1"/>
        </xdr:cNvSpPr>
      </xdr:nvSpPr>
      <xdr:spPr bwMode="auto">
        <a:xfrm>
          <a:off x="10073640" y="27127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12</xdr:row>
      <xdr:rowOff>60960</xdr:rowOff>
    </xdr:from>
    <xdr:to>
      <xdr:col>10</xdr:col>
      <xdr:colOff>906780</xdr:colOff>
      <xdr:row>12</xdr:row>
      <xdr:rowOff>152400</xdr:rowOff>
    </xdr:to>
    <xdr:sp macro="" textlink="">
      <xdr:nvSpPr>
        <xdr:cNvPr id="9" name="Rectangle 1">
          <a:extLst>
            <a:ext uri="{FF2B5EF4-FFF2-40B4-BE49-F238E27FC236}">
              <a16:creationId xmlns:a16="http://schemas.microsoft.com/office/drawing/2014/main" id="{A44B4810-42AA-40E5-85D3-6C983EC13AE9}"/>
            </a:ext>
          </a:extLst>
        </xdr:cNvPr>
        <xdr:cNvSpPr>
          <a:spLocks noChangeArrowheads="1"/>
        </xdr:cNvSpPr>
      </xdr:nvSpPr>
      <xdr:spPr bwMode="auto">
        <a:xfrm>
          <a:off x="10828020" y="27127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13</xdr:row>
      <xdr:rowOff>60960</xdr:rowOff>
    </xdr:from>
    <xdr:to>
      <xdr:col>10</xdr:col>
      <xdr:colOff>152400</xdr:colOff>
      <xdr:row>13</xdr:row>
      <xdr:rowOff>152400</xdr:rowOff>
    </xdr:to>
    <xdr:sp macro="" textlink="">
      <xdr:nvSpPr>
        <xdr:cNvPr id="10" name="Rectangle 1">
          <a:extLst>
            <a:ext uri="{FF2B5EF4-FFF2-40B4-BE49-F238E27FC236}">
              <a16:creationId xmlns:a16="http://schemas.microsoft.com/office/drawing/2014/main" id="{3B3272BE-05C8-4DD2-A4CC-867F8D96D2F0}"/>
            </a:ext>
          </a:extLst>
        </xdr:cNvPr>
        <xdr:cNvSpPr>
          <a:spLocks noChangeArrowheads="1"/>
        </xdr:cNvSpPr>
      </xdr:nvSpPr>
      <xdr:spPr bwMode="auto">
        <a:xfrm>
          <a:off x="10073640" y="28956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13</xdr:row>
      <xdr:rowOff>60960</xdr:rowOff>
    </xdr:from>
    <xdr:to>
      <xdr:col>10</xdr:col>
      <xdr:colOff>906780</xdr:colOff>
      <xdr:row>13</xdr:row>
      <xdr:rowOff>152400</xdr:rowOff>
    </xdr:to>
    <xdr:sp macro="" textlink="">
      <xdr:nvSpPr>
        <xdr:cNvPr id="11" name="Rectangle 1">
          <a:extLst>
            <a:ext uri="{FF2B5EF4-FFF2-40B4-BE49-F238E27FC236}">
              <a16:creationId xmlns:a16="http://schemas.microsoft.com/office/drawing/2014/main" id="{AA577303-077B-4962-9A2D-D9E6FD8B8A03}"/>
            </a:ext>
          </a:extLst>
        </xdr:cNvPr>
        <xdr:cNvSpPr>
          <a:spLocks noChangeArrowheads="1"/>
        </xdr:cNvSpPr>
      </xdr:nvSpPr>
      <xdr:spPr bwMode="auto">
        <a:xfrm>
          <a:off x="10828020" y="28956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14</xdr:row>
      <xdr:rowOff>60960</xdr:rowOff>
    </xdr:from>
    <xdr:to>
      <xdr:col>10</xdr:col>
      <xdr:colOff>152400</xdr:colOff>
      <xdr:row>14</xdr:row>
      <xdr:rowOff>152400</xdr:rowOff>
    </xdr:to>
    <xdr:sp macro="" textlink="">
      <xdr:nvSpPr>
        <xdr:cNvPr id="12" name="Rectangle 1">
          <a:extLst>
            <a:ext uri="{FF2B5EF4-FFF2-40B4-BE49-F238E27FC236}">
              <a16:creationId xmlns:a16="http://schemas.microsoft.com/office/drawing/2014/main" id="{869A4F23-F57E-4A9B-9E64-EDDA1171CD0B}"/>
            </a:ext>
          </a:extLst>
        </xdr:cNvPr>
        <xdr:cNvSpPr>
          <a:spLocks noChangeArrowheads="1"/>
        </xdr:cNvSpPr>
      </xdr:nvSpPr>
      <xdr:spPr bwMode="auto">
        <a:xfrm>
          <a:off x="10073640" y="30784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14</xdr:row>
      <xdr:rowOff>60960</xdr:rowOff>
    </xdr:from>
    <xdr:to>
      <xdr:col>10</xdr:col>
      <xdr:colOff>906780</xdr:colOff>
      <xdr:row>14</xdr:row>
      <xdr:rowOff>152400</xdr:rowOff>
    </xdr:to>
    <xdr:sp macro="" textlink="">
      <xdr:nvSpPr>
        <xdr:cNvPr id="13" name="Rectangle 1">
          <a:extLst>
            <a:ext uri="{FF2B5EF4-FFF2-40B4-BE49-F238E27FC236}">
              <a16:creationId xmlns:a16="http://schemas.microsoft.com/office/drawing/2014/main" id="{07CB9235-4B0F-4FE1-B4A8-D710BEF5D09C}"/>
            </a:ext>
          </a:extLst>
        </xdr:cNvPr>
        <xdr:cNvSpPr>
          <a:spLocks noChangeArrowheads="1"/>
        </xdr:cNvSpPr>
      </xdr:nvSpPr>
      <xdr:spPr bwMode="auto">
        <a:xfrm>
          <a:off x="10828020" y="30784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15</xdr:row>
      <xdr:rowOff>60960</xdr:rowOff>
    </xdr:from>
    <xdr:to>
      <xdr:col>10</xdr:col>
      <xdr:colOff>152400</xdr:colOff>
      <xdr:row>15</xdr:row>
      <xdr:rowOff>152400</xdr:rowOff>
    </xdr:to>
    <xdr:sp macro="" textlink="">
      <xdr:nvSpPr>
        <xdr:cNvPr id="14" name="Rectangle 1">
          <a:extLst>
            <a:ext uri="{FF2B5EF4-FFF2-40B4-BE49-F238E27FC236}">
              <a16:creationId xmlns:a16="http://schemas.microsoft.com/office/drawing/2014/main" id="{FB8EE821-1F7C-4FAD-8ADF-E29E51CC0BD4}"/>
            </a:ext>
          </a:extLst>
        </xdr:cNvPr>
        <xdr:cNvSpPr>
          <a:spLocks noChangeArrowheads="1"/>
        </xdr:cNvSpPr>
      </xdr:nvSpPr>
      <xdr:spPr bwMode="auto">
        <a:xfrm>
          <a:off x="10073640" y="32613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15</xdr:row>
      <xdr:rowOff>60960</xdr:rowOff>
    </xdr:from>
    <xdr:to>
      <xdr:col>10</xdr:col>
      <xdr:colOff>906780</xdr:colOff>
      <xdr:row>15</xdr:row>
      <xdr:rowOff>152400</xdr:rowOff>
    </xdr:to>
    <xdr:sp macro="" textlink="">
      <xdr:nvSpPr>
        <xdr:cNvPr id="15" name="Rectangle 1">
          <a:extLst>
            <a:ext uri="{FF2B5EF4-FFF2-40B4-BE49-F238E27FC236}">
              <a16:creationId xmlns:a16="http://schemas.microsoft.com/office/drawing/2014/main" id="{148F25B3-CB3A-42F1-874F-659BD1D3B973}"/>
            </a:ext>
          </a:extLst>
        </xdr:cNvPr>
        <xdr:cNvSpPr>
          <a:spLocks noChangeArrowheads="1"/>
        </xdr:cNvSpPr>
      </xdr:nvSpPr>
      <xdr:spPr bwMode="auto">
        <a:xfrm>
          <a:off x="10828020" y="32613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16</xdr:row>
      <xdr:rowOff>60960</xdr:rowOff>
    </xdr:from>
    <xdr:to>
      <xdr:col>10</xdr:col>
      <xdr:colOff>152400</xdr:colOff>
      <xdr:row>16</xdr:row>
      <xdr:rowOff>152400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CDD3FC1E-48BD-4A10-8B8A-7D32E9032E6B}"/>
            </a:ext>
          </a:extLst>
        </xdr:cNvPr>
        <xdr:cNvSpPr>
          <a:spLocks noChangeArrowheads="1"/>
        </xdr:cNvSpPr>
      </xdr:nvSpPr>
      <xdr:spPr bwMode="auto">
        <a:xfrm>
          <a:off x="10073640" y="34442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16</xdr:row>
      <xdr:rowOff>60960</xdr:rowOff>
    </xdr:from>
    <xdr:to>
      <xdr:col>10</xdr:col>
      <xdr:colOff>906780</xdr:colOff>
      <xdr:row>16</xdr:row>
      <xdr:rowOff>152400</xdr:rowOff>
    </xdr:to>
    <xdr:sp macro="" textlink="">
      <xdr:nvSpPr>
        <xdr:cNvPr id="17" name="Rectangle 1">
          <a:extLst>
            <a:ext uri="{FF2B5EF4-FFF2-40B4-BE49-F238E27FC236}">
              <a16:creationId xmlns:a16="http://schemas.microsoft.com/office/drawing/2014/main" id="{E231AD94-9C43-48C9-B9B8-AF75E048FEAE}"/>
            </a:ext>
          </a:extLst>
        </xdr:cNvPr>
        <xdr:cNvSpPr>
          <a:spLocks noChangeArrowheads="1"/>
        </xdr:cNvSpPr>
      </xdr:nvSpPr>
      <xdr:spPr bwMode="auto">
        <a:xfrm>
          <a:off x="10828020" y="34442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17</xdr:row>
      <xdr:rowOff>60960</xdr:rowOff>
    </xdr:from>
    <xdr:to>
      <xdr:col>10</xdr:col>
      <xdr:colOff>152400</xdr:colOff>
      <xdr:row>17</xdr:row>
      <xdr:rowOff>152400</xdr:rowOff>
    </xdr:to>
    <xdr:sp macro="" textlink="">
      <xdr:nvSpPr>
        <xdr:cNvPr id="18" name="Rectangle 1">
          <a:extLst>
            <a:ext uri="{FF2B5EF4-FFF2-40B4-BE49-F238E27FC236}">
              <a16:creationId xmlns:a16="http://schemas.microsoft.com/office/drawing/2014/main" id="{EA99B903-4711-493D-8C9A-DBDFE7ACCB4C}"/>
            </a:ext>
          </a:extLst>
        </xdr:cNvPr>
        <xdr:cNvSpPr>
          <a:spLocks noChangeArrowheads="1"/>
        </xdr:cNvSpPr>
      </xdr:nvSpPr>
      <xdr:spPr bwMode="auto">
        <a:xfrm>
          <a:off x="1007364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17</xdr:row>
      <xdr:rowOff>60960</xdr:rowOff>
    </xdr:from>
    <xdr:to>
      <xdr:col>10</xdr:col>
      <xdr:colOff>906780</xdr:colOff>
      <xdr:row>17</xdr:row>
      <xdr:rowOff>152400</xdr:rowOff>
    </xdr:to>
    <xdr:sp macro="" textlink="">
      <xdr:nvSpPr>
        <xdr:cNvPr id="19" name="Rectangle 1">
          <a:extLst>
            <a:ext uri="{FF2B5EF4-FFF2-40B4-BE49-F238E27FC236}">
              <a16:creationId xmlns:a16="http://schemas.microsoft.com/office/drawing/2014/main" id="{C9632AE3-EF4D-46E6-8DC7-F9EA27F5EECE}"/>
            </a:ext>
          </a:extLst>
        </xdr:cNvPr>
        <xdr:cNvSpPr>
          <a:spLocks noChangeArrowheads="1"/>
        </xdr:cNvSpPr>
      </xdr:nvSpPr>
      <xdr:spPr bwMode="auto">
        <a:xfrm>
          <a:off x="10828020" y="3627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18</xdr:row>
      <xdr:rowOff>60960</xdr:rowOff>
    </xdr:from>
    <xdr:to>
      <xdr:col>10</xdr:col>
      <xdr:colOff>152400</xdr:colOff>
      <xdr:row>18</xdr:row>
      <xdr:rowOff>152400</xdr:rowOff>
    </xdr:to>
    <xdr:sp macro="" textlink="">
      <xdr:nvSpPr>
        <xdr:cNvPr id="20" name="Rectangle 1">
          <a:extLst>
            <a:ext uri="{FF2B5EF4-FFF2-40B4-BE49-F238E27FC236}">
              <a16:creationId xmlns:a16="http://schemas.microsoft.com/office/drawing/2014/main" id="{8F65D7D6-F279-400E-AFAF-102635221B16}"/>
            </a:ext>
          </a:extLst>
        </xdr:cNvPr>
        <xdr:cNvSpPr>
          <a:spLocks noChangeArrowheads="1"/>
        </xdr:cNvSpPr>
      </xdr:nvSpPr>
      <xdr:spPr bwMode="auto">
        <a:xfrm>
          <a:off x="10073640" y="38100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18</xdr:row>
      <xdr:rowOff>60960</xdr:rowOff>
    </xdr:from>
    <xdr:to>
      <xdr:col>10</xdr:col>
      <xdr:colOff>906780</xdr:colOff>
      <xdr:row>18</xdr:row>
      <xdr:rowOff>152400</xdr:rowOff>
    </xdr:to>
    <xdr:sp macro="" textlink="">
      <xdr:nvSpPr>
        <xdr:cNvPr id="21" name="Rectangle 1">
          <a:extLst>
            <a:ext uri="{FF2B5EF4-FFF2-40B4-BE49-F238E27FC236}">
              <a16:creationId xmlns:a16="http://schemas.microsoft.com/office/drawing/2014/main" id="{5DD9E816-9F47-47BA-9581-77A15FD30C65}"/>
            </a:ext>
          </a:extLst>
        </xdr:cNvPr>
        <xdr:cNvSpPr>
          <a:spLocks noChangeArrowheads="1"/>
        </xdr:cNvSpPr>
      </xdr:nvSpPr>
      <xdr:spPr bwMode="auto">
        <a:xfrm>
          <a:off x="10828020" y="38100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19</xdr:row>
      <xdr:rowOff>60960</xdr:rowOff>
    </xdr:from>
    <xdr:to>
      <xdr:col>10</xdr:col>
      <xdr:colOff>152400</xdr:colOff>
      <xdr:row>19</xdr:row>
      <xdr:rowOff>152400</xdr:rowOff>
    </xdr:to>
    <xdr:sp macro="" textlink="">
      <xdr:nvSpPr>
        <xdr:cNvPr id="22" name="Rectangle 1">
          <a:extLst>
            <a:ext uri="{FF2B5EF4-FFF2-40B4-BE49-F238E27FC236}">
              <a16:creationId xmlns:a16="http://schemas.microsoft.com/office/drawing/2014/main" id="{00301726-33CE-4680-97E3-96FBFAA97597}"/>
            </a:ext>
          </a:extLst>
        </xdr:cNvPr>
        <xdr:cNvSpPr>
          <a:spLocks noChangeArrowheads="1"/>
        </xdr:cNvSpPr>
      </xdr:nvSpPr>
      <xdr:spPr bwMode="auto">
        <a:xfrm>
          <a:off x="10073640" y="39928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19</xdr:row>
      <xdr:rowOff>60960</xdr:rowOff>
    </xdr:from>
    <xdr:to>
      <xdr:col>10</xdr:col>
      <xdr:colOff>906780</xdr:colOff>
      <xdr:row>19</xdr:row>
      <xdr:rowOff>152400</xdr:rowOff>
    </xdr:to>
    <xdr:sp macro="" textlink="">
      <xdr:nvSpPr>
        <xdr:cNvPr id="23" name="Rectangle 1">
          <a:extLst>
            <a:ext uri="{FF2B5EF4-FFF2-40B4-BE49-F238E27FC236}">
              <a16:creationId xmlns:a16="http://schemas.microsoft.com/office/drawing/2014/main" id="{C11D4B23-5C98-4439-9F1C-9E4E63E66880}"/>
            </a:ext>
          </a:extLst>
        </xdr:cNvPr>
        <xdr:cNvSpPr>
          <a:spLocks noChangeArrowheads="1"/>
        </xdr:cNvSpPr>
      </xdr:nvSpPr>
      <xdr:spPr bwMode="auto">
        <a:xfrm>
          <a:off x="10828020" y="39928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20</xdr:row>
      <xdr:rowOff>60960</xdr:rowOff>
    </xdr:from>
    <xdr:to>
      <xdr:col>10</xdr:col>
      <xdr:colOff>152400</xdr:colOff>
      <xdr:row>20</xdr:row>
      <xdr:rowOff>152400</xdr:rowOff>
    </xdr:to>
    <xdr:sp macro="" textlink="">
      <xdr:nvSpPr>
        <xdr:cNvPr id="24" name="Rectangle 1">
          <a:extLst>
            <a:ext uri="{FF2B5EF4-FFF2-40B4-BE49-F238E27FC236}">
              <a16:creationId xmlns:a16="http://schemas.microsoft.com/office/drawing/2014/main" id="{E1F7D378-CE5A-4F7A-B44B-110D0F3F4C8C}"/>
            </a:ext>
          </a:extLst>
        </xdr:cNvPr>
        <xdr:cNvSpPr>
          <a:spLocks noChangeArrowheads="1"/>
        </xdr:cNvSpPr>
      </xdr:nvSpPr>
      <xdr:spPr bwMode="auto">
        <a:xfrm>
          <a:off x="10073640" y="41757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20</xdr:row>
      <xdr:rowOff>60960</xdr:rowOff>
    </xdr:from>
    <xdr:to>
      <xdr:col>10</xdr:col>
      <xdr:colOff>906780</xdr:colOff>
      <xdr:row>20</xdr:row>
      <xdr:rowOff>152400</xdr:rowOff>
    </xdr:to>
    <xdr:sp macro="" textlink="">
      <xdr:nvSpPr>
        <xdr:cNvPr id="25" name="Rectangle 1">
          <a:extLst>
            <a:ext uri="{FF2B5EF4-FFF2-40B4-BE49-F238E27FC236}">
              <a16:creationId xmlns:a16="http://schemas.microsoft.com/office/drawing/2014/main" id="{6F7012F0-5BD3-4230-BE96-3FD297292444}"/>
            </a:ext>
          </a:extLst>
        </xdr:cNvPr>
        <xdr:cNvSpPr>
          <a:spLocks noChangeArrowheads="1"/>
        </xdr:cNvSpPr>
      </xdr:nvSpPr>
      <xdr:spPr bwMode="auto">
        <a:xfrm>
          <a:off x="10828020" y="41757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21</xdr:row>
      <xdr:rowOff>60960</xdr:rowOff>
    </xdr:from>
    <xdr:to>
      <xdr:col>10</xdr:col>
      <xdr:colOff>152400</xdr:colOff>
      <xdr:row>21</xdr:row>
      <xdr:rowOff>152400</xdr:rowOff>
    </xdr:to>
    <xdr:sp macro="" textlink="">
      <xdr:nvSpPr>
        <xdr:cNvPr id="26" name="Rectangle 1">
          <a:extLst>
            <a:ext uri="{FF2B5EF4-FFF2-40B4-BE49-F238E27FC236}">
              <a16:creationId xmlns:a16="http://schemas.microsoft.com/office/drawing/2014/main" id="{909E3467-9A9D-499B-AB96-50DD88CD4DB5}"/>
            </a:ext>
          </a:extLst>
        </xdr:cNvPr>
        <xdr:cNvSpPr>
          <a:spLocks noChangeArrowheads="1"/>
        </xdr:cNvSpPr>
      </xdr:nvSpPr>
      <xdr:spPr bwMode="auto">
        <a:xfrm>
          <a:off x="10073640" y="43586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21</xdr:row>
      <xdr:rowOff>60960</xdr:rowOff>
    </xdr:from>
    <xdr:to>
      <xdr:col>10</xdr:col>
      <xdr:colOff>906780</xdr:colOff>
      <xdr:row>21</xdr:row>
      <xdr:rowOff>152400</xdr:rowOff>
    </xdr:to>
    <xdr:sp macro="" textlink="">
      <xdr:nvSpPr>
        <xdr:cNvPr id="27" name="Rectangle 1">
          <a:extLst>
            <a:ext uri="{FF2B5EF4-FFF2-40B4-BE49-F238E27FC236}">
              <a16:creationId xmlns:a16="http://schemas.microsoft.com/office/drawing/2014/main" id="{8C9DC12C-DBD0-43DA-A702-7F7395601F35}"/>
            </a:ext>
          </a:extLst>
        </xdr:cNvPr>
        <xdr:cNvSpPr>
          <a:spLocks noChangeArrowheads="1"/>
        </xdr:cNvSpPr>
      </xdr:nvSpPr>
      <xdr:spPr bwMode="auto">
        <a:xfrm>
          <a:off x="10828020" y="43586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22</xdr:row>
      <xdr:rowOff>60960</xdr:rowOff>
    </xdr:from>
    <xdr:to>
      <xdr:col>10</xdr:col>
      <xdr:colOff>152400</xdr:colOff>
      <xdr:row>22</xdr:row>
      <xdr:rowOff>152400</xdr:rowOff>
    </xdr:to>
    <xdr:sp macro="" textlink="">
      <xdr:nvSpPr>
        <xdr:cNvPr id="28" name="Rectangle 1">
          <a:extLst>
            <a:ext uri="{FF2B5EF4-FFF2-40B4-BE49-F238E27FC236}">
              <a16:creationId xmlns:a16="http://schemas.microsoft.com/office/drawing/2014/main" id="{DDF56CAE-4B86-4FF8-8D72-4B84BD54A509}"/>
            </a:ext>
          </a:extLst>
        </xdr:cNvPr>
        <xdr:cNvSpPr>
          <a:spLocks noChangeArrowheads="1"/>
        </xdr:cNvSpPr>
      </xdr:nvSpPr>
      <xdr:spPr bwMode="auto">
        <a:xfrm>
          <a:off x="10073640" y="45415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22</xdr:row>
      <xdr:rowOff>60960</xdr:rowOff>
    </xdr:from>
    <xdr:to>
      <xdr:col>10</xdr:col>
      <xdr:colOff>906780</xdr:colOff>
      <xdr:row>22</xdr:row>
      <xdr:rowOff>152400</xdr:rowOff>
    </xdr:to>
    <xdr:sp macro="" textlink="">
      <xdr:nvSpPr>
        <xdr:cNvPr id="29" name="Rectangle 1">
          <a:extLst>
            <a:ext uri="{FF2B5EF4-FFF2-40B4-BE49-F238E27FC236}">
              <a16:creationId xmlns:a16="http://schemas.microsoft.com/office/drawing/2014/main" id="{E3CC44F9-9F76-4EB7-8D67-DF8E09322F39}"/>
            </a:ext>
          </a:extLst>
        </xdr:cNvPr>
        <xdr:cNvSpPr>
          <a:spLocks noChangeArrowheads="1"/>
        </xdr:cNvSpPr>
      </xdr:nvSpPr>
      <xdr:spPr bwMode="auto">
        <a:xfrm>
          <a:off x="10828020" y="45415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23</xdr:row>
      <xdr:rowOff>60960</xdr:rowOff>
    </xdr:from>
    <xdr:to>
      <xdr:col>10</xdr:col>
      <xdr:colOff>152400</xdr:colOff>
      <xdr:row>23</xdr:row>
      <xdr:rowOff>152400</xdr:rowOff>
    </xdr:to>
    <xdr:sp macro="" textlink="">
      <xdr:nvSpPr>
        <xdr:cNvPr id="30" name="Rectangle 1">
          <a:extLst>
            <a:ext uri="{FF2B5EF4-FFF2-40B4-BE49-F238E27FC236}">
              <a16:creationId xmlns:a16="http://schemas.microsoft.com/office/drawing/2014/main" id="{3DA4DF12-DD9D-45C1-A582-422D87A7DBAF}"/>
            </a:ext>
          </a:extLst>
        </xdr:cNvPr>
        <xdr:cNvSpPr>
          <a:spLocks noChangeArrowheads="1"/>
        </xdr:cNvSpPr>
      </xdr:nvSpPr>
      <xdr:spPr bwMode="auto">
        <a:xfrm>
          <a:off x="10073640" y="47244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23</xdr:row>
      <xdr:rowOff>60960</xdr:rowOff>
    </xdr:from>
    <xdr:to>
      <xdr:col>10</xdr:col>
      <xdr:colOff>906780</xdr:colOff>
      <xdr:row>23</xdr:row>
      <xdr:rowOff>152400</xdr:rowOff>
    </xdr:to>
    <xdr:sp macro="" textlink="">
      <xdr:nvSpPr>
        <xdr:cNvPr id="31" name="Rectangle 1">
          <a:extLst>
            <a:ext uri="{FF2B5EF4-FFF2-40B4-BE49-F238E27FC236}">
              <a16:creationId xmlns:a16="http://schemas.microsoft.com/office/drawing/2014/main" id="{594C7CA8-DA3F-463A-81F0-C40DBD2EC33B}"/>
            </a:ext>
          </a:extLst>
        </xdr:cNvPr>
        <xdr:cNvSpPr>
          <a:spLocks noChangeArrowheads="1"/>
        </xdr:cNvSpPr>
      </xdr:nvSpPr>
      <xdr:spPr bwMode="auto">
        <a:xfrm>
          <a:off x="10828020" y="47244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24</xdr:row>
      <xdr:rowOff>60960</xdr:rowOff>
    </xdr:from>
    <xdr:to>
      <xdr:col>10</xdr:col>
      <xdr:colOff>152400</xdr:colOff>
      <xdr:row>24</xdr:row>
      <xdr:rowOff>152400</xdr:rowOff>
    </xdr:to>
    <xdr:sp macro="" textlink="">
      <xdr:nvSpPr>
        <xdr:cNvPr id="32" name="Rectangle 1">
          <a:extLst>
            <a:ext uri="{FF2B5EF4-FFF2-40B4-BE49-F238E27FC236}">
              <a16:creationId xmlns:a16="http://schemas.microsoft.com/office/drawing/2014/main" id="{5402E70A-E248-4E73-8FCA-200F18CEB8FE}"/>
            </a:ext>
          </a:extLst>
        </xdr:cNvPr>
        <xdr:cNvSpPr>
          <a:spLocks noChangeArrowheads="1"/>
        </xdr:cNvSpPr>
      </xdr:nvSpPr>
      <xdr:spPr bwMode="auto">
        <a:xfrm>
          <a:off x="10073640" y="49072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24</xdr:row>
      <xdr:rowOff>60960</xdr:rowOff>
    </xdr:from>
    <xdr:to>
      <xdr:col>10</xdr:col>
      <xdr:colOff>906780</xdr:colOff>
      <xdr:row>24</xdr:row>
      <xdr:rowOff>152400</xdr:rowOff>
    </xdr:to>
    <xdr:sp macro="" textlink="">
      <xdr:nvSpPr>
        <xdr:cNvPr id="33" name="Rectangle 1">
          <a:extLst>
            <a:ext uri="{FF2B5EF4-FFF2-40B4-BE49-F238E27FC236}">
              <a16:creationId xmlns:a16="http://schemas.microsoft.com/office/drawing/2014/main" id="{51221FEE-5341-4A13-952C-A84A5C57E274}"/>
            </a:ext>
          </a:extLst>
        </xdr:cNvPr>
        <xdr:cNvSpPr>
          <a:spLocks noChangeArrowheads="1"/>
        </xdr:cNvSpPr>
      </xdr:nvSpPr>
      <xdr:spPr bwMode="auto">
        <a:xfrm>
          <a:off x="10828020" y="49072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25</xdr:row>
      <xdr:rowOff>60960</xdr:rowOff>
    </xdr:from>
    <xdr:to>
      <xdr:col>10</xdr:col>
      <xdr:colOff>152400</xdr:colOff>
      <xdr:row>25</xdr:row>
      <xdr:rowOff>152400</xdr:rowOff>
    </xdr:to>
    <xdr:sp macro="" textlink="">
      <xdr:nvSpPr>
        <xdr:cNvPr id="34" name="Rectangle 1">
          <a:extLst>
            <a:ext uri="{FF2B5EF4-FFF2-40B4-BE49-F238E27FC236}">
              <a16:creationId xmlns:a16="http://schemas.microsoft.com/office/drawing/2014/main" id="{81D4667D-6D3D-4EBD-A824-F0DEEC2DC65A}"/>
            </a:ext>
          </a:extLst>
        </xdr:cNvPr>
        <xdr:cNvSpPr>
          <a:spLocks noChangeArrowheads="1"/>
        </xdr:cNvSpPr>
      </xdr:nvSpPr>
      <xdr:spPr bwMode="auto">
        <a:xfrm>
          <a:off x="10073640" y="50901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25</xdr:row>
      <xdr:rowOff>60960</xdr:rowOff>
    </xdr:from>
    <xdr:to>
      <xdr:col>10</xdr:col>
      <xdr:colOff>906780</xdr:colOff>
      <xdr:row>25</xdr:row>
      <xdr:rowOff>152400</xdr:rowOff>
    </xdr:to>
    <xdr:sp macro="" textlink="">
      <xdr:nvSpPr>
        <xdr:cNvPr id="35" name="Rectangle 1">
          <a:extLst>
            <a:ext uri="{FF2B5EF4-FFF2-40B4-BE49-F238E27FC236}">
              <a16:creationId xmlns:a16="http://schemas.microsoft.com/office/drawing/2014/main" id="{65AAB274-48D2-4F82-A6FA-197DAE6B4193}"/>
            </a:ext>
          </a:extLst>
        </xdr:cNvPr>
        <xdr:cNvSpPr>
          <a:spLocks noChangeArrowheads="1"/>
        </xdr:cNvSpPr>
      </xdr:nvSpPr>
      <xdr:spPr bwMode="auto">
        <a:xfrm>
          <a:off x="10828020" y="50901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26</xdr:row>
      <xdr:rowOff>60960</xdr:rowOff>
    </xdr:from>
    <xdr:to>
      <xdr:col>10</xdr:col>
      <xdr:colOff>152400</xdr:colOff>
      <xdr:row>26</xdr:row>
      <xdr:rowOff>152400</xdr:rowOff>
    </xdr:to>
    <xdr:sp macro="" textlink="">
      <xdr:nvSpPr>
        <xdr:cNvPr id="36" name="Rectangle 1">
          <a:extLst>
            <a:ext uri="{FF2B5EF4-FFF2-40B4-BE49-F238E27FC236}">
              <a16:creationId xmlns:a16="http://schemas.microsoft.com/office/drawing/2014/main" id="{2B0BB222-D87A-4832-A35B-4A90DC7F3D18}"/>
            </a:ext>
          </a:extLst>
        </xdr:cNvPr>
        <xdr:cNvSpPr>
          <a:spLocks noChangeArrowheads="1"/>
        </xdr:cNvSpPr>
      </xdr:nvSpPr>
      <xdr:spPr bwMode="auto">
        <a:xfrm>
          <a:off x="10073640" y="52730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26</xdr:row>
      <xdr:rowOff>60960</xdr:rowOff>
    </xdr:from>
    <xdr:to>
      <xdr:col>10</xdr:col>
      <xdr:colOff>906780</xdr:colOff>
      <xdr:row>26</xdr:row>
      <xdr:rowOff>152400</xdr:rowOff>
    </xdr:to>
    <xdr:sp macro="" textlink="">
      <xdr:nvSpPr>
        <xdr:cNvPr id="37" name="Rectangle 1">
          <a:extLst>
            <a:ext uri="{FF2B5EF4-FFF2-40B4-BE49-F238E27FC236}">
              <a16:creationId xmlns:a16="http://schemas.microsoft.com/office/drawing/2014/main" id="{6A29A8DD-DFE4-436F-A4FE-67E5018F8A8B}"/>
            </a:ext>
          </a:extLst>
        </xdr:cNvPr>
        <xdr:cNvSpPr>
          <a:spLocks noChangeArrowheads="1"/>
        </xdr:cNvSpPr>
      </xdr:nvSpPr>
      <xdr:spPr bwMode="auto">
        <a:xfrm>
          <a:off x="10828020" y="52730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27</xdr:row>
      <xdr:rowOff>60960</xdr:rowOff>
    </xdr:from>
    <xdr:to>
      <xdr:col>10</xdr:col>
      <xdr:colOff>152400</xdr:colOff>
      <xdr:row>27</xdr:row>
      <xdr:rowOff>152400</xdr:rowOff>
    </xdr:to>
    <xdr:sp macro="" textlink="">
      <xdr:nvSpPr>
        <xdr:cNvPr id="38" name="Rectangle 1">
          <a:extLst>
            <a:ext uri="{FF2B5EF4-FFF2-40B4-BE49-F238E27FC236}">
              <a16:creationId xmlns:a16="http://schemas.microsoft.com/office/drawing/2014/main" id="{8A6BAD64-5AFC-4B20-955B-6611E0285FC5}"/>
            </a:ext>
          </a:extLst>
        </xdr:cNvPr>
        <xdr:cNvSpPr>
          <a:spLocks noChangeArrowheads="1"/>
        </xdr:cNvSpPr>
      </xdr:nvSpPr>
      <xdr:spPr bwMode="auto">
        <a:xfrm>
          <a:off x="10073640" y="54559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27</xdr:row>
      <xdr:rowOff>60960</xdr:rowOff>
    </xdr:from>
    <xdr:to>
      <xdr:col>10</xdr:col>
      <xdr:colOff>906780</xdr:colOff>
      <xdr:row>27</xdr:row>
      <xdr:rowOff>152400</xdr:rowOff>
    </xdr:to>
    <xdr:sp macro="" textlink="">
      <xdr:nvSpPr>
        <xdr:cNvPr id="39" name="Rectangle 1">
          <a:extLst>
            <a:ext uri="{FF2B5EF4-FFF2-40B4-BE49-F238E27FC236}">
              <a16:creationId xmlns:a16="http://schemas.microsoft.com/office/drawing/2014/main" id="{885332FD-323D-4631-88D8-6E10608FDE5C}"/>
            </a:ext>
          </a:extLst>
        </xdr:cNvPr>
        <xdr:cNvSpPr>
          <a:spLocks noChangeArrowheads="1"/>
        </xdr:cNvSpPr>
      </xdr:nvSpPr>
      <xdr:spPr bwMode="auto">
        <a:xfrm>
          <a:off x="10828020" y="54559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28</xdr:row>
      <xdr:rowOff>60960</xdr:rowOff>
    </xdr:from>
    <xdr:to>
      <xdr:col>10</xdr:col>
      <xdr:colOff>152400</xdr:colOff>
      <xdr:row>28</xdr:row>
      <xdr:rowOff>152400</xdr:rowOff>
    </xdr:to>
    <xdr:sp macro="" textlink="">
      <xdr:nvSpPr>
        <xdr:cNvPr id="40" name="Rectangle 1">
          <a:extLst>
            <a:ext uri="{FF2B5EF4-FFF2-40B4-BE49-F238E27FC236}">
              <a16:creationId xmlns:a16="http://schemas.microsoft.com/office/drawing/2014/main" id="{4093D640-D193-43B4-BEFD-958F9C97E4EE}"/>
            </a:ext>
          </a:extLst>
        </xdr:cNvPr>
        <xdr:cNvSpPr>
          <a:spLocks noChangeArrowheads="1"/>
        </xdr:cNvSpPr>
      </xdr:nvSpPr>
      <xdr:spPr bwMode="auto">
        <a:xfrm>
          <a:off x="10073640" y="56388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28</xdr:row>
      <xdr:rowOff>60960</xdr:rowOff>
    </xdr:from>
    <xdr:to>
      <xdr:col>10</xdr:col>
      <xdr:colOff>906780</xdr:colOff>
      <xdr:row>28</xdr:row>
      <xdr:rowOff>152400</xdr:rowOff>
    </xdr:to>
    <xdr:sp macro="" textlink="">
      <xdr:nvSpPr>
        <xdr:cNvPr id="41" name="Rectangle 1">
          <a:extLst>
            <a:ext uri="{FF2B5EF4-FFF2-40B4-BE49-F238E27FC236}">
              <a16:creationId xmlns:a16="http://schemas.microsoft.com/office/drawing/2014/main" id="{5C6663BD-6C8C-44C9-B0BB-8D91B8033331}"/>
            </a:ext>
          </a:extLst>
        </xdr:cNvPr>
        <xdr:cNvSpPr>
          <a:spLocks noChangeArrowheads="1"/>
        </xdr:cNvSpPr>
      </xdr:nvSpPr>
      <xdr:spPr bwMode="auto">
        <a:xfrm>
          <a:off x="10828020" y="56388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29</xdr:row>
      <xdr:rowOff>60960</xdr:rowOff>
    </xdr:from>
    <xdr:to>
      <xdr:col>10</xdr:col>
      <xdr:colOff>152400</xdr:colOff>
      <xdr:row>29</xdr:row>
      <xdr:rowOff>152400</xdr:rowOff>
    </xdr:to>
    <xdr:sp macro="" textlink="">
      <xdr:nvSpPr>
        <xdr:cNvPr id="42" name="Rectangle 1">
          <a:extLst>
            <a:ext uri="{FF2B5EF4-FFF2-40B4-BE49-F238E27FC236}">
              <a16:creationId xmlns:a16="http://schemas.microsoft.com/office/drawing/2014/main" id="{093E1071-66B5-413A-9970-7903227E2B6E}"/>
            </a:ext>
          </a:extLst>
        </xdr:cNvPr>
        <xdr:cNvSpPr>
          <a:spLocks noChangeArrowheads="1"/>
        </xdr:cNvSpPr>
      </xdr:nvSpPr>
      <xdr:spPr bwMode="auto">
        <a:xfrm>
          <a:off x="10073640" y="58216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29</xdr:row>
      <xdr:rowOff>60960</xdr:rowOff>
    </xdr:from>
    <xdr:to>
      <xdr:col>10</xdr:col>
      <xdr:colOff>906780</xdr:colOff>
      <xdr:row>29</xdr:row>
      <xdr:rowOff>152400</xdr:rowOff>
    </xdr:to>
    <xdr:sp macro="" textlink="">
      <xdr:nvSpPr>
        <xdr:cNvPr id="43" name="Rectangle 1">
          <a:extLst>
            <a:ext uri="{FF2B5EF4-FFF2-40B4-BE49-F238E27FC236}">
              <a16:creationId xmlns:a16="http://schemas.microsoft.com/office/drawing/2014/main" id="{950741ED-295B-4B46-89EA-6E1C631849BA}"/>
            </a:ext>
          </a:extLst>
        </xdr:cNvPr>
        <xdr:cNvSpPr>
          <a:spLocks noChangeArrowheads="1"/>
        </xdr:cNvSpPr>
      </xdr:nvSpPr>
      <xdr:spPr bwMode="auto">
        <a:xfrm>
          <a:off x="10828020" y="58216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30</xdr:row>
      <xdr:rowOff>60960</xdr:rowOff>
    </xdr:from>
    <xdr:to>
      <xdr:col>10</xdr:col>
      <xdr:colOff>152400</xdr:colOff>
      <xdr:row>30</xdr:row>
      <xdr:rowOff>152400</xdr:rowOff>
    </xdr:to>
    <xdr:sp macro="" textlink="">
      <xdr:nvSpPr>
        <xdr:cNvPr id="44" name="Rectangle 1">
          <a:extLst>
            <a:ext uri="{FF2B5EF4-FFF2-40B4-BE49-F238E27FC236}">
              <a16:creationId xmlns:a16="http://schemas.microsoft.com/office/drawing/2014/main" id="{EBF4EABC-8F73-4A1E-B570-A38D144DEEAB}"/>
            </a:ext>
          </a:extLst>
        </xdr:cNvPr>
        <xdr:cNvSpPr>
          <a:spLocks noChangeArrowheads="1"/>
        </xdr:cNvSpPr>
      </xdr:nvSpPr>
      <xdr:spPr bwMode="auto">
        <a:xfrm>
          <a:off x="10073640" y="60045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30</xdr:row>
      <xdr:rowOff>60960</xdr:rowOff>
    </xdr:from>
    <xdr:to>
      <xdr:col>10</xdr:col>
      <xdr:colOff>906780</xdr:colOff>
      <xdr:row>30</xdr:row>
      <xdr:rowOff>152400</xdr:rowOff>
    </xdr:to>
    <xdr:sp macro="" textlink="">
      <xdr:nvSpPr>
        <xdr:cNvPr id="45" name="Rectangle 1">
          <a:extLst>
            <a:ext uri="{FF2B5EF4-FFF2-40B4-BE49-F238E27FC236}">
              <a16:creationId xmlns:a16="http://schemas.microsoft.com/office/drawing/2014/main" id="{C8725DDF-EA37-4B00-A35C-F2EE419DFCBD}"/>
            </a:ext>
          </a:extLst>
        </xdr:cNvPr>
        <xdr:cNvSpPr>
          <a:spLocks noChangeArrowheads="1"/>
        </xdr:cNvSpPr>
      </xdr:nvSpPr>
      <xdr:spPr bwMode="auto">
        <a:xfrm>
          <a:off x="10828020" y="60045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31</xdr:row>
      <xdr:rowOff>60960</xdr:rowOff>
    </xdr:from>
    <xdr:to>
      <xdr:col>10</xdr:col>
      <xdr:colOff>152400</xdr:colOff>
      <xdr:row>31</xdr:row>
      <xdr:rowOff>152400</xdr:rowOff>
    </xdr:to>
    <xdr:sp macro="" textlink="">
      <xdr:nvSpPr>
        <xdr:cNvPr id="46" name="Rectangle 1">
          <a:extLst>
            <a:ext uri="{FF2B5EF4-FFF2-40B4-BE49-F238E27FC236}">
              <a16:creationId xmlns:a16="http://schemas.microsoft.com/office/drawing/2014/main" id="{DDD7B219-CF0D-4194-A5B8-79B40B704D09}"/>
            </a:ext>
          </a:extLst>
        </xdr:cNvPr>
        <xdr:cNvSpPr>
          <a:spLocks noChangeArrowheads="1"/>
        </xdr:cNvSpPr>
      </xdr:nvSpPr>
      <xdr:spPr bwMode="auto">
        <a:xfrm>
          <a:off x="10073640" y="61874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31</xdr:row>
      <xdr:rowOff>60960</xdr:rowOff>
    </xdr:from>
    <xdr:to>
      <xdr:col>10</xdr:col>
      <xdr:colOff>906780</xdr:colOff>
      <xdr:row>31</xdr:row>
      <xdr:rowOff>152400</xdr:rowOff>
    </xdr:to>
    <xdr:sp macro="" textlink="">
      <xdr:nvSpPr>
        <xdr:cNvPr id="47" name="Rectangle 1">
          <a:extLst>
            <a:ext uri="{FF2B5EF4-FFF2-40B4-BE49-F238E27FC236}">
              <a16:creationId xmlns:a16="http://schemas.microsoft.com/office/drawing/2014/main" id="{94AC9356-24BF-47B1-ACC7-AF2423D9C593}"/>
            </a:ext>
          </a:extLst>
        </xdr:cNvPr>
        <xdr:cNvSpPr>
          <a:spLocks noChangeArrowheads="1"/>
        </xdr:cNvSpPr>
      </xdr:nvSpPr>
      <xdr:spPr bwMode="auto">
        <a:xfrm>
          <a:off x="10828020" y="61874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32</xdr:row>
      <xdr:rowOff>60960</xdr:rowOff>
    </xdr:from>
    <xdr:to>
      <xdr:col>10</xdr:col>
      <xdr:colOff>152400</xdr:colOff>
      <xdr:row>32</xdr:row>
      <xdr:rowOff>152400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9AC34BF8-5317-43C8-A654-AF38A1E0ED0B}"/>
            </a:ext>
          </a:extLst>
        </xdr:cNvPr>
        <xdr:cNvSpPr>
          <a:spLocks noChangeArrowheads="1"/>
        </xdr:cNvSpPr>
      </xdr:nvSpPr>
      <xdr:spPr bwMode="auto">
        <a:xfrm>
          <a:off x="10073640" y="63703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32</xdr:row>
      <xdr:rowOff>60960</xdr:rowOff>
    </xdr:from>
    <xdr:to>
      <xdr:col>10</xdr:col>
      <xdr:colOff>906780</xdr:colOff>
      <xdr:row>32</xdr:row>
      <xdr:rowOff>152400</xdr:rowOff>
    </xdr:to>
    <xdr:sp macro="" textlink="">
      <xdr:nvSpPr>
        <xdr:cNvPr id="49" name="Rectangle 1">
          <a:extLst>
            <a:ext uri="{FF2B5EF4-FFF2-40B4-BE49-F238E27FC236}">
              <a16:creationId xmlns:a16="http://schemas.microsoft.com/office/drawing/2014/main" id="{212E462B-E7D8-43F8-98D4-C0C884E6E66D}"/>
            </a:ext>
          </a:extLst>
        </xdr:cNvPr>
        <xdr:cNvSpPr>
          <a:spLocks noChangeArrowheads="1"/>
        </xdr:cNvSpPr>
      </xdr:nvSpPr>
      <xdr:spPr bwMode="auto">
        <a:xfrm>
          <a:off x="10828020" y="63703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33</xdr:row>
      <xdr:rowOff>60960</xdr:rowOff>
    </xdr:from>
    <xdr:to>
      <xdr:col>10</xdr:col>
      <xdr:colOff>152400</xdr:colOff>
      <xdr:row>33</xdr:row>
      <xdr:rowOff>152400</xdr:rowOff>
    </xdr:to>
    <xdr:sp macro="" textlink="">
      <xdr:nvSpPr>
        <xdr:cNvPr id="50" name="Rectangle 1">
          <a:extLst>
            <a:ext uri="{FF2B5EF4-FFF2-40B4-BE49-F238E27FC236}">
              <a16:creationId xmlns:a16="http://schemas.microsoft.com/office/drawing/2014/main" id="{BDE69B21-30A1-4893-B2CC-501A2259F09D}"/>
            </a:ext>
          </a:extLst>
        </xdr:cNvPr>
        <xdr:cNvSpPr>
          <a:spLocks noChangeArrowheads="1"/>
        </xdr:cNvSpPr>
      </xdr:nvSpPr>
      <xdr:spPr bwMode="auto">
        <a:xfrm>
          <a:off x="10073640" y="65532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33</xdr:row>
      <xdr:rowOff>60960</xdr:rowOff>
    </xdr:from>
    <xdr:to>
      <xdr:col>10</xdr:col>
      <xdr:colOff>906780</xdr:colOff>
      <xdr:row>33</xdr:row>
      <xdr:rowOff>152400</xdr:rowOff>
    </xdr:to>
    <xdr:sp macro="" textlink="">
      <xdr:nvSpPr>
        <xdr:cNvPr id="51" name="Rectangle 1">
          <a:extLst>
            <a:ext uri="{FF2B5EF4-FFF2-40B4-BE49-F238E27FC236}">
              <a16:creationId xmlns:a16="http://schemas.microsoft.com/office/drawing/2014/main" id="{B0CDB01F-B663-4563-965D-DD8BBBAA4BB0}"/>
            </a:ext>
          </a:extLst>
        </xdr:cNvPr>
        <xdr:cNvSpPr>
          <a:spLocks noChangeArrowheads="1"/>
        </xdr:cNvSpPr>
      </xdr:nvSpPr>
      <xdr:spPr bwMode="auto">
        <a:xfrm>
          <a:off x="10828020" y="65532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34</xdr:row>
      <xdr:rowOff>60960</xdr:rowOff>
    </xdr:from>
    <xdr:to>
      <xdr:col>10</xdr:col>
      <xdr:colOff>152400</xdr:colOff>
      <xdr:row>34</xdr:row>
      <xdr:rowOff>152400</xdr:rowOff>
    </xdr:to>
    <xdr:sp macro="" textlink="">
      <xdr:nvSpPr>
        <xdr:cNvPr id="52" name="Rectangle 1">
          <a:extLst>
            <a:ext uri="{FF2B5EF4-FFF2-40B4-BE49-F238E27FC236}">
              <a16:creationId xmlns:a16="http://schemas.microsoft.com/office/drawing/2014/main" id="{B1DD6B84-8EED-4039-8918-D819F0CB4D63}"/>
            </a:ext>
          </a:extLst>
        </xdr:cNvPr>
        <xdr:cNvSpPr>
          <a:spLocks noChangeArrowheads="1"/>
        </xdr:cNvSpPr>
      </xdr:nvSpPr>
      <xdr:spPr bwMode="auto">
        <a:xfrm>
          <a:off x="10073640" y="6736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34</xdr:row>
      <xdr:rowOff>60960</xdr:rowOff>
    </xdr:from>
    <xdr:to>
      <xdr:col>10</xdr:col>
      <xdr:colOff>906780</xdr:colOff>
      <xdr:row>34</xdr:row>
      <xdr:rowOff>152400</xdr:rowOff>
    </xdr:to>
    <xdr:sp macro="" textlink="">
      <xdr:nvSpPr>
        <xdr:cNvPr id="53" name="Rectangle 1">
          <a:extLst>
            <a:ext uri="{FF2B5EF4-FFF2-40B4-BE49-F238E27FC236}">
              <a16:creationId xmlns:a16="http://schemas.microsoft.com/office/drawing/2014/main" id="{FAA4DDF0-31F9-4346-8373-D20D55DE36E0}"/>
            </a:ext>
          </a:extLst>
        </xdr:cNvPr>
        <xdr:cNvSpPr>
          <a:spLocks noChangeArrowheads="1"/>
        </xdr:cNvSpPr>
      </xdr:nvSpPr>
      <xdr:spPr bwMode="auto">
        <a:xfrm>
          <a:off x="10828020" y="67360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35</xdr:row>
      <xdr:rowOff>60960</xdr:rowOff>
    </xdr:from>
    <xdr:to>
      <xdr:col>10</xdr:col>
      <xdr:colOff>152400</xdr:colOff>
      <xdr:row>35</xdr:row>
      <xdr:rowOff>152400</xdr:rowOff>
    </xdr:to>
    <xdr:sp macro="" textlink="">
      <xdr:nvSpPr>
        <xdr:cNvPr id="54" name="Rectangle 1">
          <a:extLst>
            <a:ext uri="{FF2B5EF4-FFF2-40B4-BE49-F238E27FC236}">
              <a16:creationId xmlns:a16="http://schemas.microsoft.com/office/drawing/2014/main" id="{B8F04875-919D-4398-8CF2-1A9682934C53}"/>
            </a:ext>
          </a:extLst>
        </xdr:cNvPr>
        <xdr:cNvSpPr>
          <a:spLocks noChangeArrowheads="1"/>
        </xdr:cNvSpPr>
      </xdr:nvSpPr>
      <xdr:spPr bwMode="auto">
        <a:xfrm>
          <a:off x="10073640" y="6918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35</xdr:row>
      <xdr:rowOff>60960</xdr:rowOff>
    </xdr:from>
    <xdr:to>
      <xdr:col>10</xdr:col>
      <xdr:colOff>906780</xdr:colOff>
      <xdr:row>35</xdr:row>
      <xdr:rowOff>152400</xdr:rowOff>
    </xdr:to>
    <xdr:sp macro="" textlink="">
      <xdr:nvSpPr>
        <xdr:cNvPr id="55" name="Rectangle 1">
          <a:extLst>
            <a:ext uri="{FF2B5EF4-FFF2-40B4-BE49-F238E27FC236}">
              <a16:creationId xmlns:a16="http://schemas.microsoft.com/office/drawing/2014/main" id="{0E454DE4-2809-4F90-BF3E-108CEB3D9EF4}"/>
            </a:ext>
          </a:extLst>
        </xdr:cNvPr>
        <xdr:cNvSpPr>
          <a:spLocks noChangeArrowheads="1"/>
        </xdr:cNvSpPr>
      </xdr:nvSpPr>
      <xdr:spPr bwMode="auto">
        <a:xfrm>
          <a:off x="10828020" y="69189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36</xdr:row>
      <xdr:rowOff>60960</xdr:rowOff>
    </xdr:from>
    <xdr:to>
      <xdr:col>10</xdr:col>
      <xdr:colOff>152400</xdr:colOff>
      <xdr:row>36</xdr:row>
      <xdr:rowOff>152400</xdr:rowOff>
    </xdr:to>
    <xdr:sp macro="" textlink="">
      <xdr:nvSpPr>
        <xdr:cNvPr id="56" name="Rectangle 1">
          <a:extLst>
            <a:ext uri="{FF2B5EF4-FFF2-40B4-BE49-F238E27FC236}">
              <a16:creationId xmlns:a16="http://schemas.microsoft.com/office/drawing/2014/main" id="{0ADCDD25-3F3C-48E6-9FCA-A8ED6286B4B2}"/>
            </a:ext>
          </a:extLst>
        </xdr:cNvPr>
        <xdr:cNvSpPr>
          <a:spLocks noChangeArrowheads="1"/>
        </xdr:cNvSpPr>
      </xdr:nvSpPr>
      <xdr:spPr bwMode="auto">
        <a:xfrm>
          <a:off x="10073640" y="71018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36</xdr:row>
      <xdr:rowOff>60960</xdr:rowOff>
    </xdr:from>
    <xdr:to>
      <xdr:col>10</xdr:col>
      <xdr:colOff>906780</xdr:colOff>
      <xdr:row>36</xdr:row>
      <xdr:rowOff>152400</xdr:rowOff>
    </xdr:to>
    <xdr:sp macro="" textlink="">
      <xdr:nvSpPr>
        <xdr:cNvPr id="57" name="Rectangle 1">
          <a:extLst>
            <a:ext uri="{FF2B5EF4-FFF2-40B4-BE49-F238E27FC236}">
              <a16:creationId xmlns:a16="http://schemas.microsoft.com/office/drawing/2014/main" id="{7A1A70F0-F9F3-4BD2-B232-9C0CC2D9C0AE}"/>
            </a:ext>
          </a:extLst>
        </xdr:cNvPr>
        <xdr:cNvSpPr>
          <a:spLocks noChangeArrowheads="1"/>
        </xdr:cNvSpPr>
      </xdr:nvSpPr>
      <xdr:spPr bwMode="auto">
        <a:xfrm>
          <a:off x="10828020" y="71018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37</xdr:row>
      <xdr:rowOff>60960</xdr:rowOff>
    </xdr:from>
    <xdr:to>
      <xdr:col>10</xdr:col>
      <xdr:colOff>152400</xdr:colOff>
      <xdr:row>37</xdr:row>
      <xdr:rowOff>152400</xdr:rowOff>
    </xdr:to>
    <xdr:sp macro="" textlink="">
      <xdr:nvSpPr>
        <xdr:cNvPr id="58" name="Rectangle 1">
          <a:extLst>
            <a:ext uri="{FF2B5EF4-FFF2-40B4-BE49-F238E27FC236}">
              <a16:creationId xmlns:a16="http://schemas.microsoft.com/office/drawing/2014/main" id="{946F0A77-9D72-4B67-BB61-7B173F18BE6B}"/>
            </a:ext>
          </a:extLst>
        </xdr:cNvPr>
        <xdr:cNvSpPr>
          <a:spLocks noChangeArrowheads="1"/>
        </xdr:cNvSpPr>
      </xdr:nvSpPr>
      <xdr:spPr bwMode="auto">
        <a:xfrm>
          <a:off x="10073640" y="72847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37</xdr:row>
      <xdr:rowOff>60960</xdr:rowOff>
    </xdr:from>
    <xdr:to>
      <xdr:col>10</xdr:col>
      <xdr:colOff>906780</xdr:colOff>
      <xdr:row>37</xdr:row>
      <xdr:rowOff>152400</xdr:rowOff>
    </xdr:to>
    <xdr:sp macro="" textlink="">
      <xdr:nvSpPr>
        <xdr:cNvPr id="59" name="Rectangle 1">
          <a:extLst>
            <a:ext uri="{FF2B5EF4-FFF2-40B4-BE49-F238E27FC236}">
              <a16:creationId xmlns:a16="http://schemas.microsoft.com/office/drawing/2014/main" id="{F37B7107-4489-48F9-9C13-CDE33A3B222F}"/>
            </a:ext>
          </a:extLst>
        </xdr:cNvPr>
        <xdr:cNvSpPr>
          <a:spLocks noChangeArrowheads="1"/>
        </xdr:cNvSpPr>
      </xdr:nvSpPr>
      <xdr:spPr bwMode="auto">
        <a:xfrm>
          <a:off x="10828020" y="72847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38</xdr:row>
      <xdr:rowOff>60960</xdr:rowOff>
    </xdr:from>
    <xdr:to>
      <xdr:col>10</xdr:col>
      <xdr:colOff>152400</xdr:colOff>
      <xdr:row>38</xdr:row>
      <xdr:rowOff>152400</xdr:rowOff>
    </xdr:to>
    <xdr:sp macro="" textlink="">
      <xdr:nvSpPr>
        <xdr:cNvPr id="60" name="Rectangle 1">
          <a:extLst>
            <a:ext uri="{FF2B5EF4-FFF2-40B4-BE49-F238E27FC236}">
              <a16:creationId xmlns:a16="http://schemas.microsoft.com/office/drawing/2014/main" id="{4E88E6AB-5070-4D29-BEC4-F4332016B686}"/>
            </a:ext>
          </a:extLst>
        </xdr:cNvPr>
        <xdr:cNvSpPr>
          <a:spLocks noChangeArrowheads="1"/>
        </xdr:cNvSpPr>
      </xdr:nvSpPr>
      <xdr:spPr bwMode="auto">
        <a:xfrm>
          <a:off x="10073640" y="74676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38</xdr:row>
      <xdr:rowOff>60960</xdr:rowOff>
    </xdr:from>
    <xdr:to>
      <xdr:col>10</xdr:col>
      <xdr:colOff>906780</xdr:colOff>
      <xdr:row>38</xdr:row>
      <xdr:rowOff>152400</xdr:rowOff>
    </xdr:to>
    <xdr:sp macro="" textlink="">
      <xdr:nvSpPr>
        <xdr:cNvPr id="61" name="Rectangle 1">
          <a:extLst>
            <a:ext uri="{FF2B5EF4-FFF2-40B4-BE49-F238E27FC236}">
              <a16:creationId xmlns:a16="http://schemas.microsoft.com/office/drawing/2014/main" id="{F4D41249-3267-43FA-BAC8-1872A04DAFC8}"/>
            </a:ext>
          </a:extLst>
        </xdr:cNvPr>
        <xdr:cNvSpPr>
          <a:spLocks noChangeArrowheads="1"/>
        </xdr:cNvSpPr>
      </xdr:nvSpPr>
      <xdr:spPr bwMode="auto">
        <a:xfrm>
          <a:off x="10828020" y="74676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39</xdr:row>
      <xdr:rowOff>60960</xdr:rowOff>
    </xdr:from>
    <xdr:to>
      <xdr:col>10</xdr:col>
      <xdr:colOff>152400</xdr:colOff>
      <xdr:row>39</xdr:row>
      <xdr:rowOff>152400</xdr:rowOff>
    </xdr:to>
    <xdr:sp macro="" textlink="">
      <xdr:nvSpPr>
        <xdr:cNvPr id="62" name="Rectangle 1">
          <a:extLst>
            <a:ext uri="{FF2B5EF4-FFF2-40B4-BE49-F238E27FC236}">
              <a16:creationId xmlns:a16="http://schemas.microsoft.com/office/drawing/2014/main" id="{A7495634-4C5B-4B7C-8EB3-AFC9E4394414}"/>
            </a:ext>
          </a:extLst>
        </xdr:cNvPr>
        <xdr:cNvSpPr>
          <a:spLocks noChangeArrowheads="1"/>
        </xdr:cNvSpPr>
      </xdr:nvSpPr>
      <xdr:spPr bwMode="auto">
        <a:xfrm>
          <a:off x="10073640" y="76504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39</xdr:row>
      <xdr:rowOff>60960</xdr:rowOff>
    </xdr:from>
    <xdr:to>
      <xdr:col>10</xdr:col>
      <xdr:colOff>906780</xdr:colOff>
      <xdr:row>39</xdr:row>
      <xdr:rowOff>152400</xdr:rowOff>
    </xdr:to>
    <xdr:sp macro="" textlink="">
      <xdr:nvSpPr>
        <xdr:cNvPr id="63" name="Rectangle 1">
          <a:extLst>
            <a:ext uri="{FF2B5EF4-FFF2-40B4-BE49-F238E27FC236}">
              <a16:creationId xmlns:a16="http://schemas.microsoft.com/office/drawing/2014/main" id="{204928AC-9F71-4872-A715-A6D045F8AE92}"/>
            </a:ext>
          </a:extLst>
        </xdr:cNvPr>
        <xdr:cNvSpPr>
          <a:spLocks noChangeArrowheads="1"/>
        </xdr:cNvSpPr>
      </xdr:nvSpPr>
      <xdr:spPr bwMode="auto">
        <a:xfrm>
          <a:off x="10828020" y="76504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40</xdr:row>
      <xdr:rowOff>60960</xdr:rowOff>
    </xdr:from>
    <xdr:to>
      <xdr:col>10</xdr:col>
      <xdr:colOff>152400</xdr:colOff>
      <xdr:row>40</xdr:row>
      <xdr:rowOff>152400</xdr:rowOff>
    </xdr:to>
    <xdr:sp macro="" textlink="">
      <xdr:nvSpPr>
        <xdr:cNvPr id="64" name="Rectangle 1">
          <a:extLst>
            <a:ext uri="{FF2B5EF4-FFF2-40B4-BE49-F238E27FC236}">
              <a16:creationId xmlns:a16="http://schemas.microsoft.com/office/drawing/2014/main" id="{8EE24905-448F-4CE6-BC67-FE99D1855135}"/>
            </a:ext>
          </a:extLst>
        </xdr:cNvPr>
        <xdr:cNvSpPr>
          <a:spLocks noChangeArrowheads="1"/>
        </xdr:cNvSpPr>
      </xdr:nvSpPr>
      <xdr:spPr bwMode="auto">
        <a:xfrm>
          <a:off x="10073640" y="78333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40</xdr:row>
      <xdr:rowOff>60960</xdr:rowOff>
    </xdr:from>
    <xdr:to>
      <xdr:col>10</xdr:col>
      <xdr:colOff>906780</xdr:colOff>
      <xdr:row>40</xdr:row>
      <xdr:rowOff>152400</xdr:rowOff>
    </xdr:to>
    <xdr:sp macro="" textlink="">
      <xdr:nvSpPr>
        <xdr:cNvPr id="65" name="Rectangle 1">
          <a:extLst>
            <a:ext uri="{FF2B5EF4-FFF2-40B4-BE49-F238E27FC236}">
              <a16:creationId xmlns:a16="http://schemas.microsoft.com/office/drawing/2014/main" id="{4074ED41-ECB4-4538-8AF4-5317A27DF789}"/>
            </a:ext>
          </a:extLst>
        </xdr:cNvPr>
        <xdr:cNvSpPr>
          <a:spLocks noChangeArrowheads="1"/>
        </xdr:cNvSpPr>
      </xdr:nvSpPr>
      <xdr:spPr bwMode="auto">
        <a:xfrm>
          <a:off x="10828020" y="78333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41</xdr:row>
      <xdr:rowOff>60960</xdr:rowOff>
    </xdr:from>
    <xdr:to>
      <xdr:col>10</xdr:col>
      <xdr:colOff>152400</xdr:colOff>
      <xdr:row>41</xdr:row>
      <xdr:rowOff>152400</xdr:rowOff>
    </xdr:to>
    <xdr:sp macro="" textlink="">
      <xdr:nvSpPr>
        <xdr:cNvPr id="66" name="Rectangle 1">
          <a:extLst>
            <a:ext uri="{FF2B5EF4-FFF2-40B4-BE49-F238E27FC236}">
              <a16:creationId xmlns:a16="http://schemas.microsoft.com/office/drawing/2014/main" id="{E59161E0-BC0C-4F93-9608-048FC01087AC}"/>
            </a:ext>
          </a:extLst>
        </xdr:cNvPr>
        <xdr:cNvSpPr>
          <a:spLocks noChangeArrowheads="1"/>
        </xdr:cNvSpPr>
      </xdr:nvSpPr>
      <xdr:spPr bwMode="auto">
        <a:xfrm>
          <a:off x="10073640" y="80162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41</xdr:row>
      <xdr:rowOff>60960</xdr:rowOff>
    </xdr:from>
    <xdr:to>
      <xdr:col>10</xdr:col>
      <xdr:colOff>906780</xdr:colOff>
      <xdr:row>41</xdr:row>
      <xdr:rowOff>152400</xdr:rowOff>
    </xdr:to>
    <xdr:sp macro="" textlink="">
      <xdr:nvSpPr>
        <xdr:cNvPr id="67" name="Rectangle 1">
          <a:extLst>
            <a:ext uri="{FF2B5EF4-FFF2-40B4-BE49-F238E27FC236}">
              <a16:creationId xmlns:a16="http://schemas.microsoft.com/office/drawing/2014/main" id="{E9B9C979-9BEF-4D2F-9931-F59958CD4ACB}"/>
            </a:ext>
          </a:extLst>
        </xdr:cNvPr>
        <xdr:cNvSpPr>
          <a:spLocks noChangeArrowheads="1"/>
        </xdr:cNvSpPr>
      </xdr:nvSpPr>
      <xdr:spPr bwMode="auto">
        <a:xfrm>
          <a:off x="10828020" y="80162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42</xdr:row>
      <xdr:rowOff>60960</xdr:rowOff>
    </xdr:from>
    <xdr:to>
      <xdr:col>10</xdr:col>
      <xdr:colOff>152400</xdr:colOff>
      <xdr:row>42</xdr:row>
      <xdr:rowOff>152400</xdr:rowOff>
    </xdr:to>
    <xdr:sp macro="" textlink="">
      <xdr:nvSpPr>
        <xdr:cNvPr id="68" name="Rectangle 1">
          <a:extLst>
            <a:ext uri="{FF2B5EF4-FFF2-40B4-BE49-F238E27FC236}">
              <a16:creationId xmlns:a16="http://schemas.microsoft.com/office/drawing/2014/main" id="{571E3128-A35C-40BA-98BC-0DB6146E8B64}"/>
            </a:ext>
          </a:extLst>
        </xdr:cNvPr>
        <xdr:cNvSpPr>
          <a:spLocks noChangeArrowheads="1"/>
        </xdr:cNvSpPr>
      </xdr:nvSpPr>
      <xdr:spPr bwMode="auto">
        <a:xfrm>
          <a:off x="10073640" y="8199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42</xdr:row>
      <xdr:rowOff>60960</xdr:rowOff>
    </xdr:from>
    <xdr:to>
      <xdr:col>10</xdr:col>
      <xdr:colOff>906780</xdr:colOff>
      <xdr:row>42</xdr:row>
      <xdr:rowOff>152400</xdr:rowOff>
    </xdr:to>
    <xdr:sp macro="" textlink="">
      <xdr:nvSpPr>
        <xdr:cNvPr id="69" name="Rectangle 1">
          <a:extLst>
            <a:ext uri="{FF2B5EF4-FFF2-40B4-BE49-F238E27FC236}">
              <a16:creationId xmlns:a16="http://schemas.microsoft.com/office/drawing/2014/main" id="{AB9D18BA-BCD8-47DA-92FA-3FD351229451}"/>
            </a:ext>
          </a:extLst>
        </xdr:cNvPr>
        <xdr:cNvSpPr>
          <a:spLocks noChangeArrowheads="1"/>
        </xdr:cNvSpPr>
      </xdr:nvSpPr>
      <xdr:spPr bwMode="auto">
        <a:xfrm>
          <a:off x="10828020" y="81991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43</xdr:row>
      <xdr:rowOff>60960</xdr:rowOff>
    </xdr:from>
    <xdr:to>
      <xdr:col>10</xdr:col>
      <xdr:colOff>152400</xdr:colOff>
      <xdr:row>43</xdr:row>
      <xdr:rowOff>152400</xdr:rowOff>
    </xdr:to>
    <xdr:sp macro="" textlink="">
      <xdr:nvSpPr>
        <xdr:cNvPr id="70" name="Rectangle 1">
          <a:extLst>
            <a:ext uri="{FF2B5EF4-FFF2-40B4-BE49-F238E27FC236}">
              <a16:creationId xmlns:a16="http://schemas.microsoft.com/office/drawing/2014/main" id="{7EFFCF47-1F7E-48CA-84EC-7F6A28DD4E08}"/>
            </a:ext>
          </a:extLst>
        </xdr:cNvPr>
        <xdr:cNvSpPr>
          <a:spLocks noChangeArrowheads="1"/>
        </xdr:cNvSpPr>
      </xdr:nvSpPr>
      <xdr:spPr bwMode="auto">
        <a:xfrm>
          <a:off x="10073640" y="83820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43</xdr:row>
      <xdr:rowOff>60960</xdr:rowOff>
    </xdr:from>
    <xdr:to>
      <xdr:col>10</xdr:col>
      <xdr:colOff>906780</xdr:colOff>
      <xdr:row>43</xdr:row>
      <xdr:rowOff>152400</xdr:rowOff>
    </xdr:to>
    <xdr:sp macro="" textlink="">
      <xdr:nvSpPr>
        <xdr:cNvPr id="71" name="Rectangle 1">
          <a:extLst>
            <a:ext uri="{FF2B5EF4-FFF2-40B4-BE49-F238E27FC236}">
              <a16:creationId xmlns:a16="http://schemas.microsoft.com/office/drawing/2014/main" id="{0BAADC18-DF60-4C9A-A9C5-F62D3EEE8A3F}"/>
            </a:ext>
          </a:extLst>
        </xdr:cNvPr>
        <xdr:cNvSpPr>
          <a:spLocks noChangeArrowheads="1"/>
        </xdr:cNvSpPr>
      </xdr:nvSpPr>
      <xdr:spPr bwMode="auto">
        <a:xfrm>
          <a:off x="10828020" y="83820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44</xdr:row>
      <xdr:rowOff>60960</xdr:rowOff>
    </xdr:from>
    <xdr:to>
      <xdr:col>10</xdr:col>
      <xdr:colOff>152400</xdr:colOff>
      <xdr:row>44</xdr:row>
      <xdr:rowOff>152400</xdr:rowOff>
    </xdr:to>
    <xdr:sp macro="" textlink="">
      <xdr:nvSpPr>
        <xdr:cNvPr id="72" name="Rectangle 1">
          <a:extLst>
            <a:ext uri="{FF2B5EF4-FFF2-40B4-BE49-F238E27FC236}">
              <a16:creationId xmlns:a16="http://schemas.microsoft.com/office/drawing/2014/main" id="{9D65A9EB-F949-44D5-9D19-8E7474A66242}"/>
            </a:ext>
          </a:extLst>
        </xdr:cNvPr>
        <xdr:cNvSpPr>
          <a:spLocks noChangeArrowheads="1"/>
        </xdr:cNvSpPr>
      </xdr:nvSpPr>
      <xdr:spPr bwMode="auto">
        <a:xfrm>
          <a:off x="10073640" y="85648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44</xdr:row>
      <xdr:rowOff>60960</xdr:rowOff>
    </xdr:from>
    <xdr:to>
      <xdr:col>10</xdr:col>
      <xdr:colOff>906780</xdr:colOff>
      <xdr:row>44</xdr:row>
      <xdr:rowOff>152400</xdr:rowOff>
    </xdr:to>
    <xdr:sp macro="" textlink="">
      <xdr:nvSpPr>
        <xdr:cNvPr id="73" name="Rectangle 1">
          <a:extLst>
            <a:ext uri="{FF2B5EF4-FFF2-40B4-BE49-F238E27FC236}">
              <a16:creationId xmlns:a16="http://schemas.microsoft.com/office/drawing/2014/main" id="{04556C18-C16D-4C3B-8168-467F8CBAA579}"/>
            </a:ext>
          </a:extLst>
        </xdr:cNvPr>
        <xdr:cNvSpPr>
          <a:spLocks noChangeArrowheads="1"/>
        </xdr:cNvSpPr>
      </xdr:nvSpPr>
      <xdr:spPr bwMode="auto">
        <a:xfrm>
          <a:off x="10828020" y="85648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45</xdr:row>
      <xdr:rowOff>60960</xdr:rowOff>
    </xdr:from>
    <xdr:to>
      <xdr:col>10</xdr:col>
      <xdr:colOff>152400</xdr:colOff>
      <xdr:row>45</xdr:row>
      <xdr:rowOff>152400</xdr:rowOff>
    </xdr:to>
    <xdr:sp macro="" textlink="">
      <xdr:nvSpPr>
        <xdr:cNvPr id="74" name="Rectangle 1">
          <a:extLst>
            <a:ext uri="{FF2B5EF4-FFF2-40B4-BE49-F238E27FC236}">
              <a16:creationId xmlns:a16="http://schemas.microsoft.com/office/drawing/2014/main" id="{FCC53B15-80EB-4581-ACEB-6118E048A6D8}"/>
            </a:ext>
          </a:extLst>
        </xdr:cNvPr>
        <xdr:cNvSpPr>
          <a:spLocks noChangeArrowheads="1"/>
        </xdr:cNvSpPr>
      </xdr:nvSpPr>
      <xdr:spPr bwMode="auto">
        <a:xfrm>
          <a:off x="10073640" y="87477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45</xdr:row>
      <xdr:rowOff>60960</xdr:rowOff>
    </xdr:from>
    <xdr:to>
      <xdr:col>10</xdr:col>
      <xdr:colOff>906780</xdr:colOff>
      <xdr:row>45</xdr:row>
      <xdr:rowOff>152400</xdr:rowOff>
    </xdr:to>
    <xdr:sp macro="" textlink="">
      <xdr:nvSpPr>
        <xdr:cNvPr id="75" name="Rectangle 1">
          <a:extLst>
            <a:ext uri="{FF2B5EF4-FFF2-40B4-BE49-F238E27FC236}">
              <a16:creationId xmlns:a16="http://schemas.microsoft.com/office/drawing/2014/main" id="{A5AF8233-C531-4D40-B9F4-AAE5539CFFD6}"/>
            </a:ext>
          </a:extLst>
        </xdr:cNvPr>
        <xdr:cNvSpPr>
          <a:spLocks noChangeArrowheads="1"/>
        </xdr:cNvSpPr>
      </xdr:nvSpPr>
      <xdr:spPr bwMode="auto">
        <a:xfrm>
          <a:off x="10828020" y="87477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46</xdr:row>
      <xdr:rowOff>60960</xdr:rowOff>
    </xdr:from>
    <xdr:to>
      <xdr:col>10</xdr:col>
      <xdr:colOff>152400</xdr:colOff>
      <xdr:row>46</xdr:row>
      <xdr:rowOff>152400</xdr:rowOff>
    </xdr:to>
    <xdr:sp macro="" textlink="">
      <xdr:nvSpPr>
        <xdr:cNvPr id="76" name="Rectangle 1">
          <a:extLst>
            <a:ext uri="{FF2B5EF4-FFF2-40B4-BE49-F238E27FC236}">
              <a16:creationId xmlns:a16="http://schemas.microsoft.com/office/drawing/2014/main" id="{BE15C044-9CBF-427E-8190-9DCA3B019A71}"/>
            </a:ext>
          </a:extLst>
        </xdr:cNvPr>
        <xdr:cNvSpPr>
          <a:spLocks noChangeArrowheads="1"/>
        </xdr:cNvSpPr>
      </xdr:nvSpPr>
      <xdr:spPr bwMode="auto">
        <a:xfrm>
          <a:off x="10073640" y="89306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46</xdr:row>
      <xdr:rowOff>60960</xdr:rowOff>
    </xdr:from>
    <xdr:to>
      <xdr:col>10</xdr:col>
      <xdr:colOff>906780</xdr:colOff>
      <xdr:row>46</xdr:row>
      <xdr:rowOff>152400</xdr:rowOff>
    </xdr:to>
    <xdr:sp macro="" textlink="">
      <xdr:nvSpPr>
        <xdr:cNvPr id="77" name="Rectangle 1">
          <a:extLst>
            <a:ext uri="{FF2B5EF4-FFF2-40B4-BE49-F238E27FC236}">
              <a16:creationId xmlns:a16="http://schemas.microsoft.com/office/drawing/2014/main" id="{A8E9C6CB-851D-4A77-8251-C7519CB2D565}"/>
            </a:ext>
          </a:extLst>
        </xdr:cNvPr>
        <xdr:cNvSpPr>
          <a:spLocks noChangeArrowheads="1"/>
        </xdr:cNvSpPr>
      </xdr:nvSpPr>
      <xdr:spPr bwMode="auto">
        <a:xfrm>
          <a:off x="10828020" y="89306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47</xdr:row>
      <xdr:rowOff>60960</xdr:rowOff>
    </xdr:from>
    <xdr:to>
      <xdr:col>10</xdr:col>
      <xdr:colOff>152400</xdr:colOff>
      <xdr:row>47</xdr:row>
      <xdr:rowOff>152400</xdr:rowOff>
    </xdr:to>
    <xdr:sp macro="" textlink="">
      <xdr:nvSpPr>
        <xdr:cNvPr id="78" name="Rectangle 1">
          <a:extLst>
            <a:ext uri="{FF2B5EF4-FFF2-40B4-BE49-F238E27FC236}">
              <a16:creationId xmlns:a16="http://schemas.microsoft.com/office/drawing/2014/main" id="{BD48D0CE-D40C-4495-9A2A-CD3AEDAF45E4}"/>
            </a:ext>
          </a:extLst>
        </xdr:cNvPr>
        <xdr:cNvSpPr>
          <a:spLocks noChangeArrowheads="1"/>
        </xdr:cNvSpPr>
      </xdr:nvSpPr>
      <xdr:spPr bwMode="auto">
        <a:xfrm>
          <a:off x="10073640" y="91135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47</xdr:row>
      <xdr:rowOff>60960</xdr:rowOff>
    </xdr:from>
    <xdr:to>
      <xdr:col>10</xdr:col>
      <xdr:colOff>906780</xdr:colOff>
      <xdr:row>47</xdr:row>
      <xdr:rowOff>152400</xdr:rowOff>
    </xdr:to>
    <xdr:sp macro="" textlink="">
      <xdr:nvSpPr>
        <xdr:cNvPr id="79" name="Rectangle 1">
          <a:extLst>
            <a:ext uri="{FF2B5EF4-FFF2-40B4-BE49-F238E27FC236}">
              <a16:creationId xmlns:a16="http://schemas.microsoft.com/office/drawing/2014/main" id="{D6BE8929-8609-444C-A604-E68970ADA93A}"/>
            </a:ext>
          </a:extLst>
        </xdr:cNvPr>
        <xdr:cNvSpPr>
          <a:spLocks noChangeArrowheads="1"/>
        </xdr:cNvSpPr>
      </xdr:nvSpPr>
      <xdr:spPr bwMode="auto">
        <a:xfrm>
          <a:off x="10828020" y="91135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48</xdr:row>
      <xdr:rowOff>60960</xdr:rowOff>
    </xdr:from>
    <xdr:to>
      <xdr:col>10</xdr:col>
      <xdr:colOff>152400</xdr:colOff>
      <xdr:row>48</xdr:row>
      <xdr:rowOff>152400</xdr:rowOff>
    </xdr:to>
    <xdr:sp macro="" textlink="">
      <xdr:nvSpPr>
        <xdr:cNvPr id="80" name="Rectangle 1">
          <a:extLst>
            <a:ext uri="{FF2B5EF4-FFF2-40B4-BE49-F238E27FC236}">
              <a16:creationId xmlns:a16="http://schemas.microsoft.com/office/drawing/2014/main" id="{9FF5D454-D17D-41E5-8D31-E81D906DA053}"/>
            </a:ext>
          </a:extLst>
        </xdr:cNvPr>
        <xdr:cNvSpPr>
          <a:spLocks noChangeArrowheads="1"/>
        </xdr:cNvSpPr>
      </xdr:nvSpPr>
      <xdr:spPr bwMode="auto">
        <a:xfrm>
          <a:off x="10073640" y="92964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48</xdr:row>
      <xdr:rowOff>60960</xdr:rowOff>
    </xdr:from>
    <xdr:to>
      <xdr:col>10</xdr:col>
      <xdr:colOff>906780</xdr:colOff>
      <xdr:row>48</xdr:row>
      <xdr:rowOff>152400</xdr:rowOff>
    </xdr:to>
    <xdr:sp macro="" textlink="">
      <xdr:nvSpPr>
        <xdr:cNvPr id="81" name="Rectangle 1">
          <a:extLst>
            <a:ext uri="{FF2B5EF4-FFF2-40B4-BE49-F238E27FC236}">
              <a16:creationId xmlns:a16="http://schemas.microsoft.com/office/drawing/2014/main" id="{14292032-56EB-469E-8F18-E26FA4147C68}"/>
            </a:ext>
          </a:extLst>
        </xdr:cNvPr>
        <xdr:cNvSpPr>
          <a:spLocks noChangeArrowheads="1"/>
        </xdr:cNvSpPr>
      </xdr:nvSpPr>
      <xdr:spPr bwMode="auto">
        <a:xfrm>
          <a:off x="10828020" y="92964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49</xdr:row>
      <xdr:rowOff>60960</xdr:rowOff>
    </xdr:from>
    <xdr:to>
      <xdr:col>10</xdr:col>
      <xdr:colOff>152400</xdr:colOff>
      <xdr:row>49</xdr:row>
      <xdr:rowOff>152400</xdr:rowOff>
    </xdr:to>
    <xdr:sp macro="" textlink="">
      <xdr:nvSpPr>
        <xdr:cNvPr id="82" name="Rectangle 1">
          <a:extLst>
            <a:ext uri="{FF2B5EF4-FFF2-40B4-BE49-F238E27FC236}">
              <a16:creationId xmlns:a16="http://schemas.microsoft.com/office/drawing/2014/main" id="{E4014CBB-8E09-4278-8BDE-2A9D474364B0}"/>
            </a:ext>
          </a:extLst>
        </xdr:cNvPr>
        <xdr:cNvSpPr>
          <a:spLocks noChangeArrowheads="1"/>
        </xdr:cNvSpPr>
      </xdr:nvSpPr>
      <xdr:spPr bwMode="auto">
        <a:xfrm>
          <a:off x="10073640" y="94792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49</xdr:row>
      <xdr:rowOff>60960</xdr:rowOff>
    </xdr:from>
    <xdr:to>
      <xdr:col>10</xdr:col>
      <xdr:colOff>906780</xdr:colOff>
      <xdr:row>49</xdr:row>
      <xdr:rowOff>152400</xdr:rowOff>
    </xdr:to>
    <xdr:sp macro="" textlink="">
      <xdr:nvSpPr>
        <xdr:cNvPr id="83" name="Rectangle 1">
          <a:extLst>
            <a:ext uri="{FF2B5EF4-FFF2-40B4-BE49-F238E27FC236}">
              <a16:creationId xmlns:a16="http://schemas.microsoft.com/office/drawing/2014/main" id="{9317FC1D-4082-4F6D-98B0-B7044BB6F0AB}"/>
            </a:ext>
          </a:extLst>
        </xdr:cNvPr>
        <xdr:cNvSpPr>
          <a:spLocks noChangeArrowheads="1"/>
        </xdr:cNvSpPr>
      </xdr:nvSpPr>
      <xdr:spPr bwMode="auto">
        <a:xfrm>
          <a:off x="10828020" y="947928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50</xdr:row>
      <xdr:rowOff>60960</xdr:rowOff>
    </xdr:from>
    <xdr:to>
      <xdr:col>10</xdr:col>
      <xdr:colOff>152400</xdr:colOff>
      <xdr:row>50</xdr:row>
      <xdr:rowOff>152400</xdr:rowOff>
    </xdr:to>
    <xdr:sp macro="" textlink="">
      <xdr:nvSpPr>
        <xdr:cNvPr id="84" name="Rectangle 1">
          <a:extLst>
            <a:ext uri="{FF2B5EF4-FFF2-40B4-BE49-F238E27FC236}">
              <a16:creationId xmlns:a16="http://schemas.microsoft.com/office/drawing/2014/main" id="{04670F93-CB3F-4C44-B41B-4441CC1F73B3}"/>
            </a:ext>
          </a:extLst>
        </xdr:cNvPr>
        <xdr:cNvSpPr>
          <a:spLocks noChangeArrowheads="1"/>
        </xdr:cNvSpPr>
      </xdr:nvSpPr>
      <xdr:spPr bwMode="auto">
        <a:xfrm>
          <a:off x="10073640" y="96621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50</xdr:row>
      <xdr:rowOff>60960</xdr:rowOff>
    </xdr:from>
    <xdr:to>
      <xdr:col>10</xdr:col>
      <xdr:colOff>906780</xdr:colOff>
      <xdr:row>50</xdr:row>
      <xdr:rowOff>152400</xdr:rowOff>
    </xdr:to>
    <xdr:sp macro="" textlink="">
      <xdr:nvSpPr>
        <xdr:cNvPr id="85" name="Rectangle 1">
          <a:extLst>
            <a:ext uri="{FF2B5EF4-FFF2-40B4-BE49-F238E27FC236}">
              <a16:creationId xmlns:a16="http://schemas.microsoft.com/office/drawing/2014/main" id="{A0DB667C-57C6-4600-BC04-69D96240C6B7}"/>
            </a:ext>
          </a:extLst>
        </xdr:cNvPr>
        <xdr:cNvSpPr>
          <a:spLocks noChangeArrowheads="1"/>
        </xdr:cNvSpPr>
      </xdr:nvSpPr>
      <xdr:spPr bwMode="auto">
        <a:xfrm>
          <a:off x="10828020" y="966216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51</xdr:row>
      <xdr:rowOff>60960</xdr:rowOff>
    </xdr:from>
    <xdr:to>
      <xdr:col>10</xdr:col>
      <xdr:colOff>152400</xdr:colOff>
      <xdr:row>51</xdr:row>
      <xdr:rowOff>152400</xdr:rowOff>
    </xdr:to>
    <xdr:sp macro="" textlink="">
      <xdr:nvSpPr>
        <xdr:cNvPr id="86" name="Rectangle 1">
          <a:extLst>
            <a:ext uri="{FF2B5EF4-FFF2-40B4-BE49-F238E27FC236}">
              <a16:creationId xmlns:a16="http://schemas.microsoft.com/office/drawing/2014/main" id="{70EF1E52-26B7-4335-AAB4-1653EDC8DC9D}"/>
            </a:ext>
          </a:extLst>
        </xdr:cNvPr>
        <xdr:cNvSpPr>
          <a:spLocks noChangeArrowheads="1"/>
        </xdr:cNvSpPr>
      </xdr:nvSpPr>
      <xdr:spPr bwMode="auto">
        <a:xfrm>
          <a:off x="10073640" y="98450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51</xdr:row>
      <xdr:rowOff>60960</xdr:rowOff>
    </xdr:from>
    <xdr:to>
      <xdr:col>10</xdr:col>
      <xdr:colOff>906780</xdr:colOff>
      <xdr:row>51</xdr:row>
      <xdr:rowOff>152400</xdr:rowOff>
    </xdr:to>
    <xdr:sp macro="" textlink="">
      <xdr:nvSpPr>
        <xdr:cNvPr id="87" name="Rectangle 1">
          <a:extLst>
            <a:ext uri="{FF2B5EF4-FFF2-40B4-BE49-F238E27FC236}">
              <a16:creationId xmlns:a16="http://schemas.microsoft.com/office/drawing/2014/main" id="{2DCCEC74-4290-40AE-B02E-CEF072F31635}"/>
            </a:ext>
          </a:extLst>
        </xdr:cNvPr>
        <xdr:cNvSpPr>
          <a:spLocks noChangeArrowheads="1"/>
        </xdr:cNvSpPr>
      </xdr:nvSpPr>
      <xdr:spPr bwMode="auto">
        <a:xfrm>
          <a:off x="10828020" y="984504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52</xdr:row>
      <xdr:rowOff>60960</xdr:rowOff>
    </xdr:from>
    <xdr:to>
      <xdr:col>10</xdr:col>
      <xdr:colOff>152400</xdr:colOff>
      <xdr:row>52</xdr:row>
      <xdr:rowOff>152400</xdr:rowOff>
    </xdr:to>
    <xdr:sp macro="" textlink="">
      <xdr:nvSpPr>
        <xdr:cNvPr id="88" name="Rectangle 1">
          <a:extLst>
            <a:ext uri="{FF2B5EF4-FFF2-40B4-BE49-F238E27FC236}">
              <a16:creationId xmlns:a16="http://schemas.microsoft.com/office/drawing/2014/main" id="{19BBA52D-21CE-4953-BCFF-5A8ADD3772EF}"/>
            </a:ext>
          </a:extLst>
        </xdr:cNvPr>
        <xdr:cNvSpPr>
          <a:spLocks noChangeArrowheads="1"/>
        </xdr:cNvSpPr>
      </xdr:nvSpPr>
      <xdr:spPr bwMode="auto">
        <a:xfrm>
          <a:off x="10073640" y="100279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52</xdr:row>
      <xdr:rowOff>60960</xdr:rowOff>
    </xdr:from>
    <xdr:to>
      <xdr:col>10</xdr:col>
      <xdr:colOff>906780</xdr:colOff>
      <xdr:row>52</xdr:row>
      <xdr:rowOff>152400</xdr:rowOff>
    </xdr:to>
    <xdr:sp macro="" textlink="">
      <xdr:nvSpPr>
        <xdr:cNvPr id="89" name="Rectangle 1">
          <a:extLst>
            <a:ext uri="{FF2B5EF4-FFF2-40B4-BE49-F238E27FC236}">
              <a16:creationId xmlns:a16="http://schemas.microsoft.com/office/drawing/2014/main" id="{FA440356-63C5-4212-B2B5-4F334D5710DB}"/>
            </a:ext>
          </a:extLst>
        </xdr:cNvPr>
        <xdr:cNvSpPr>
          <a:spLocks noChangeArrowheads="1"/>
        </xdr:cNvSpPr>
      </xdr:nvSpPr>
      <xdr:spPr bwMode="auto">
        <a:xfrm>
          <a:off x="10828020" y="1002792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60960</xdr:colOff>
      <xdr:row>53</xdr:row>
      <xdr:rowOff>60960</xdr:rowOff>
    </xdr:from>
    <xdr:to>
      <xdr:col>10</xdr:col>
      <xdr:colOff>152400</xdr:colOff>
      <xdr:row>53</xdr:row>
      <xdr:rowOff>152400</xdr:rowOff>
    </xdr:to>
    <xdr:sp macro="" textlink="">
      <xdr:nvSpPr>
        <xdr:cNvPr id="90" name="Rectangle 1">
          <a:extLst>
            <a:ext uri="{FF2B5EF4-FFF2-40B4-BE49-F238E27FC236}">
              <a16:creationId xmlns:a16="http://schemas.microsoft.com/office/drawing/2014/main" id="{42C23C1B-D9F4-4B44-8E4C-261A5D234A45}"/>
            </a:ext>
          </a:extLst>
        </xdr:cNvPr>
        <xdr:cNvSpPr>
          <a:spLocks noChangeArrowheads="1"/>
        </xdr:cNvSpPr>
      </xdr:nvSpPr>
      <xdr:spPr bwMode="auto">
        <a:xfrm>
          <a:off x="10073640" y="102108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815340</xdr:colOff>
      <xdr:row>53</xdr:row>
      <xdr:rowOff>60960</xdr:rowOff>
    </xdr:from>
    <xdr:to>
      <xdr:col>10</xdr:col>
      <xdr:colOff>906780</xdr:colOff>
      <xdr:row>53</xdr:row>
      <xdr:rowOff>152400</xdr:rowOff>
    </xdr:to>
    <xdr:sp macro="" textlink="">
      <xdr:nvSpPr>
        <xdr:cNvPr id="91" name="Rectangle 1">
          <a:extLst>
            <a:ext uri="{FF2B5EF4-FFF2-40B4-BE49-F238E27FC236}">
              <a16:creationId xmlns:a16="http://schemas.microsoft.com/office/drawing/2014/main" id="{CCBE3DA5-85DA-4B90-9731-D5E195D43EAE}"/>
            </a:ext>
          </a:extLst>
        </xdr:cNvPr>
        <xdr:cNvSpPr>
          <a:spLocks noChangeArrowheads="1"/>
        </xdr:cNvSpPr>
      </xdr:nvSpPr>
      <xdr:spPr bwMode="auto">
        <a:xfrm>
          <a:off x="10828020" y="10210800"/>
          <a:ext cx="914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5D8CE9-8E09-4F50-A5C2-8C00C6BA3C9B}" name="Tabella1" displayName="Tabella1" ref="B9:N54" totalsRowShown="0" headerRowDxfId="152" headerRowBorderDxfId="151" tableBorderDxfId="150" totalsRowBorderDxfId="149">
  <autoFilter ref="B9:N54" xr:uid="{8A5D8CE9-8E09-4F50-A5C2-8C00C6BA3C9B}"/>
  <tableColumns count="13">
    <tableColumn id="1" xr3:uid="{1EF7E1B8-B1BA-4604-89A3-88F9DC592C3F}" name="NOME PRODOTTO" dataDxfId="148"/>
    <tableColumn id="12" xr3:uid="{A8A5CFCB-4AF8-4B80-A8F7-78C5B15BD133}" name="DESCRIZIONE PRODOTTO" dataDxfId="147"/>
    <tableColumn id="11" xr3:uid="{C133E941-3C4F-42DC-B761-89BD3A63FFCD}" name="FORNITORE" dataDxfId="146"/>
    <tableColumn id="10" xr3:uid="{29B10CEB-EBD9-499E-8AEA-7542D72EB4FC}" name="N° D.D.T" dataDxfId="145"/>
    <tableColumn id="2" xr3:uid="{C4282732-F476-4AC4-BFEE-8631D656C07F}" name="DATA D.D.T" dataDxfId="144"/>
    <tableColumn id="13" xr3:uid="{1CFAC36D-C4D2-41CA-9D0F-176B3ED4073A}" name="DATA DI ARRIVO MERCE" dataDxfId="143"/>
    <tableColumn id="5" xr3:uid="{D1A84046-5D8B-4EC5-AFAE-585D59670D26}" name="CODICE e LOTTO (FORNITORE)" dataDxfId="142"/>
    <tableColumn id="3" xr3:uid="{D25EB473-C509-4673-93A1-A3654C369DFB}" name="QTà. CONSEGNATA" dataDxfId="141"/>
    <tableColumn id="4" xr3:uid="{5E68E389-E83D-4724-B29B-3073F1E2CD31}" name="LOTTO ASSEGNATO (INTERNO)" dataDxfId="140"/>
    <tableColumn id="6" xr3:uid="{22CF3B60-D5C0-4CC0-8652-7BACCBE461DC}" name="CONTROLLO QUALITA'                     (corpi estranei, infestanti, integrità ed etichettatura)" dataDxfId="139"/>
    <tableColumn id="14" xr3:uid="{155D20DF-1461-4D68-A39B-04EE53732C70}" name="PRODUZIONE PER CLIENTE" dataDxfId="138"/>
    <tableColumn id="8" xr3:uid="{74246727-0517-460E-BBE6-04842720C426}" name="QTà. UTILIZZATA" dataDxfId="137"/>
    <tableColumn id="9" xr3:uid="{DFC446E5-5CAF-4F1B-81E3-D02350F7A3B5}" name="QTà. GIACENTE" dataDxfId="136">
      <calculatedColumnFormula>Tabella1[[#This Row],[QTà. CONSEGNATA]]-Tabella1[[#This Row],[QTà. UTILIZZATA]]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B15644-7666-42CC-A8F3-71F76F45F324}" name="Tabella13" displayName="Tabella13" ref="B9:N54" totalsRowShown="0" headerRowDxfId="135" headerRowBorderDxfId="134" tableBorderDxfId="133" totalsRowBorderDxfId="132">
  <autoFilter ref="B9:N54" xr:uid="{8A5D8CE9-8E09-4F50-A5C2-8C00C6BA3C9B}"/>
  <tableColumns count="13">
    <tableColumn id="1" xr3:uid="{B091B449-0BEE-4675-9389-DA1D111ACC98}" name="NOME PRODOTTO" dataDxfId="131"/>
    <tableColumn id="12" xr3:uid="{7CDCF106-1741-445C-B2C6-468196A6B5E0}" name="DESCRIZIONE PRODOTTO" dataDxfId="130"/>
    <tableColumn id="11" xr3:uid="{5FE186FC-6537-41E0-8E1A-568F57F01DB3}" name="FORNITORE" dataDxfId="129"/>
    <tableColumn id="10" xr3:uid="{A31718FC-4104-48D7-B8E3-854AE661E6AD}" name="N° D.D.T" dataDxfId="128"/>
    <tableColumn id="2" xr3:uid="{C9328D83-20BE-4744-A5FF-99BB6ABFC158}" name="DATA D.D.T" dataDxfId="127"/>
    <tableColumn id="13" xr3:uid="{B1A67A9D-91C3-4438-89C9-7EA829E89D58}" name="DATA DI ARRIVO MERCE" dataDxfId="126"/>
    <tableColumn id="5" xr3:uid="{B7653EBD-05EC-4F92-A93D-00E6AC9D1BAF}" name="CODICE e LOTTO (FORNITORE)" dataDxfId="125"/>
    <tableColumn id="3" xr3:uid="{2AC24174-DE1F-4EAF-A7E1-4288B4C36BE1}" name="QTà. CONSEGNATA" dataDxfId="124"/>
    <tableColumn id="4" xr3:uid="{E62EC296-FD16-4959-8ACD-B30C4D4717F6}" name="LOTTO ASSEGNATO (INTERNO)" dataDxfId="123"/>
    <tableColumn id="6" xr3:uid="{12779BA5-9BDE-4EFF-98AC-4E3555F68418}" name="CONTROLLO QUALITA'                     (corpi estranei, infestanti, integrità ed etichettatura)" dataDxfId="122"/>
    <tableColumn id="14" xr3:uid="{938487A0-EE86-41E7-A927-04771B79B983}" name="PRODUZIONE PER CLIENTE" dataDxfId="121"/>
    <tableColumn id="8" xr3:uid="{6F3915AD-166B-4043-8DCF-41A44FB011AC}" name="QTà. UTILIZZATA" dataDxfId="120"/>
    <tableColumn id="9" xr3:uid="{07C31CE7-7CFF-4443-9F18-372A8FB393D1}" name="QTà. GIACENTE" dataDxfId="119">
      <calculatedColumnFormula>Tabella13[[#This Row],[QTà. CONSEGNATA]]-Tabella13[[#This Row],[QTà. UTILIZZATA]]</calculatedColumnFormula>
    </tableColumn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F8605B-3ECF-43DA-87D0-47AA8E7C1802}" name="Tabella134" displayName="Tabella134" ref="B9:N54" totalsRowShown="0" headerRowDxfId="118" headerRowBorderDxfId="117" tableBorderDxfId="116" totalsRowBorderDxfId="115">
  <autoFilter ref="B9:N54" xr:uid="{8A5D8CE9-8E09-4F50-A5C2-8C00C6BA3C9B}"/>
  <tableColumns count="13">
    <tableColumn id="1" xr3:uid="{67B00260-2889-40AA-84D6-1EF766A75E00}" name="NOME PRODOTTO" dataDxfId="114"/>
    <tableColumn id="12" xr3:uid="{8A6F2D9C-86FC-418D-9EDC-2C6398BA6793}" name="DESCRIZIONE PRODOTTO" dataDxfId="113"/>
    <tableColumn id="11" xr3:uid="{04737892-FF56-4EB6-8736-5122646C8D48}" name="FORNITORE" dataDxfId="112"/>
    <tableColumn id="10" xr3:uid="{268F1FE4-6137-4594-9E7D-DDDECF997776}" name="N° D.D.T" dataDxfId="111"/>
    <tableColumn id="2" xr3:uid="{8AC7CFA5-8384-40A7-9906-621CCE36AC50}" name="DATA D.D.T" dataDxfId="110"/>
    <tableColumn id="13" xr3:uid="{B306DFE2-FAB9-40A3-B20F-8C5883D32577}" name="DATA DI ARRIVO MERCE" dataDxfId="109"/>
    <tableColumn id="5" xr3:uid="{D077A0EA-1973-48FA-8FCA-B338257E498B}" name="CODICE e LOTTO (FORNITORE)" dataDxfId="108"/>
    <tableColumn id="3" xr3:uid="{678E7C42-8275-4C54-89F8-3D55EAB69471}" name="QTà. CONSEGNATA" dataDxfId="107"/>
    <tableColumn id="4" xr3:uid="{857CA8E3-E38C-4CCA-812D-0CDD9012F1AB}" name="LOTTO ASSEGNATO (INTERNO)" dataDxfId="106"/>
    <tableColumn id="6" xr3:uid="{F8942780-F0B7-447E-BE7C-811DD0CDEB7A}" name="CONTROLLO QUALITA'                     (corpi estranei, infestanti, integrità ed etichettatura)" dataDxfId="105"/>
    <tableColumn id="14" xr3:uid="{20CEDA42-3ED8-4D55-AF01-AB4A9CDF7C9D}" name="PRODUZIONE PER CLIENTE" dataDxfId="104"/>
    <tableColumn id="8" xr3:uid="{4B50D061-8A2D-4E77-B72D-1FBBCC63373A}" name="QTà. UTILIZZATA" dataDxfId="103"/>
    <tableColumn id="9" xr3:uid="{15CA59DA-E64E-4917-AAC9-0F268C4E767F}" name="QTà. GIACENTE" dataDxfId="102">
      <calculatedColumnFormula>Tabella134[[#This Row],[QTà. CONSEGNATA]]-Tabella134[[#This Row],[QTà. UTILIZZATA]]</calculatedColumnFormula>
    </tableColumn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0FDC52-1989-4462-BE49-030C4FE5FA98}" name="Tabella1345" displayName="Tabella1345" ref="B9:N54" totalsRowShown="0" headerRowDxfId="101" headerRowBorderDxfId="100" tableBorderDxfId="99" totalsRowBorderDxfId="98">
  <autoFilter ref="B9:N54" xr:uid="{8A5D8CE9-8E09-4F50-A5C2-8C00C6BA3C9B}"/>
  <tableColumns count="13">
    <tableColumn id="1" xr3:uid="{71171918-01A8-4B16-8FB4-C64863F72FAD}" name="NOME PRODOTTO" dataDxfId="97"/>
    <tableColumn id="12" xr3:uid="{02A645D3-E255-482B-87E0-E02CDA8BF05B}" name="DESCRIZIONE PRODOTTO" dataDxfId="96"/>
    <tableColumn id="11" xr3:uid="{B143C89B-8E22-4005-82A2-DEB567A10F1C}" name="FORNITORE" dataDxfId="95"/>
    <tableColumn id="10" xr3:uid="{ED757361-CB5A-4F75-ABF6-D76E1ED28322}" name="N° D.D.T" dataDxfId="94"/>
    <tableColumn id="2" xr3:uid="{C71204BC-6FBB-4039-8AA7-5AC022121B90}" name="DATA D.D.T" dataDxfId="93"/>
    <tableColumn id="13" xr3:uid="{0F83324C-25BC-446E-9A35-3D6DED635CC0}" name="DATA DI ARRIVO MERCE" dataDxfId="92"/>
    <tableColumn id="5" xr3:uid="{908F8F61-06D8-4AC8-8E9C-E616D9A0EE58}" name="CODICE e LOTTO (FORNITORE)" dataDxfId="91"/>
    <tableColumn id="3" xr3:uid="{A4FF61AD-3E7F-4927-9CD4-27DB81120D90}" name="QTà. CONSEGNATA" dataDxfId="90"/>
    <tableColumn id="4" xr3:uid="{CAF0280E-99FF-4385-8E5F-F9278A370595}" name="LOTTO ASSEGNATO (INTERNO)" dataDxfId="89"/>
    <tableColumn id="6" xr3:uid="{5479ACD8-5596-4187-8769-09F1F4119AA8}" name="CONTROLLO QUALITA'                     (corpi estranei, infestanti, integrità ed etichettatura)" dataDxfId="88"/>
    <tableColumn id="14" xr3:uid="{288006E6-694A-4F9E-ABAE-EA18D4586D05}" name="PRODUZIONE PER CLIENTE" dataDxfId="87"/>
    <tableColumn id="8" xr3:uid="{34503380-7483-4264-B1BA-0D757ACEA78C}" name="QTà. UTILIZZATA" dataDxfId="86"/>
    <tableColumn id="9" xr3:uid="{575A2215-7287-446E-96BF-CB7C2608C4BE}" name="QTà. GIACENTE" dataDxfId="85">
      <calculatedColumnFormula>Tabella1345[[#This Row],[QTà. CONSEGNATA]]-Tabella1345[[#This Row],[QTà. UTILIZZATA]]</calculatedColumnFormula>
    </tableColumn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599816-77D4-4BB0-88C0-D17199C09119}" name="Tabella13456" displayName="Tabella13456" ref="B9:N54" totalsRowShown="0" headerRowDxfId="84" headerRowBorderDxfId="83" tableBorderDxfId="82" totalsRowBorderDxfId="81">
  <autoFilter ref="B9:N54" xr:uid="{8A5D8CE9-8E09-4F50-A5C2-8C00C6BA3C9B}"/>
  <tableColumns count="13">
    <tableColumn id="1" xr3:uid="{15C1884E-521A-4BD8-989E-462CA4B62229}" name="NOME PRODOTTO" dataDxfId="80"/>
    <tableColumn id="12" xr3:uid="{C5304CF4-0C39-4E96-B64F-A44166F084E0}" name="DESCRIZIONE PRODOTTO" dataDxfId="79"/>
    <tableColumn id="11" xr3:uid="{F09BF3BC-CC07-49AF-B5AD-C608DBF9E9DE}" name="FORNITORE" dataDxfId="78"/>
    <tableColumn id="10" xr3:uid="{DE11CF2D-8B0B-4D82-A005-2CE5D403E7FB}" name="N° D.D.T" dataDxfId="77"/>
    <tableColumn id="2" xr3:uid="{751B057B-3075-436D-B964-FB1E0C105020}" name="DATA D.D.T" dataDxfId="76"/>
    <tableColumn id="13" xr3:uid="{C9C0010E-9F75-4232-A2F2-31F139389DF2}" name="DATA DI ARRIVO MERCE" dataDxfId="75"/>
    <tableColumn id="5" xr3:uid="{99F37677-C142-457A-8750-C587918A1657}" name="CODICE e LOTTO (FORNITORE)" dataDxfId="74"/>
    <tableColumn id="3" xr3:uid="{D1EF0334-199B-4DB7-8932-7D57B2235B2D}" name="QTà. CONSEGNATA" dataDxfId="73"/>
    <tableColumn id="4" xr3:uid="{70E26B1F-0892-4AC5-B364-B5C76BEE5159}" name="LOTTO ASSEGNATO (INTERNO)" dataDxfId="72"/>
    <tableColumn id="6" xr3:uid="{75BCE198-9A21-4CCE-A54A-2A2768875A0D}" name="CONTROLLO QUALITA'                     (corpi estranei, infestanti, integrità ed etichettatura)" dataDxfId="71"/>
    <tableColumn id="14" xr3:uid="{FA948557-3408-4B59-992D-E8548AD349CB}" name="PRODUZIONE PER CLIENTE" dataDxfId="70"/>
    <tableColumn id="8" xr3:uid="{F4163204-EE92-4931-B3EA-00DC4034882E}" name="QTà. UTILIZZATA" dataDxfId="69"/>
    <tableColumn id="9" xr3:uid="{4799FBE5-162C-4FB5-86D1-995A7CDFB4A0}" name="QTà. GIACENTE" dataDxfId="68">
      <calculatedColumnFormula>Tabella13456[[#This Row],[QTà. CONSEGNATA]]-Tabella13456[[#This Row],[QTà. UTILIZZATA]]</calculatedColumnFormula>
    </tableColumn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E99AA0-B3F3-4A8C-9278-3DE270DDDE65}" name="Tabella134567" displayName="Tabella134567" ref="B9:N54" totalsRowShown="0" headerRowDxfId="67" headerRowBorderDxfId="66" tableBorderDxfId="65" totalsRowBorderDxfId="64">
  <autoFilter ref="B9:N54" xr:uid="{8A5D8CE9-8E09-4F50-A5C2-8C00C6BA3C9B}"/>
  <tableColumns count="13">
    <tableColumn id="1" xr3:uid="{FC98F7F1-E8AA-4337-861C-CF117FCF6336}" name="NOME PRODOTTO" dataDxfId="63"/>
    <tableColumn id="12" xr3:uid="{F6132DD0-35A1-4A44-8E6A-1351F8DE93D9}" name="DESCRIZIONE PRODOTTO" dataDxfId="62"/>
    <tableColumn id="11" xr3:uid="{A24E9C2E-491A-405A-8277-4AD9C04124C1}" name="FORNITORE" dataDxfId="61"/>
    <tableColumn id="10" xr3:uid="{23E70D26-A9E6-4A38-A7A1-FE26C2B7C9C8}" name="N° D.D.T" dataDxfId="60"/>
    <tableColumn id="2" xr3:uid="{97D5ED63-CA31-4B6A-8323-A328D9235CB9}" name="DATA D.D.T" dataDxfId="59"/>
    <tableColumn id="13" xr3:uid="{AC071A0D-0E4D-4CDF-92F9-D74E92260DFE}" name="DATA DI ARRIVO MERCE" dataDxfId="58"/>
    <tableColumn id="5" xr3:uid="{8259A530-5DAF-4745-B90C-AF2DBC683CB4}" name="CODICE e LOTTO (FORNITORE)" dataDxfId="57"/>
    <tableColumn id="3" xr3:uid="{3A3CB581-8EEB-49A5-9473-D08AF0C4F230}" name="QTà. CONSEGNATA" dataDxfId="56"/>
    <tableColumn id="4" xr3:uid="{753F3554-16BD-4983-8664-DB74F9CE2A90}" name="LOTTO ASSEGNATO (INTERNO)" dataDxfId="55"/>
    <tableColumn id="6" xr3:uid="{6032F331-E893-49A9-BD1E-DF0ED8A9DCCC}" name="CONTROLLO QUALITA'                     (corpi estranei, infestanti, integrità ed etichettatura)" dataDxfId="54"/>
    <tableColumn id="14" xr3:uid="{56BC79EA-4FDE-4BB1-8734-35F6CB74370F}" name="PRODUZIONE PER CLIENTE" dataDxfId="53"/>
    <tableColumn id="8" xr3:uid="{C8236A4D-ECA3-47D6-B383-13AFB6B6EE27}" name="QTà. UTILIZZATA" dataDxfId="52"/>
    <tableColumn id="9" xr3:uid="{FFDF8F41-3220-4BAB-B1B0-B66A7AE4985C}" name="QTà. GIACENTE" dataDxfId="51">
      <calculatedColumnFormula>Tabella134567[[#This Row],[QTà. CONSEGNATA]]-Tabella134567[[#This Row],[QTà. UTILIZZATA]]</calculatedColumnFormula>
    </tableColumn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8C0B6F-CFC3-43AD-A593-E1F945D333F4}" name="Tabella1345678" displayName="Tabella1345678" ref="B9:N54" totalsRowShown="0" headerRowDxfId="50" headerRowBorderDxfId="49" tableBorderDxfId="48" totalsRowBorderDxfId="47">
  <autoFilter ref="B9:N54" xr:uid="{8A5D8CE9-8E09-4F50-A5C2-8C00C6BA3C9B}"/>
  <tableColumns count="13">
    <tableColumn id="1" xr3:uid="{F46A34E1-C3EA-46A1-82C4-0E601D4FA9F8}" name="NOME PRODOTTO" dataDxfId="46"/>
    <tableColumn id="12" xr3:uid="{F4270331-9D48-424D-942D-65FF06C91D41}" name="DESCRIZIONE PRODOTTO" dataDxfId="45"/>
    <tableColumn id="11" xr3:uid="{1A948249-78C6-4F5C-A1D7-0CF97DEA782A}" name="FORNITORE" dataDxfId="44"/>
    <tableColumn id="10" xr3:uid="{E756001E-2C7B-4A42-A5FE-71B63D26F0A0}" name="N° D.D.T" dataDxfId="43"/>
    <tableColumn id="2" xr3:uid="{31BF0859-8D79-40FF-9CA5-BA7C025EC841}" name="DATA D.D.T" dataDxfId="42"/>
    <tableColumn id="13" xr3:uid="{7BA26B62-EC85-4DF8-B247-9608F2F161D5}" name="DATA DI ARRIVO MERCE" dataDxfId="41"/>
    <tableColumn id="5" xr3:uid="{81459D28-8731-47AD-8F5E-5351A184A7D3}" name="CODICE e LOTTO (FORNITORE)" dataDxfId="40"/>
    <tableColumn id="3" xr3:uid="{D30A027D-1F9D-4C27-B005-B0940D68B569}" name="QTà. CONSEGNATA" dataDxfId="39"/>
    <tableColumn id="4" xr3:uid="{171B13F3-A56D-4E51-AE41-EC9A3B82CBE1}" name="LOTTO ASSEGNATO (INTERNO)" dataDxfId="38"/>
    <tableColumn id="6" xr3:uid="{FC256819-C18D-408E-9109-AF099ABF3B17}" name="CONTROLLO QUALITA'                     (corpi estranei, infestanti, integrità ed etichettatura)" dataDxfId="37"/>
    <tableColumn id="14" xr3:uid="{FFC71547-56CF-436E-9F56-6C4BAD125199}" name="PRODUZIONE PER CLIENTE" dataDxfId="36"/>
    <tableColumn id="8" xr3:uid="{89A52881-BFA0-4EFB-B89C-45EB092263AE}" name="QTà. UTILIZZATA" dataDxfId="35"/>
    <tableColumn id="9" xr3:uid="{0DDBAF31-3D14-4319-8E01-87C201C62B36}" name="QTà. GIACENTE" dataDxfId="34">
      <calculatedColumnFormula>Tabella1345678[[#This Row],[QTà. CONSEGNATA]]-Tabella1345678[[#This Row],[QTà. UTILIZZATA]]</calculatedColumnFormula>
    </tableColumn>
  </tableColumns>
  <tableStyleInfo name="TableStyleLight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9115C04-EC52-454B-A6E3-E0E7397D87C3}" name="Tabella13456789" displayName="Tabella13456789" ref="B9:N54" totalsRowShown="0" headerRowDxfId="33" headerRowBorderDxfId="32" tableBorderDxfId="31" totalsRowBorderDxfId="30">
  <autoFilter ref="B9:N54" xr:uid="{8A5D8CE9-8E09-4F50-A5C2-8C00C6BA3C9B}"/>
  <tableColumns count="13">
    <tableColumn id="1" xr3:uid="{AADFF666-955B-4A9C-8D94-0AA0F5DE82B1}" name="NOME PRODOTTO" dataDxfId="29"/>
    <tableColumn id="12" xr3:uid="{A955C267-DD0D-4F97-82B6-971C96BB367B}" name="DESCRIZIONE PRODOTTO" dataDxfId="28"/>
    <tableColumn id="11" xr3:uid="{8A7B3781-D6AE-43ED-8E5E-9C13B9714B3E}" name="FORNITORE" dataDxfId="27"/>
    <tableColumn id="10" xr3:uid="{2C2F90AA-8C3F-452B-92F9-F95C636ED419}" name="N° D.D.T" dataDxfId="26"/>
    <tableColumn id="2" xr3:uid="{0CDB726A-E8CB-47D5-9725-5908B7AA2DD4}" name="DATA D.D.T" dataDxfId="25"/>
    <tableColumn id="13" xr3:uid="{9E68EA9A-1A2A-403D-9D70-567D05023CCD}" name="DATA DI ARRIVO MERCE" dataDxfId="24"/>
    <tableColumn id="5" xr3:uid="{61119EA8-58A3-4A98-BB71-805B5EEE4628}" name="CODICE e LOTTO (FORNITORE)" dataDxfId="23"/>
    <tableColumn id="3" xr3:uid="{EE46E574-3EE3-4F19-A192-C258DEBDFFD6}" name="QTà. CONSEGNATA" dataDxfId="22"/>
    <tableColumn id="4" xr3:uid="{9274DB60-19EB-4236-B62E-0A05DF558B92}" name="LOTTO ASSEGNATO (INTERNO)" dataDxfId="21"/>
    <tableColumn id="6" xr3:uid="{775D77A7-5912-4149-9C65-4EF5FA891B9E}" name="CONTROLLO QUALITA'                     (corpi estranei, infestanti, integrità ed etichettatura)" dataDxfId="20"/>
    <tableColumn id="14" xr3:uid="{2FB0C664-B1C3-428F-A9C8-3C4B22CBA932}" name="PRODUZIONE PER CLIENTE" dataDxfId="19"/>
    <tableColumn id="8" xr3:uid="{08E76F8C-F36F-4E86-8889-3ED49A51F44D}" name="QTà. UTILIZZATA" dataDxfId="18"/>
    <tableColumn id="9" xr3:uid="{642DACA8-73E3-4851-B9B7-EF519DF22D31}" name="QTà. GIACENTE" dataDxfId="17">
      <calculatedColumnFormula>Tabella13456789[[#This Row],[QTà. CONSEGNATA]]-Tabella13456789[[#This Row],[QTà. UTILIZZATA]]</calculatedColumnFormula>
    </tableColumn>
  </tableColumns>
  <tableStyleInfo name="TableStyleLight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B6597EA-AAA0-4A3D-8F0D-9FA43EB63DBF}" name="Tabella1345678910" displayName="Tabella1345678910" ref="B9:N54" totalsRowShown="0" headerRowDxfId="16" headerRowBorderDxfId="15" tableBorderDxfId="14" totalsRowBorderDxfId="13">
  <autoFilter ref="B9:N54" xr:uid="{8A5D8CE9-8E09-4F50-A5C2-8C00C6BA3C9B}"/>
  <tableColumns count="13">
    <tableColumn id="1" xr3:uid="{16F7A200-8031-49C5-AE07-990E03333748}" name="NOME PRODOTTO" dataDxfId="12"/>
    <tableColumn id="12" xr3:uid="{0AF6B7C8-8B47-4519-9E2E-56601495A9B0}" name="DESCRIZIONE PRODOTTO" dataDxfId="11"/>
    <tableColumn id="11" xr3:uid="{A2EFA4D2-FF23-444D-9C2E-C1D35C5120CE}" name="FORNITORE" dataDxfId="10"/>
    <tableColumn id="10" xr3:uid="{BB211EED-C5A8-48CA-9260-25731F7B91C2}" name="N° D.D.T" dataDxfId="9"/>
    <tableColumn id="2" xr3:uid="{CF48C9AF-E767-4EBE-B353-87673175759A}" name="DATA D.D.T" dataDxfId="8"/>
    <tableColumn id="13" xr3:uid="{D1024815-61E0-4803-A156-373293869F3E}" name="DATA DI ARRIVO MERCE" dataDxfId="7"/>
    <tableColumn id="5" xr3:uid="{78773088-0B1A-4176-BB34-92F452C45810}" name="CODICE e LOTTO (FORNITORE)" dataDxfId="6"/>
    <tableColumn id="3" xr3:uid="{0A17B69F-5CA1-4465-9C6E-CBFA8BDA5068}" name="QTà. CONSEGNATA" dataDxfId="5"/>
    <tableColumn id="4" xr3:uid="{26B99E95-1C2E-4076-83E5-B429A126680A}" name="LOTTO ASSEGNATO (INTERNO)" dataDxfId="4"/>
    <tableColumn id="6" xr3:uid="{F8B4A9E0-5875-4948-9E83-D2BBA90DD3F8}" name="CONTROLLO QUALITA'                     (corpi estranei, infestanti, integrità ed etichettatura)" dataDxfId="3"/>
    <tableColumn id="14" xr3:uid="{D2D5BED9-4C6C-43F3-A6E8-4F1E71C653BC}" name="PRODUZIONE PER CLIENTE" dataDxfId="2"/>
    <tableColumn id="8" xr3:uid="{650F0AC6-2CDC-40D9-B776-D0A5223AC19B}" name="QTà. UTILIZZATA" dataDxfId="1"/>
    <tableColumn id="9" xr3:uid="{699225D0-3FC4-4D68-86EF-7C4B6163CA82}" name="QTà. GIACENTE" dataDxfId="0">
      <calculatedColumnFormula>Tabella1345678910[[#This Row],[QTà. CONSEGNATA]]-Tabella1345678910[[#This Row],[QTà. UTILIZZATA]]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54"/>
  <sheetViews>
    <sheetView workbookViewId="0">
      <selection activeCell="F1" sqref="F1:L2"/>
    </sheetView>
  </sheetViews>
  <sheetFormatPr defaultRowHeight="15" x14ac:dyDescent="0.25"/>
  <cols>
    <col min="2" max="3" width="14.7109375" customWidth="1"/>
    <col min="4" max="5" width="12.28515625" customWidth="1"/>
    <col min="6" max="6" width="15.5703125" bestFit="1" customWidth="1"/>
    <col min="7" max="8" width="15.5703125" customWidth="1"/>
    <col min="9" max="9" width="16.42578125" bestFit="1" customWidth="1"/>
    <col min="10" max="10" width="20" bestFit="1" customWidth="1"/>
    <col min="11" max="11" width="26.85546875" customWidth="1"/>
    <col min="12" max="12" width="20" customWidth="1"/>
    <col min="13" max="13" width="15.5703125" bestFit="1" customWidth="1"/>
    <col min="14" max="14" width="14.42578125" style="1" bestFit="1" customWidth="1"/>
  </cols>
  <sheetData>
    <row r="1" spans="2:14" ht="15" customHeight="1" x14ac:dyDescent="0.25">
      <c r="B1" s="26" t="s">
        <v>13</v>
      </c>
      <c r="C1" s="27"/>
      <c r="D1" s="27"/>
      <c r="E1" s="28"/>
      <c r="F1" s="32" t="s">
        <v>17</v>
      </c>
      <c r="G1" s="27"/>
      <c r="H1" s="27"/>
      <c r="I1" s="27"/>
      <c r="J1" s="27"/>
      <c r="K1" s="27"/>
      <c r="L1" s="27"/>
      <c r="M1" s="22" t="s">
        <v>16</v>
      </c>
      <c r="N1" s="23"/>
    </row>
    <row r="2" spans="2:14" ht="15.75" customHeight="1" thickBot="1" x14ac:dyDescent="0.3">
      <c r="B2" s="29"/>
      <c r="C2" s="30"/>
      <c r="D2" s="30"/>
      <c r="E2" s="31"/>
      <c r="F2" s="33"/>
      <c r="G2" s="30"/>
      <c r="H2" s="30"/>
      <c r="I2" s="30"/>
      <c r="J2" s="30"/>
      <c r="K2" s="30"/>
      <c r="L2" s="30"/>
      <c r="M2" s="24"/>
      <c r="N2" s="25"/>
    </row>
    <row r="3" spans="2:14" ht="15.75" x14ac:dyDescent="0.25">
      <c r="B3" s="34" t="s">
        <v>19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6"/>
    </row>
    <row r="4" spans="2:14" ht="15.75" x14ac:dyDescent="0.25">
      <c r="B4" s="16" t="s">
        <v>9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8"/>
    </row>
    <row r="5" spans="2:14" ht="15.75" x14ac:dyDescent="0.25">
      <c r="B5" s="16" t="s">
        <v>0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</row>
    <row r="6" spans="2:14" ht="16.5" thickBot="1" x14ac:dyDescent="0.3">
      <c r="B6" s="19" t="s">
        <v>1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1"/>
    </row>
    <row r="9" spans="2:14" s="2" customFormat="1" ht="45" x14ac:dyDescent="0.25">
      <c r="B9" s="5" t="s">
        <v>15</v>
      </c>
      <c r="C9" s="5" t="s">
        <v>14</v>
      </c>
      <c r="D9" s="5" t="s">
        <v>10</v>
      </c>
      <c r="E9" s="5" t="s">
        <v>3</v>
      </c>
      <c r="F9" s="3" t="s">
        <v>2</v>
      </c>
      <c r="G9" s="3" t="s">
        <v>4</v>
      </c>
      <c r="H9" s="3" t="s">
        <v>12</v>
      </c>
      <c r="I9" s="3" t="s">
        <v>5</v>
      </c>
      <c r="J9" s="3" t="s">
        <v>11</v>
      </c>
      <c r="K9" s="3" t="s">
        <v>21</v>
      </c>
      <c r="L9" s="3" t="s">
        <v>6</v>
      </c>
      <c r="M9" s="3" t="s">
        <v>7</v>
      </c>
      <c r="N9" s="7" t="s">
        <v>8</v>
      </c>
    </row>
    <row r="10" spans="2:14" x14ac:dyDescent="0.25">
      <c r="B10" s="10"/>
      <c r="C10" s="10"/>
      <c r="D10" s="10"/>
      <c r="E10" s="10"/>
      <c r="F10" s="11"/>
      <c r="G10" s="11"/>
      <c r="H10" s="11"/>
      <c r="I10" s="11"/>
      <c r="J10" s="11"/>
      <c r="K10" s="15" t="s">
        <v>20</v>
      </c>
      <c r="L10" s="11"/>
      <c r="M10" s="11"/>
      <c r="N10" s="12">
        <f>Tabella1[[#This Row],[QTà. CONSEGNATA]]-Tabella1[[#This Row],[QTà. UTILIZZATA]]</f>
        <v>0</v>
      </c>
    </row>
    <row r="11" spans="2:14" x14ac:dyDescent="0.25">
      <c r="B11" s="6"/>
      <c r="C11" s="6"/>
      <c r="D11" s="6"/>
      <c r="E11" s="6"/>
      <c r="F11" s="4"/>
      <c r="G11" s="4"/>
      <c r="H11" s="4"/>
      <c r="I11" s="4"/>
      <c r="J11" s="4"/>
      <c r="K11" s="15" t="s">
        <v>20</v>
      </c>
      <c r="L11" s="4"/>
      <c r="M11" s="4"/>
      <c r="N11" s="13">
        <f>Tabella1[[#This Row],[QTà. CONSEGNATA]]-Tabella1[[#This Row],[QTà. UTILIZZATA]]</f>
        <v>0</v>
      </c>
    </row>
    <row r="12" spans="2:14" x14ac:dyDescent="0.25">
      <c r="B12" s="6"/>
      <c r="C12" s="6"/>
      <c r="D12" s="6"/>
      <c r="E12" s="6"/>
      <c r="F12" s="4"/>
      <c r="G12" s="4"/>
      <c r="H12" s="4"/>
      <c r="I12" s="4"/>
      <c r="J12" s="4"/>
      <c r="K12" s="15" t="s">
        <v>20</v>
      </c>
      <c r="L12" s="4"/>
      <c r="M12" s="4"/>
      <c r="N12" s="13">
        <f>Tabella1[[#This Row],[QTà. CONSEGNATA]]-Tabella1[[#This Row],[QTà. UTILIZZATA]]</f>
        <v>0</v>
      </c>
    </row>
    <row r="13" spans="2:14" x14ac:dyDescent="0.25">
      <c r="B13" s="6"/>
      <c r="C13" s="6"/>
      <c r="D13" s="6"/>
      <c r="E13" s="6"/>
      <c r="F13" s="4"/>
      <c r="G13" s="4"/>
      <c r="H13" s="4"/>
      <c r="I13" s="4"/>
      <c r="J13" s="4"/>
      <c r="K13" s="15" t="s">
        <v>20</v>
      </c>
      <c r="L13" s="4"/>
      <c r="M13" s="4"/>
      <c r="N13" s="13">
        <f>Tabella1[[#This Row],[QTà. CONSEGNATA]]-Tabella1[[#This Row],[QTà. UTILIZZATA]]</f>
        <v>0</v>
      </c>
    </row>
    <row r="14" spans="2:14" x14ac:dyDescent="0.25">
      <c r="B14" s="6"/>
      <c r="C14" s="6"/>
      <c r="D14" s="6"/>
      <c r="E14" s="6"/>
      <c r="F14" s="4"/>
      <c r="G14" s="4"/>
      <c r="H14" s="4"/>
      <c r="I14" s="4"/>
      <c r="J14" s="4"/>
      <c r="K14" s="15" t="s">
        <v>20</v>
      </c>
      <c r="L14" s="4"/>
      <c r="M14" s="4"/>
      <c r="N14" s="13">
        <f>Tabella1[[#This Row],[QTà. CONSEGNATA]]-Tabella1[[#This Row],[QTà. UTILIZZATA]]</f>
        <v>0</v>
      </c>
    </row>
    <row r="15" spans="2:14" x14ac:dyDescent="0.25">
      <c r="B15" s="6"/>
      <c r="C15" s="6"/>
      <c r="D15" s="6"/>
      <c r="E15" s="6"/>
      <c r="F15" s="4"/>
      <c r="G15" s="4"/>
      <c r="H15" s="4"/>
      <c r="I15" s="4"/>
      <c r="J15" s="4"/>
      <c r="K15" s="15" t="s">
        <v>20</v>
      </c>
      <c r="L15" s="4"/>
      <c r="M15" s="4"/>
      <c r="N15" s="13">
        <f>Tabella1[[#This Row],[QTà. CONSEGNATA]]-Tabella1[[#This Row],[QTà. UTILIZZATA]]</f>
        <v>0</v>
      </c>
    </row>
    <row r="16" spans="2:14" x14ac:dyDescent="0.25">
      <c r="B16" s="6"/>
      <c r="C16" s="6"/>
      <c r="D16" s="6"/>
      <c r="E16" s="6"/>
      <c r="F16" s="4"/>
      <c r="G16" s="4"/>
      <c r="H16" s="4"/>
      <c r="I16" s="4"/>
      <c r="J16" s="4"/>
      <c r="K16" s="15" t="s">
        <v>20</v>
      </c>
      <c r="L16" s="4"/>
      <c r="M16" s="4"/>
      <c r="N16" s="13">
        <f>Tabella1[[#This Row],[QTà. CONSEGNATA]]-Tabella1[[#This Row],[QTà. UTILIZZATA]]</f>
        <v>0</v>
      </c>
    </row>
    <row r="17" spans="2:14" x14ac:dyDescent="0.25">
      <c r="B17" s="6"/>
      <c r="C17" s="6"/>
      <c r="D17" s="6"/>
      <c r="E17" s="6"/>
      <c r="F17" s="4"/>
      <c r="G17" s="4"/>
      <c r="H17" s="4"/>
      <c r="I17" s="4"/>
      <c r="J17" s="4"/>
      <c r="K17" s="15" t="s">
        <v>20</v>
      </c>
      <c r="L17" s="4"/>
      <c r="M17" s="4"/>
      <c r="N17" s="13">
        <f>Tabella1[[#This Row],[QTà. CONSEGNATA]]-Tabella1[[#This Row],[QTà. UTILIZZATA]]</f>
        <v>0</v>
      </c>
    </row>
    <row r="18" spans="2:14" x14ac:dyDescent="0.25">
      <c r="B18" s="6"/>
      <c r="C18" s="6"/>
      <c r="D18" s="6"/>
      <c r="E18" s="6"/>
      <c r="F18" s="4"/>
      <c r="G18" s="4"/>
      <c r="H18" s="4"/>
      <c r="I18" s="4"/>
      <c r="J18" s="4"/>
      <c r="K18" s="15" t="s">
        <v>20</v>
      </c>
      <c r="L18" s="4"/>
      <c r="M18" s="4"/>
      <c r="N18" s="13">
        <f>Tabella1[[#This Row],[QTà. CONSEGNATA]]-Tabella1[[#This Row],[QTà. UTILIZZATA]]</f>
        <v>0</v>
      </c>
    </row>
    <row r="19" spans="2:14" x14ac:dyDescent="0.25">
      <c r="B19" s="6"/>
      <c r="C19" s="6"/>
      <c r="D19" s="6"/>
      <c r="E19" s="6"/>
      <c r="F19" s="4"/>
      <c r="G19" s="4"/>
      <c r="H19" s="4"/>
      <c r="I19" s="4"/>
      <c r="J19" s="4"/>
      <c r="K19" s="15" t="s">
        <v>20</v>
      </c>
      <c r="L19" s="4"/>
      <c r="M19" s="4"/>
      <c r="N19" s="13">
        <f>Tabella1[[#This Row],[QTà. CONSEGNATA]]-Tabella1[[#This Row],[QTà. UTILIZZATA]]</f>
        <v>0</v>
      </c>
    </row>
    <row r="20" spans="2:14" x14ac:dyDescent="0.25">
      <c r="B20" s="6"/>
      <c r="C20" s="6"/>
      <c r="D20" s="6"/>
      <c r="E20" s="6"/>
      <c r="F20" s="4"/>
      <c r="G20" s="4"/>
      <c r="H20" s="4"/>
      <c r="I20" s="4"/>
      <c r="J20" s="4"/>
      <c r="K20" s="15" t="s">
        <v>20</v>
      </c>
      <c r="L20" s="4"/>
      <c r="M20" s="4"/>
      <c r="N20" s="13">
        <f>Tabella1[[#This Row],[QTà. CONSEGNATA]]-Tabella1[[#This Row],[QTà. UTILIZZATA]]</f>
        <v>0</v>
      </c>
    </row>
    <row r="21" spans="2:14" x14ac:dyDescent="0.25">
      <c r="B21" s="6"/>
      <c r="C21" s="6"/>
      <c r="D21" s="6"/>
      <c r="E21" s="6"/>
      <c r="F21" s="4"/>
      <c r="G21" s="4"/>
      <c r="H21" s="4"/>
      <c r="I21" s="4"/>
      <c r="J21" s="4"/>
      <c r="K21" s="15" t="s">
        <v>20</v>
      </c>
      <c r="L21" s="4"/>
      <c r="M21" s="4"/>
      <c r="N21" s="13">
        <f>Tabella1[[#This Row],[QTà. CONSEGNATA]]-Tabella1[[#This Row],[QTà. UTILIZZATA]]</f>
        <v>0</v>
      </c>
    </row>
    <row r="22" spans="2:14" x14ac:dyDescent="0.25">
      <c r="B22" s="6"/>
      <c r="C22" s="6"/>
      <c r="D22" s="6"/>
      <c r="E22" s="6"/>
      <c r="F22" s="4"/>
      <c r="G22" s="4"/>
      <c r="H22" s="4"/>
      <c r="I22" s="4"/>
      <c r="J22" s="4"/>
      <c r="K22" s="15" t="s">
        <v>20</v>
      </c>
      <c r="L22" s="4"/>
      <c r="M22" s="4"/>
      <c r="N22" s="13">
        <f>Tabella1[[#This Row],[QTà. CONSEGNATA]]-Tabella1[[#This Row],[QTà. UTILIZZATA]]</f>
        <v>0</v>
      </c>
    </row>
    <row r="23" spans="2:14" x14ac:dyDescent="0.25">
      <c r="B23" s="6"/>
      <c r="C23" s="6"/>
      <c r="D23" s="6"/>
      <c r="E23" s="6"/>
      <c r="F23" s="4"/>
      <c r="G23" s="4"/>
      <c r="H23" s="4"/>
      <c r="I23" s="4"/>
      <c r="J23" s="4"/>
      <c r="K23" s="15" t="s">
        <v>20</v>
      </c>
      <c r="L23" s="4"/>
      <c r="M23" s="4"/>
      <c r="N23" s="13">
        <f>Tabella1[[#This Row],[QTà. CONSEGNATA]]-Tabella1[[#This Row],[QTà. UTILIZZATA]]</f>
        <v>0</v>
      </c>
    </row>
    <row r="24" spans="2:14" x14ac:dyDescent="0.25">
      <c r="B24" s="6"/>
      <c r="C24" s="6"/>
      <c r="D24" s="6"/>
      <c r="E24" s="6"/>
      <c r="F24" s="4"/>
      <c r="G24" s="4"/>
      <c r="H24" s="4"/>
      <c r="I24" s="4"/>
      <c r="J24" s="4"/>
      <c r="K24" s="15" t="s">
        <v>20</v>
      </c>
      <c r="L24" s="4"/>
      <c r="M24" s="4"/>
      <c r="N24" s="13">
        <f>Tabella1[[#This Row],[QTà. CONSEGNATA]]-Tabella1[[#This Row],[QTà. UTILIZZATA]]</f>
        <v>0</v>
      </c>
    </row>
    <row r="25" spans="2:14" x14ac:dyDescent="0.25">
      <c r="B25" s="6"/>
      <c r="C25" s="6"/>
      <c r="D25" s="6"/>
      <c r="E25" s="6"/>
      <c r="F25" s="4"/>
      <c r="G25" s="4"/>
      <c r="H25" s="4"/>
      <c r="I25" s="4"/>
      <c r="J25" s="4"/>
      <c r="K25" s="15" t="s">
        <v>20</v>
      </c>
      <c r="L25" s="4"/>
      <c r="M25" s="4"/>
      <c r="N25" s="13">
        <f>Tabella1[[#This Row],[QTà. CONSEGNATA]]-Tabella1[[#This Row],[QTà. UTILIZZATA]]</f>
        <v>0</v>
      </c>
    </row>
    <row r="26" spans="2:14" x14ac:dyDescent="0.25">
      <c r="B26" s="6"/>
      <c r="C26" s="6"/>
      <c r="D26" s="6"/>
      <c r="E26" s="6"/>
      <c r="F26" s="4"/>
      <c r="G26" s="4"/>
      <c r="H26" s="4"/>
      <c r="I26" s="4"/>
      <c r="J26" s="4"/>
      <c r="K26" s="15" t="s">
        <v>20</v>
      </c>
      <c r="L26" s="4"/>
      <c r="M26" s="4"/>
      <c r="N26" s="13">
        <f>Tabella1[[#This Row],[QTà. CONSEGNATA]]-Tabella1[[#This Row],[QTà. UTILIZZATA]]</f>
        <v>0</v>
      </c>
    </row>
    <row r="27" spans="2:14" x14ac:dyDescent="0.25">
      <c r="B27" s="6"/>
      <c r="C27" s="6"/>
      <c r="D27" s="6"/>
      <c r="E27" s="6"/>
      <c r="F27" s="4"/>
      <c r="G27" s="4"/>
      <c r="H27" s="4"/>
      <c r="I27" s="4"/>
      <c r="J27" s="4"/>
      <c r="K27" s="15" t="s">
        <v>20</v>
      </c>
      <c r="L27" s="4"/>
      <c r="M27" s="4"/>
      <c r="N27" s="13">
        <f>Tabella1[[#This Row],[QTà. CONSEGNATA]]-Tabella1[[#This Row],[QTà. UTILIZZATA]]</f>
        <v>0</v>
      </c>
    </row>
    <row r="28" spans="2:14" x14ac:dyDescent="0.25">
      <c r="B28" s="6"/>
      <c r="C28" s="6"/>
      <c r="D28" s="6"/>
      <c r="E28" s="6"/>
      <c r="F28" s="4"/>
      <c r="G28" s="4"/>
      <c r="H28" s="4"/>
      <c r="I28" s="4"/>
      <c r="J28" s="4"/>
      <c r="K28" s="15" t="s">
        <v>20</v>
      </c>
      <c r="L28" s="4"/>
      <c r="M28" s="4"/>
      <c r="N28" s="13">
        <f>Tabella1[[#This Row],[QTà. CONSEGNATA]]-Tabella1[[#This Row],[QTà. UTILIZZATA]]</f>
        <v>0</v>
      </c>
    </row>
    <row r="29" spans="2:14" x14ac:dyDescent="0.25">
      <c r="B29" s="6"/>
      <c r="C29" s="6"/>
      <c r="D29" s="6"/>
      <c r="E29" s="6"/>
      <c r="F29" s="4"/>
      <c r="G29" s="4"/>
      <c r="H29" s="4"/>
      <c r="I29" s="4"/>
      <c r="J29" s="4"/>
      <c r="K29" s="15" t="s">
        <v>20</v>
      </c>
      <c r="L29" s="4"/>
      <c r="M29" s="4"/>
      <c r="N29" s="13">
        <f>Tabella1[[#This Row],[QTà. CONSEGNATA]]-Tabella1[[#This Row],[QTà. UTILIZZATA]]</f>
        <v>0</v>
      </c>
    </row>
    <row r="30" spans="2:14" x14ac:dyDescent="0.25">
      <c r="B30" s="6"/>
      <c r="C30" s="6"/>
      <c r="D30" s="6"/>
      <c r="E30" s="6"/>
      <c r="F30" s="4"/>
      <c r="G30" s="4"/>
      <c r="H30" s="4"/>
      <c r="I30" s="4"/>
      <c r="J30" s="4"/>
      <c r="K30" s="15" t="s">
        <v>20</v>
      </c>
      <c r="L30" s="4"/>
      <c r="M30" s="4"/>
      <c r="N30" s="13">
        <f>Tabella1[[#This Row],[QTà. CONSEGNATA]]-Tabella1[[#This Row],[QTà. UTILIZZATA]]</f>
        <v>0</v>
      </c>
    </row>
    <row r="31" spans="2:14" x14ac:dyDescent="0.25">
      <c r="B31" s="6"/>
      <c r="C31" s="6"/>
      <c r="D31" s="6"/>
      <c r="E31" s="6"/>
      <c r="F31" s="4"/>
      <c r="G31" s="4"/>
      <c r="H31" s="4"/>
      <c r="I31" s="4"/>
      <c r="J31" s="4"/>
      <c r="K31" s="15" t="s">
        <v>20</v>
      </c>
      <c r="L31" s="4"/>
      <c r="M31" s="4"/>
      <c r="N31" s="13">
        <f>Tabella1[[#This Row],[QTà. CONSEGNATA]]-Tabella1[[#This Row],[QTà. UTILIZZATA]]</f>
        <v>0</v>
      </c>
    </row>
    <row r="32" spans="2:14" x14ac:dyDescent="0.25">
      <c r="B32" s="6"/>
      <c r="C32" s="6"/>
      <c r="D32" s="6"/>
      <c r="E32" s="6"/>
      <c r="F32" s="4"/>
      <c r="G32" s="4"/>
      <c r="H32" s="4"/>
      <c r="I32" s="4"/>
      <c r="J32" s="4"/>
      <c r="K32" s="15" t="s">
        <v>20</v>
      </c>
      <c r="L32" s="4"/>
      <c r="M32" s="4"/>
      <c r="N32" s="13">
        <f>Tabella1[[#This Row],[QTà. CONSEGNATA]]-Tabella1[[#This Row],[QTà. UTILIZZATA]]</f>
        <v>0</v>
      </c>
    </row>
    <row r="33" spans="2:14" x14ac:dyDescent="0.25">
      <c r="B33" s="8"/>
      <c r="C33" s="8"/>
      <c r="D33" s="8"/>
      <c r="E33" s="8"/>
      <c r="F33" s="9"/>
      <c r="G33" s="9"/>
      <c r="H33" s="9"/>
      <c r="I33" s="9"/>
      <c r="J33" s="9"/>
      <c r="K33" s="15" t="s">
        <v>20</v>
      </c>
      <c r="L33" s="9"/>
      <c r="M33" s="9"/>
      <c r="N33" s="14">
        <f>Tabella1[[#This Row],[QTà. CONSEGNATA]]-Tabella1[[#This Row],[QTà. UTILIZZATA]]</f>
        <v>0</v>
      </c>
    </row>
    <row r="34" spans="2:14" x14ac:dyDescent="0.25">
      <c r="B34" s="6"/>
      <c r="C34" s="6"/>
      <c r="D34" s="6"/>
      <c r="E34" s="6"/>
      <c r="F34" s="4"/>
      <c r="G34" s="4"/>
      <c r="H34" s="4"/>
      <c r="I34" s="4"/>
      <c r="J34" s="4"/>
      <c r="K34" s="15" t="s">
        <v>20</v>
      </c>
      <c r="L34" s="4"/>
      <c r="M34" s="4"/>
      <c r="N34" s="14">
        <f>Tabella1[[#This Row],[QTà. CONSEGNATA]]-Tabella1[[#This Row],[QTà. UTILIZZATA]]</f>
        <v>0</v>
      </c>
    </row>
    <row r="35" spans="2:14" x14ac:dyDescent="0.25">
      <c r="B35" s="6"/>
      <c r="C35" s="6"/>
      <c r="D35" s="6"/>
      <c r="E35" s="6"/>
      <c r="F35" s="4"/>
      <c r="G35" s="4"/>
      <c r="H35" s="4"/>
      <c r="I35" s="4"/>
      <c r="J35" s="4"/>
      <c r="K35" s="15" t="s">
        <v>20</v>
      </c>
      <c r="L35" s="4"/>
      <c r="M35" s="4"/>
      <c r="N35" s="14">
        <f>Tabella1[[#This Row],[QTà. CONSEGNATA]]-Tabella1[[#This Row],[QTà. UTILIZZATA]]</f>
        <v>0</v>
      </c>
    </row>
    <row r="36" spans="2:14" x14ac:dyDescent="0.25">
      <c r="B36" s="6"/>
      <c r="C36" s="6"/>
      <c r="D36" s="6"/>
      <c r="E36" s="6"/>
      <c r="F36" s="4"/>
      <c r="G36" s="4"/>
      <c r="H36" s="4"/>
      <c r="I36" s="4"/>
      <c r="J36" s="4"/>
      <c r="K36" s="15" t="s">
        <v>20</v>
      </c>
      <c r="L36" s="4"/>
      <c r="M36" s="4"/>
      <c r="N36" s="14">
        <f>Tabella1[[#This Row],[QTà. CONSEGNATA]]-Tabella1[[#This Row],[QTà. UTILIZZATA]]</f>
        <v>0</v>
      </c>
    </row>
    <row r="37" spans="2:14" x14ac:dyDescent="0.25">
      <c r="B37" s="6"/>
      <c r="C37" s="6"/>
      <c r="D37" s="6"/>
      <c r="E37" s="6"/>
      <c r="F37" s="4"/>
      <c r="G37" s="4"/>
      <c r="H37" s="4"/>
      <c r="I37" s="4"/>
      <c r="J37" s="4"/>
      <c r="K37" s="15" t="s">
        <v>20</v>
      </c>
      <c r="L37" s="4"/>
      <c r="M37" s="4"/>
      <c r="N37" s="14">
        <f>Tabella1[[#This Row],[QTà. CONSEGNATA]]-Tabella1[[#This Row],[QTà. UTILIZZATA]]</f>
        <v>0</v>
      </c>
    </row>
    <row r="38" spans="2:14" x14ac:dyDescent="0.25">
      <c r="B38" s="6"/>
      <c r="C38" s="6"/>
      <c r="D38" s="6"/>
      <c r="E38" s="6"/>
      <c r="F38" s="4"/>
      <c r="G38" s="4"/>
      <c r="H38" s="4"/>
      <c r="I38" s="4"/>
      <c r="J38" s="4"/>
      <c r="K38" s="15" t="s">
        <v>20</v>
      </c>
      <c r="L38" s="4"/>
      <c r="M38" s="4"/>
      <c r="N38" s="14">
        <f>Tabella1[[#This Row],[QTà. CONSEGNATA]]-Tabella1[[#This Row],[QTà. UTILIZZATA]]</f>
        <v>0</v>
      </c>
    </row>
    <row r="39" spans="2:14" x14ac:dyDescent="0.25">
      <c r="B39" s="6"/>
      <c r="C39" s="6"/>
      <c r="D39" s="6"/>
      <c r="E39" s="6"/>
      <c r="F39" s="4"/>
      <c r="G39" s="4"/>
      <c r="H39" s="4"/>
      <c r="I39" s="4"/>
      <c r="J39" s="4"/>
      <c r="K39" s="15" t="s">
        <v>20</v>
      </c>
      <c r="L39" s="4"/>
      <c r="M39" s="4"/>
      <c r="N39" s="14">
        <f>Tabella1[[#This Row],[QTà. CONSEGNATA]]-Tabella1[[#This Row],[QTà. UTILIZZATA]]</f>
        <v>0</v>
      </c>
    </row>
    <row r="40" spans="2:14" x14ac:dyDescent="0.25">
      <c r="B40" s="6"/>
      <c r="C40" s="6"/>
      <c r="D40" s="6"/>
      <c r="E40" s="6"/>
      <c r="F40" s="4"/>
      <c r="G40" s="4"/>
      <c r="H40" s="4"/>
      <c r="I40" s="4"/>
      <c r="J40" s="4"/>
      <c r="K40" s="15" t="s">
        <v>20</v>
      </c>
      <c r="L40" s="4"/>
      <c r="M40" s="4"/>
      <c r="N40" s="14">
        <f>Tabella1[[#This Row],[QTà. CONSEGNATA]]-Tabella1[[#This Row],[QTà. UTILIZZATA]]</f>
        <v>0</v>
      </c>
    </row>
    <row r="41" spans="2:14" x14ac:dyDescent="0.25">
      <c r="B41" s="6"/>
      <c r="C41" s="6"/>
      <c r="D41" s="6"/>
      <c r="E41" s="6"/>
      <c r="F41" s="4"/>
      <c r="G41" s="4"/>
      <c r="H41" s="4"/>
      <c r="I41" s="4"/>
      <c r="J41" s="4"/>
      <c r="K41" s="15" t="s">
        <v>20</v>
      </c>
      <c r="L41" s="4"/>
      <c r="M41" s="4"/>
      <c r="N41" s="14">
        <f>Tabella1[[#This Row],[QTà. CONSEGNATA]]-Tabella1[[#This Row],[QTà. UTILIZZATA]]</f>
        <v>0</v>
      </c>
    </row>
    <row r="42" spans="2:14" x14ac:dyDescent="0.25">
      <c r="B42" s="6"/>
      <c r="C42" s="6"/>
      <c r="D42" s="6"/>
      <c r="E42" s="6"/>
      <c r="F42" s="4"/>
      <c r="G42" s="4"/>
      <c r="H42" s="4"/>
      <c r="I42" s="4"/>
      <c r="J42" s="4"/>
      <c r="K42" s="15" t="s">
        <v>20</v>
      </c>
      <c r="L42" s="4"/>
      <c r="M42" s="4"/>
      <c r="N42" s="14">
        <f>Tabella1[[#This Row],[QTà. CONSEGNATA]]-Tabella1[[#This Row],[QTà. UTILIZZATA]]</f>
        <v>0</v>
      </c>
    </row>
    <row r="43" spans="2:14" x14ac:dyDescent="0.25">
      <c r="B43" s="6"/>
      <c r="C43" s="6"/>
      <c r="D43" s="6"/>
      <c r="E43" s="6"/>
      <c r="F43" s="4"/>
      <c r="G43" s="4"/>
      <c r="H43" s="4"/>
      <c r="I43" s="4"/>
      <c r="J43" s="4"/>
      <c r="K43" s="15" t="s">
        <v>20</v>
      </c>
      <c r="L43" s="4"/>
      <c r="M43" s="4"/>
      <c r="N43" s="14">
        <f>Tabella1[[#This Row],[QTà. CONSEGNATA]]-Tabella1[[#This Row],[QTà. UTILIZZATA]]</f>
        <v>0</v>
      </c>
    </row>
    <row r="44" spans="2:14" x14ac:dyDescent="0.25">
      <c r="B44" s="6"/>
      <c r="C44" s="6"/>
      <c r="D44" s="6"/>
      <c r="E44" s="6"/>
      <c r="F44" s="4"/>
      <c r="G44" s="4"/>
      <c r="H44" s="4"/>
      <c r="I44" s="4"/>
      <c r="J44" s="4"/>
      <c r="K44" s="15" t="s">
        <v>20</v>
      </c>
      <c r="L44" s="4"/>
      <c r="M44" s="4"/>
      <c r="N44" s="14">
        <f>Tabella1[[#This Row],[QTà. CONSEGNATA]]-Tabella1[[#This Row],[QTà. UTILIZZATA]]</f>
        <v>0</v>
      </c>
    </row>
    <row r="45" spans="2:14" x14ac:dyDescent="0.25">
      <c r="B45" s="6"/>
      <c r="C45" s="6"/>
      <c r="D45" s="6"/>
      <c r="E45" s="6"/>
      <c r="F45" s="4"/>
      <c r="G45" s="4"/>
      <c r="H45" s="4"/>
      <c r="I45" s="4"/>
      <c r="J45" s="4"/>
      <c r="K45" s="15" t="s">
        <v>20</v>
      </c>
      <c r="L45" s="4"/>
      <c r="M45" s="4"/>
      <c r="N45" s="14">
        <f>Tabella1[[#This Row],[QTà. CONSEGNATA]]-Tabella1[[#This Row],[QTà. UTILIZZATA]]</f>
        <v>0</v>
      </c>
    </row>
    <row r="46" spans="2:14" x14ac:dyDescent="0.25">
      <c r="B46" s="6"/>
      <c r="C46" s="6"/>
      <c r="D46" s="6"/>
      <c r="E46" s="6"/>
      <c r="F46" s="4"/>
      <c r="G46" s="4"/>
      <c r="H46" s="4"/>
      <c r="I46" s="4"/>
      <c r="J46" s="4"/>
      <c r="K46" s="15" t="s">
        <v>20</v>
      </c>
      <c r="L46" s="4"/>
      <c r="M46" s="4"/>
      <c r="N46" s="14">
        <f>Tabella1[[#This Row],[QTà. CONSEGNATA]]-Tabella1[[#This Row],[QTà. UTILIZZATA]]</f>
        <v>0</v>
      </c>
    </row>
    <row r="47" spans="2:14" x14ac:dyDescent="0.25">
      <c r="B47" s="6"/>
      <c r="C47" s="6"/>
      <c r="D47" s="6"/>
      <c r="E47" s="6"/>
      <c r="F47" s="4"/>
      <c r="G47" s="4"/>
      <c r="H47" s="4"/>
      <c r="I47" s="4"/>
      <c r="J47" s="4"/>
      <c r="K47" s="15" t="s">
        <v>20</v>
      </c>
      <c r="L47" s="4"/>
      <c r="M47" s="4"/>
      <c r="N47" s="14">
        <f>Tabella1[[#This Row],[QTà. CONSEGNATA]]-Tabella1[[#This Row],[QTà. UTILIZZATA]]</f>
        <v>0</v>
      </c>
    </row>
    <row r="48" spans="2:14" x14ac:dyDescent="0.25">
      <c r="B48" s="6"/>
      <c r="C48" s="6"/>
      <c r="D48" s="6"/>
      <c r="E48" s="6"/>
      <c r="F48" s="4"/>
      <c r="G48" s="4"/>
      <c r="H48" s="4"/>
      <c r="I48" s="4"/>
      <c r="J48" s="4"/>
      <c r="K48" s="15" t="s">
        <v>20</v>
      </c>
      <c r="L48" s="4"/>
      <c r="M48" s="4"/>
      <c r="N48" s="14">
        <f>Tabella1[[#This Row],[QTà. CONSEGNATA]]-Tabella1[[#This Row],[QTà. UTILIZZATA]]</f>
        <v>0</v>
      </c>
    </row>
    <row r="49" spans="2:14" x14ac:dyDescent="0.25">
      <c r="B49" s="6"/>
      <c r="C49" s="6"/>
      <c r="D49" s="6"/>
      <c r="E49" s="6"/>
      <c r="F49" s="4"/>
      <c r="G49" s="4"/>
      <c r="H49" s="4"/>
      <c r="I49" s="4"/>
      <c r="J49" s="4"/>
      <c r="K49" s="15" t="s">
        <v>20</v>
      </c>
      <c r="L49" s="4"/>
      <c r="M49" s="4"/>
      <c r="N49" s="14">
        <f>Tabella1[[#This Row],[QTà. CONSEGNATA]]-Tabella1[[#This Row],[QTà. UTILIZZATA]]</f>
        <v>0</v>
      </c>
    </row>
    <row r="50" spans="2:14" x14ac:dyDescent="0.25">
      <c r="B50" s="6"/>
      <c r="C50" s="6"/>
      <c r="D50" s="6"/>
      <c r="E50" s="6"/>
      <c r="F50" s="4"/>
      <c r="G50" s="4"/>
      <c r="H50" s="4"/>
      <c r="I50" s="4"/>
      <c r="J50" s="4"/>
      <c r="K50" s="15" t="s">
        <v>20</v>
      </c>
      <c r="L50" s="4"/>
      <c r="M50" s="4"/>
      <c r="N50" s="14">
        <f>Tabella1[[#This Row],[QTà. CONSEGNATA]]-Tabella1[[#This Row],[QTà. UTILIZZATA]]</f>
        <v>0</v>
      </c>
    </row>
    <row r="51" spans="2:14" x14ac:dyDescent="0.25">
      <c r="B51" s="6"/>
      <c r="C51" s="6"/>
      <c r="D51" s="6"/>
      <c r="E51" s="6"/>
      <c r="F51" s="4"/>
      <c r="G51" s="4"/>
      <c r="H51" s="4"/>
      <c r="I51" s="4"/>
      <c r="J51" s="4"/>
      <c r="K51" s="15" t="s">
        <v>20</v>
      </c>
      <c r="L51" s="4"/>
      <c r="M51" s="4"/>
      <c r="N51" s="14">
        <f>Tabella1[[#This Row],[QTà. CONSEGNATA]]-Tabella1[[#This Row],[QTà. UTILIZZATA]]</f>
        <v>0</v>
      </c>
    </row>
    <row r="52" spans="2:14" x14ac:dyDescent="0.25">
      <c r="B52" s="6"/>
      <c r="C52" s="6"/>
      <c r="D52" s="6"/>
      <c r="E52" s="6"/>
      <c r="F52" s="4"/>
      <c r="G52" s="4"/>
      <c r="H52" s="4"/>
      <c r="I52" s="4"/>
      <c r="J52" s="4"/>
      <c r="K52" s="15" t="s">
        <v>20</v>
      </c>
      <c r="L52" s="4"/>
      <c r="M52" s="4"/>
      <c r="N52" s="14">
        <f>Tabella1[[#This Row],[QTà. CONSEGNATA]]-Tabella1[[#This Row],[QTà. UTILIZZATA]]</f>
        <v>0</v>
      </c>
    </row>
    <row r="53" spans="2:14" x14ac:dyDescent="0.25">
      <c r="B53" s="6"/>
      <c r="C53" s="6"/>
      <c r="D53" s="6"/>
      <c r="E53" s="6"/>
      <c r="F53" s="4"/>
      <c r="G53" s="4"/>
      <c r="H53" s="4"/>
      <c r="I53" s="4"/>
      <c r="J53" s="4"/>
      <c r="K53" s="15" t="s">
        <v>20</v>
      </c>
      <c r="L53" s="4"/>
      <c r="M53" s="4"/>
      <c r="N53" s="14">
        <f>Tabella1[[#This Row],[QTà. CONSEGNATA]]-Tabella1[[#This Row],[QTà. UTILIZZATA]]</f>
        <v>0</v>
      </c>
    </row>
    <row r="54" spans="2:14" x14ac:dyDescent="0.25">
      <c r="B54" s="6"/>
      <c r="C54" s="6"/>
      <c r="D54" s="6"/>
      <c r="E54" s="6"/>
      <c r="F54" s="4"/>
      <c r="G54" s="4"/>
      <c r="H54" s="4"/>
      <c r="I54" s="4"/>
      <c r="J54" s="4"/>
      <c r="K54" s="15" t="s">
        <v>20</v>
      </c>
      <c r="L54" s="4"/>
      <c r="M54" s="4"/>
      <c r="N54" s="14">
        <f>Tabella1[[#This Row],[QTà. CONSEGNATA]]-Tabella1[[#This Row],[QTà. UTILIZZATA]]</f>
        <v>0</v>
      </c>
    </row>
  </sheetData>
  <mergeCells count="7">
    <mergeCell ref="B5:N5"/>
    <mergeCell ref="B6:N6"/>
    <mergeCell ref="M1:N2"/>
    <mergeCell ref="B1:E2"/>
    <mergeCell ref="F1:L2"/>
    <mergeCell ref="B3:N3"/>
    <mergeCell ref="B4:N4"/>
  </mergeCells>
  <pageMargins left="0.7" right="0.7" top="0.75" bottom="0.75" header="0.3" footer="0.3"/>
  <pageSetup paperSize="9" scale="64" fitToHeight="0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B84C7-FDCD-492A-AAC0-C72067B305F2}">
  <sheetPr>
    <pageSetUpPr fitToPage="1"/>
  </sheetPr>
  <dimension ref="B1:N54"/>
  <sheetViews>
    <sheetView workbookViewId="0">
      <selection activeCell="K10" sqref="K10"/>
    </sheetView>
  </sheetViews>
  <sheetFormatPr defaultRowHeight="15" x14ac:dyDescent="0.25"/>
  <cols>
    <col min="2" max="3" width="14.7109375" customWidth="1"/>
    <col min="4" max="5" width="12.28515625" customWidth="1"/>
    <col min="6" max="6" width="15.5703125" bestFit="1" customWidth="1"/>
    <col min="7" max="8" width="15.5703125" customWidth="1"/>
    <col min="9" max="9" width="16.42578125" bestFit="1" customWidth="1"/>
    <col min="10" max="10" width="20" bestFit="1" customWidth="1"/>
    <col min="11" max="11" width="26.28515625" customWidth="1"/>
    <col min="12" max="12" width="20" customWidth="1"/>
    <col min="13" max="13" width="15.5703125" bestFit="1" customWidth="1"/>
    <col min="14" max="14" width="14.42578125" style="1" bestFit="1" customWidth="1"/>
  </cols>
  <sheetData>
    <row r="1" spans="2:14" ht="15" customHeight="1" x14ac:dyDescent="0.25">
      <c r="B1" s="26" t="s">
        <v>13</v>
      </c>
      <c r="C1" s="27"/>
      <c r="D1" s="27"/>
      <c r="E1" s="28"/>
      <c r="F1" s="32" t="s">
        <v>17</v>
      </c>
      <c r="G1" s="27"/>
      <c r="H1" s="27"/>
      <c r="I1" s="27"/>
      <c r="J1" s="27"/>
      <c r="K1" s="27"/>
      <c r="L1" s="27"/>
      <c r="M1" s="22" t="s">
        <v>16</v>
      </c>
      <c r="N1" s="23"/>
    </row>
    <row r="2" spans="2:14" ht="15.75" customHeight="1" thickBot="1" x14ac:dyDescent="0.3">
      <c r="B2" s="29"/>
      <c r="C2" s="30"/>
      <c r="D2" s="30"/>
      <c r="E2" s="31"/>
      <c r="F2" s="33"/>
      <c r="G2" s="30"/>
      <c r="H2" s="30"/>
      <c r="I2" s="30"/>
      <c r="J2" s="30"/>
      <c r="K2" s="30"/>
      <c r="L2" s="30"/>
      <c r="M2" s="24"/>
      <c r="N2" s="25"/>
    </row>
    <row r="3" spans="2:14" ht="15.75" x14ac:dyDescent="0.25">
      <c r="B3" s="34" t="s">
        <v>19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6"/>
    </row>
    <row r="4" spans="2:14" ht="15.75" x14ac:dyDescent="0.25">
      <c r="B4" s="16" t="s">
        <v>9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8"/>
    </row>
    <row r="5" spans="2:14" ht="15.75" x14ac:dyDescent="0.25">
      <c r="B5" s="16" t="s">
        <v>0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</row>
    <row r="6" spans="2:14" ht="16.5" thickBot="1" x14ac:dyDescent="0.3">
      <c r="B6" s="19" t="s">
        <v>1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1"/>
    </row>
    <row r="9" spans="2:14" s="2" customFormat="1" ht="45" x14ac:dyDescent="0.25">
      <c r="B9" s="5" t="s">
        <v>15</v>
      </c>
      <c r="C9" s="5" t="s">
        <v>14</v>
      </c>
      <c r="D9" s="5" t="s">
        <v>10</v>
      </c>
      <c r="E9" s="5" t="s">
        <v>3</v>
      </c>
      <c r="F9" s="3" t="s">
        <v>2</v>
      </c>
      <c r="G9" s="3" t="s">
        <v>4</v>
      </c>
      <c r="H9" s="3" t="s">
        <v>12</v>
      </c>
      <c r="I9" s="3" t="s">
        <v>5</v>
      </c>
      <c r="J9" s="3" t="s">
        <v>11</v>
      </c>
      <c r="K9" s="3" t="s">
        <v>21</v>
      </c>
      <c r="L9" s="3" t="s">
        <v>6</v>
      </c>
      <c r="M9" s="3" t="s">
        <v>7</v>
      </c>
      <c r="N9" s="7" t="s">
        <v>8</v>
      </c>
    </row>
    <row r="10" spans="2:14" x14ac:dyDescent="0.25">
      <c r="B10" s="10"/>
      <c r="C10" s="10"/>
      <c r="D10" s="10"/>
      <c r="E10" s="10"/>
      <c r="F10" s="11"/>
      <c r="G10" s="11"/>
      <c r="H10" s="11"/>
      <c r="I10" s="11"/>
      <c r="J10" s="11"/>
      <c r="K10" s="15" t="s">
        <v>20</v>
      </c>
      <c r="L10" s="11"/>
      <c r="M10" s="11"/>
      <c r="N10" s="12">
        <f>Tabella13[[#This Row],[QTà. CONSEGNATA]]-Tabella13[[#This Row],[QTà. UTILIZZATA]]</f>
        <v>0</v>
      </c>
    </row>
    <row r="11" spans="2:14" x14ac:dyDescent="0.25">
      <c r="B11" s="6"/>
      <c r="C11" s="6"/>
      <c r="D11" s="6"/>
      <c r="E11" s="6"/>
      <c r="F11" s="4"/>
      <c r="G11" s="4"/>
      <c r="H11" s="4"/>
      <c r="I11" s="4"/>
      <c r="J11" s="4"/>
      <c r="K11" s="15" t="s">
        <v>20</v>
      </c>
      <c r="L11" s="4"/>
      <c r="M11" s="4"/>
      <c r="N11" s="13">
        <f>Tabella13[[#This Row],[QTà. CONSEGNATA]]-Tabella13[[#This Row],[QTà. UTILIZZATA]]</f>
        <v>0</v>
      </c>
    </row>
    <row r="12" spans="2:14" x14ac:dyDescent="0.25">
      <c r="B12" s="6"/>
      <c r="C12" s="6"/>
      <c r="D12" s="6"/>
      <c r="E12" s="6"/>
      <c r="F12" s="4"/>
      <c r="G12" s="4"/>
      <c r="H12" s="4"/>
      <c r="I12" s="4"/>
      <c r="J12" s="4"/>
      <c r="K12" s="15" t="s">
        <v>20</v>
      </c>
      <c r="L12" s="4"/>
      <c r="M12" s="4"/>
      <c r="N12" s="13">
        <f>Tabella13[[#This Row],[QTà. CONSEGNATA]]-Tabella13[[#This Row],[QTà. UTILIZZATA]]</f>
        <v>0</v>
      </c>
    </row>
    <row r="13" spans="2:14" x14ac:dyDescent="0.25">
      <c r="B13" s="6"/>
      <c r="C13" s="6"/>
      <c r="D13" s="6"/>
      <c r="E13" s="6"/>
      <c r="F13" s="4"/>
      <c r="G13" s="4"/>
      <c r="H13" s="4"/>
      <c r="I13" s="4"/>
      <c r="J13" s="4"/>
      <c r="K13" s="15" t="s">
        <v>20</v>
      </c>
      <c r="L13" s="4"/>
      <c r="M13" s="4"/>
      <c r="N13" s="13">
        <f>Tabella13[[#This Row],[QTà. CONSEGNATA]]-Tabella13[[#This Row],[QTà. UTILIZZATA]]</f>
        <v>0</v>
      </c>
    </row>
    <row r="14" spans="2:14" x14ac:dyDescent="0.25">
      <c r="B14" s="6"/>
      <c r="C14" s="6"/>
      <c r="D14" s="6"/>
      <c r="E14" s="6"/>
      <c r="F14" s="4"/>
      <c r="G14" s="4"/>
      <c r="H14" s="4"/>
      <c r="I14" s="4"/>
      <c r="J14" s="4"/>
      <c r="K14" s="15" t="s">
        <v>20</v>
      </c>
      <c r="L14" s="4"/>
      <c r="M14" s="4"/>
      <c r="N14" s="13">
        <f>Tabella13[[#This Row],[QTà. CONSEGNATA]]-Tabella13[[#This Row],[QTà. UTILIZZATA]]</f>
        <v>0</v>
      </c>
    </row>
    <row r="15" spans="2:14" x14ac:dyDescent="0.25">
      <c r="B15" s="6"/>
      <c r="C15" s="6"/>
      <c r="D15" s="6"/>
      <c r="E15" s="6"/>
      <c r="F15" s="4"/>
      <c r="G15" s="4"/>
      <c r="H15" s="4"/>
      <c r="I15" s="4"/>
      <c r="J15" s="4"/>
      <c r="K15" s="15" t="s">
        <v>20</v>
      </c>
      <c r="L15" s="4"/>
      <c r="M15" s="4"/>
      <c r="N15" s="13">
        <f>Tabella13[[#This Row],[QTà. CONSEGNATA]]-Tabella13[[#This Row],[QTà. UTILIZZATA]]</f>
        <v>0</v>
      </c>
    </row>
    <row r="16" spans="2:14" x14ac:dyDescent="0.25">
      <c r="B16" s="6"/>
      <c r="C16" s="6"/>
      <c r="D16" s="6"/>
      <c r="E16" s="6"/>
      <c r="F16" s="4"/>
      <c r="G16" s="4"/>
      <c r="H16" s="4"/>
      <c r="I16" s="4"/>
      <c r="J16" s="4"/>
      <c r="K16" s="15" t="s">
        <v>20</v>
      </c>
      <c r="L16" s="4"/>
      <c r="M16" s="4"/>
      <c r="N16" s="13">
        <f>Tabella13[[#This Row],[QTà. CONSEGNATA]]-Tabella13[[#This Row],[QTà. UTILIZZATA]]</f>
        <v>0</v>
      </c>
    </row>
    <row r="17" spans="2:14" x14ac:dyDescent="0.25">
      <c r="B17" s="6"/>
      <c r="C17" s="6"/>
      <c r="D17" s="6"/>
      <c r="E17" s="6"/>
      <c r="F17" s="4"/>
      <c r="G17" s="4"/>
      <c r="H17" s="4"/>
      <c r="I17" s="4"/>
      <c r="J17" s="4"/>
      <c r="K17" s="15" t="s">
        <v>20</v>
      </c>
      <c r="L17" s="4"/>
      <c r="M17" s="4"/>
      <c r="N17" s="13">
        <f>Tabella13[[#This Row],[QTà. CONSEGNATA]]-Tabella13[[#This Row],[QTà. UTILIZZATA]]</f>
        <v>0</v>
      </c>
    </row>
    <row r="18" spans="2:14" x14ac:dyDescent="0.25">
      <c r="B18" s="6"/>
      <c r="C18" s="6"/>
      <c r="D18" s="6"/>
      <c r="E18" s="6"/>
      <c r="F18" s="4"/>
      <c r="G18" s="4"/>
      <c r="H18" s="4"/>
      <c r="I18" s="4"/>
      <c r="J18" s="4"/>
      <c r="K18" s="15" t="s">
        <v>20</v>
      </c>
      <c r="L18" s="4"/>
      <c r="M18" s="4"/>
      <c r="N18" s="13">
        <f>Tabella13[[#This Row],[QTà. CONSEGNATA]]-Tabella13[[#This Row],[QTà. UTILIZZATA]]</f>
        <v>0</v>
      </c>
    </row>
    <row r="19" spans="2:14" x14ac:dyDescent="0.25">
      <c r="B19" s="6"/>
      <c r="C19" s="6"/>
      <c r="D19" s="6"/>
      <c r="E19" s="6"/>
      <c r="F19" s="4"/>
      <c r="G19" s="4"/>
      <c r="H19" s="4"/>
      <c r="I19" s="4"/>
      <c r="J19" s="4"/>
      <c r="K19" s="15" t="s">
        <v>20</v>
      </c>
      <c r="L19" s="4"/>
      <c r="M19" s="4"/>
      <c r="N19" s="13">
        <f>Tabella13[[#This Row],[QTà. CONSEGNATA]]-Tabella13[[#This Row],[QTà. UTILIZZATA]]</f>
        <v>0</v>
      </c>
    </row>
    <row r="20" spans="2:14" x14ac:dyDescent="0.25">
      <c r="B20" s="6"/>
      <c r="C20" s="6"/>
      <c r="D20" s="6"/>
      <c r="E20" s="6"/>
      <c r="F20" s="4"/>
      <c r="G20" s="4"/>
      <c r="H20" s="4"/>
      <c r="I20" s="4"/>
      <c r="J20" s="4"/>
      <c r="K20" s="15" t="s">
        <v>20</v>
      </c>
      <c r="L20" s="4"/>
      <c r="M20" s="4"/>
      <c r="N20" s="13">
        <f>Tabella13[[#This Row],[QTà. CONSEGNATA]]-Tabella13[[#This Row],[QTà. UTILIZZATA]]</f>
        <v>0</v>
      </c>
    </row>
    <row r="21" spans="2:14" x14ac:dyDescent="0.25">
      <c r="B21" s="6"/>
      <c r="C21" s="6"/>
      <c r="D21" s="6"/>
      <c r="E21" s="6"/>
      <c r="F21" s="4"/>
      <c r="G21" s="4"/>
      <c r="H21" s="4"/>
      <c r="I21" s="4"/>
      <c r="J21" s="4"/>
      <c r="K21" s="15" t="s">
        <v>20</v>
      </c>
      <c r="L21" s="4"/>
      <c r="M21" s="4"/>
      <c r="N21" s="13">
        <f>Tabella13[[#This Row],[QTà. CONSEGNATA]]-Tabella13[[#This Row],[QTà. UTILIZZATA]]</f>
        <v>0</v>
      </c>
    </row>
    <row r="22" spans="2:14" x14ac:dyDescent="0.25">
      <c r="B22" s="6"/>
      <c r="C22" s="6"/>
      <c r="D22" s="6"/>
      <c r="E22" s="6"/>
      <c r="F22" s="4"/>
      <c r="G22" s="4"/>
      <c r="H22" s="4"/>
      <c r="I22" s="4"/>
      <c r="J22" s="4"/>
      <c r="K22" s="15" t="s">
        <v>20</v>
      </c>
      <c r="L22" s="4"/>
      <c r="M22" s="4"/>
      <c r="N22" s="13">
        <f>Tabella13[[#This Row],[QTà. CONSEGNATA]]-Tabella13[[#This Row],[QTà. UTILIZZATA]]</f>
        <v>0</v>
      </c>
    </row>
    <row r="23" spans="2:14" x14ac:dyDescent="0.25">
      <c r="B23" s="6"/>
      <c r="C23" s="6"/>
      <c r="D23" s="6"/>
      <c r="E23" s="6"/>
      <c r="F23" s="4"/>
      <c r="G23" s="4"/>
      <c r="H23" s="4"/>
      <c r="I23" s="4"/>
      <c r="J23" s="4"/>
      <c r="K23" s="15" t="s">
        <v>20</v>
      </c>
      <c r="L23" s="4"/>
      <c r="M23" s="4"/>
      <c r="N23" s="13">
        <f>Tabella13[[#This Row],[QTà. CONSEGNATA]]-Tabella13[[#This Row],[QTà. UTILIZZATA]]</f>
        <v>0</v>
      </c>
    </row>
    <row r="24" spans="2:14" x14ac:dyDescent="0.25">
      <c r="B24" s="6"/>
      <c r="C24" s="6"/>
      <c r="D24" s="6"/>
      <c r="E24" s="6"/>
      <c r="F24" s="4"/>
      <c r="G24" s="4"/>
      <c r="H24" s="4"/>
      <c r="I24" s="4"/>
      <c r="J24" s="4"/>
      <c r="K24" s="15" t="s">
        <v>20</v>
      </c>
      <c r="L24" s="4"/>
      <c r="M24" s="4"/>
      <c r="N24" s="13">
        <f>Tabella13[[#This Row],[QTà. CONSEGNATA]]-Tabella13[[#This Row],[QTà. UTILIZZATA]]</f>
        <v>0</v>
      </c>
    </row>
    <row r="25" spans="2:14" x14ac:dyDescent="0.25">
      <c r="B25" s="6"/>
      <c r="C25" s="6"/>
      <c r="D25" s="6"/>
      <c r="E25" s="6"/>
      <c r="F25" s="4"/>
      <c r="G25" s="4"/>
      <c r="H25" s="4"/>
      <c r="I25" s="4"/>
      <c r="J25" s="4"/>
      <c r="K25" s="15" t="s">
        <v>20</v>
      </c>
      <c r="L25" s="4"/>
      <c r="M25" s="4"/>
      <c r="N25" s="13">
        <f>Tabella13[[#This Row],[QTà. CONSEGNATA]]-Tabella13[[#This Row],[QTà. UTILIZZATA]]</f>
        <v>0</v>
      </c>
    </row>
    <row r="26" spans="2:14" x14ac:dyDescent="0.25">
      <c r="B26" s="6"/>
      <c r="C26" s="6"/>
      <c r="D26" s="6"/>
      <c r="E26" s="6"/>
      <c r="F26" s="4"/>
      <c r="G26" s="4"/>
      <c r="H26" s="4"/>
      <c r="I26" s="4"/>
      <c r="J26" s="4"/>
      <c r="K26" s="15" t="s">
        <v>20</v>
      </c>
      <c r="L26" s="4"/>
      <c r="M26" s="4"/>
      <c r="N26" s="13">
        <f>Tabella13[[#This Row],[QTà. CONSEGNATA]]-Tabella13[[#This Row],[QTà. UTILIZZATA]]</f>
        <v>0</v>
      </c>
    </row>
    <row r="27" spans="2:14" x14ac:dyDescent="0.25">
      <c r="B27" s="6"/>
      <c r="C27" s="6"/>
      <c r="D27" s="6"/>
      <c r="E27" s="6"/>
      <c r="F27" s="4"/>
      <c r="G27" s="4"/>
      <c r="H27" s="4"/>
      <c r="I27" s="4"/>
      <c r="J27" s="4"/>
      <c r="K27" s="15" t="s">
        <v>20</v>
      </c>
      <c r="L27" s="4"/>
      <c r="M27" s="4"/>
      <c r="N27" s="13">
        <f>Tabella13[[#This Row],[QTà. CONSEGNATA]]-Tabella13[[#This Row],[QTà. UTILIZZATA]]</f>
        <v>0</v>
      </c>
    </row>
    <row r="28" spans="2:14" x14ac:dyDescent="0.25">
      <c r="B28" s="6"/>
      <c r="C28" s="6"/>
      <c r="D28" s="6"/>
      <c r="E28" s="6"/>
      <c r="F28" s="4"/>
      <c r="G28" s="4"/>
      <c r="H28" s="4"/>
      <c r="I28" s="4"/>
      <c r="J28" s="4"/>
      <c r="K28" s="15" t="s">
        <v>20</v>
      </c>
      <c r="L28" s="4"/>
      <c r="M28" s="4"/>
      <c r="N28" s="13">
        <f>Tabella13[[#This Row],[QTà. CONSEGNATA]]-Tabella13[[#This Row],[QTà. UTILIZZATA]]</f>
        <v>0</v>
      </c>
    </row>
    <row r="29" spans="2:14" x14ac:dyDescent="0.25">
      <c r="B29" s="6"/>
      <c r="C29" s="6"/>
      <c r="D29" s="6"/>
      <c r="E29" s="6"/>
      <c r="F29" s="4"/>
      <c r="G29" s="4"/>
      <c r="H29" s="4"/>
      <c r="I29" s="4"/>
      <c r="J29" s="4"/>
      <c r="K29" s="15" t="s">
        <v>20</v>
      </c>
      <c r="L29" s="4"/>
      <c r="M29" s="4"/>
      <c r="N29" s="13">
        <f>Tabella13[[#This Row],[QTà. CONSEGNATA]]-Tabella13[[#This Row],[QTà. UTILIZZATA]]</f>
        <v>0</v>
      </c>
    </row>
    <row r="30" spans="2:14" x14ac:dyDescent="0.25">
      <c r="B30" s="6"/>
      <c r="C30" s="6"/>
      <c r="D30" s="6"/>
      <c r="E30" s="6"/>
      <c r="F30" s="4"/>
      <c r="G30" s="4"/>
      <c r="H30" s="4"/>
      <c r="I30" s="4"/>
      <c r="J30" s="4"/>
      <c r="K30" s="15" t="s">
        <v>20</v>
      </c>
      <c r="L30" s="4"/>
      <c r="M30" s="4"/>
      <c r="N30" s="13">
        <f>Tabella13[[#This Row],[QTà. CONSEGNATA]]-Tabella13[[#This Row],[QTà. UTILIZZATA]]</f>
        <v>0</v>
      </c>
    </row>
    <row r="31" spans="2:14" x14ac:dyDescent="0.25">
      <c r="B31" s="6"/>
      <c r="C31" s="6"/>
      <c r="D31" s="6"/>
      <c r="E31" s="6"/>
      <c r="F31" s="4"/>
      <c r="G31" s="4"/>
      <c r="H31" s="4"/>
      <c r="I31" s="4"/>
      <c r="J31" s="4"/>
      <c r="K31" s="15" t="s">
        <v>20</v>
      </c>
      <c r="L31" s="4"/>
      <c r="M31" s="4"/>
      <c r="N31" s="13">
        <f>Tabella13[[#This Row],[QTà. CONSEGNATA]]-Tabella13[[#This Row],[QTà. UTILIZZATA]]</f>
        <v>0</v>
      </c>
    </row>
    <row r="32" spans="2:14" x14ac:dyDescent="0.25">
      <c r="B32" s="6"/>
      <c r="C32" s="6"/>
      <c r="D32" s="6"/>
      <c r="E32" s="6"/>
      <c r="F32" s="4"/>
      <c r="G32" s="4"/>
      <c r="H32" s="4"/>
      <c r="I32" s="4"/>
      <c r="J32" s="4"/>
      <c r="K32" s="15" t="s">
        <v>20</v>
      </c>
      <c r="L32" s="4"/>
      <c r="M32" s="4"/>
      <c r="N32" s="13">
        <f>Tabella13[[#This Row],[QTà. CONSEGNATA]]-Tabella13[[#This Row],[QTà. UTILIZZATA]]</f>
        <v>0</v>
      </c>
    </row>
    <row r="33" spans="2:14" x14ac:dyDescent="0.25">
      <c r="B33" s="8"/>
      <c r="C33" s="8"/>
      <c r="D33" s="8"/>
      <c r="E33" s="8"/>
      <c r="F33" s="9"/>
      <c r="G33" s="9"/>
      <c r="H33" s="9"/>
      <c r="I33" s="9"/>
      <c r="J33" s="9"/>
      <c r="K33" s="15" t="s">
        <v>20</v>
      </c>
      <c r="L33" s="9"/>
      <c r="M33" s="9"/>
      <c r="N33" s="14">
        <f>Tabella13[[#This Row],[QTà. CONSEGNATA]]-Tabella13[[#This Row],[QTà. UTILIZZATA]]</f>
        <v>0</v>
      </c>
    </row>
    <row r="34" spans="2:14" x14ac:dyDescent="0.25">
      <c r="B34" s="6"/>
      <c r="C34" s="6"/>
      <c r="D34" s="6"/>
      <c r="E34" s="6"/>
      <c r="F34" s="4"/>
      <c r="G34" s="4"/>
      <c r="H34" s="4"/>
      <c r="I34" s="4"/>
      <c r="J34" s="4"/>
      <c r="K34" s="15" t="s">
        <v>20</v>
      </c>
      <c r="L34" s="4"/>
      <c r="M34" s="4"/>
      <c r="N34" s="14">
        <f>Tabella13[[#This Row],[QTà. CONSEGNATA]]-Tabella13[[#This Row],[QTà. UTILIZZATA]]</f>
        <v>0</v>
      </c>
    </row>
    <row r="35" spans="2:14" x14ac:dyDescent="0.25">
      <c r="B35" s="6"/>
      <c r="C35" s="6"/>
      <c r="D35" s="6"/>
      <c r="E35" s="6"/>
      <c r="F35" s="4"/>
      <c r="G35" s="4"/>
      <c r="H35" s="4"/>
      <c r="I35" s="4"/>
      <c r="J35" s="4"/>
      <c r="K35" s="15" t="s">
        <v>20</v>
      </c>
      <c r="L35" s="4"/>
      <c r="M35" s="4"/>
      <c r="N35" s="14">
        <f>Tabella13[[#This Row],[QTà. CONSEGNATA]]-Tabella13[[#This Row],[QTà. UTILIZZATA]]</f>
        <v>0</v>
      </c>
    </row>
    <row r="36" spans="2:14" x14ac:dyDescent="0.25">
      <c r="B36" s="6"/>
      <c r="C36" s="6"/>
      <c r="D36" s="6"/>
      <c r="E36" s="6"/>
      <c r="F36" s="4"/>
      <c r="G36" s="4"/>
      <c r="H36" s="4"/>
      <c r="I36" s="4"/>
      <c r="J36" s="4"/>
      <c r="K36" s="15" t="s">
        <v>20</v>
      </c>
      <c r="L36" s="4"/>
      <c r="M36" s="4"/>
      <c r="N36" s="14">
        <f>Tabella13[[#This Row],[QTà. CONSEGNATA]]-Tabella13[[#This Row],[QTà. UTILIZZATA]]</f>
        <v>0</v>
      </c>
    </row>
    <row r="37" spans="2:14" x14ac:dyDescent="0.25">
      <c r="B37" s="6"/>
      <c r="C37" s="6"/>
      <c r="D37" s="6"/>
      <c r="E37" s="6"/>
      <c r="F37" s="4"/>
      <c r="G37" s="4"/>
      <c r="H37" s="4"/>
      <c r="I37" s="4"/>
      <c r="J37" s="4"/>
      <c r="K37" s="15" t="s">
        <v>20</v>
      </c>
      <c r="L37" s="4"/>
      <c r="M37" s="4"/>
      <c r="N37" s="14">
        <f>Tabella13[[#This Row],[QTà. CONSEGNATA]]-Tabella13[[#This Row],[QTà. UTILIZZATA]]</f>
        <v>0</v>
      </c>
    </row>
    <row r="38" spans="2:14" x14ac:dyDescent="0.25">
      <c r="B38" s="6"/>
      <c r="C38" s="6"/>
      <c r="D38" s="6"/>
      <c r="E38" s="6"/>
      <c r="F38" s="4"/>
      <c r="G38" s="4"/>
      <c r="H38" s="4"/>
      <c r="I38" s="4"/>
      <c r="J38" s="4"/>
      <c r="K38" s="15" t="s">
        <v>20</v>
      </c>
      <c r="L38" s="4"/>
      <c r="M38" s="4"/>
      <c r="N38" s="14">
        <f>Tabella13[[#This Row],[QTà. CONSEGNATA]]-Tabella13[[#This Row],[QTà. UTILIZZATA]]</f>
        <v>0</v>
      </c>
    </row>
    <row r="39" spans="2:14" x14ac:dyDescent="0.25">
      <c r="B39" s="6"/>
      <c r="C39" s="6"/>
      <c r="D39" s="6"/>
      <c r="E39" s="6"/>
      <c r="F39" s="4"/>
      <c r="G39" s="4"/>
      <c r="H39" s="4"/>
      <c r="I39" s="4"/>
      <c r="J39" s="4"/>
      <c r="K39" s="15" t="s">
        <v>20</v>
      </c>
      <c r="L39" s="4"/>
      <c r="M39" s="4"/>
      <c r="N39" s="14">
        <f>Tabella13[[#This Row],[QTà. CONSEGNATA]]-Tabella13[[#This Row],[QTà. UTILIZZATA]]</f>
        <v>0</v>
      </c>
    </row>
    <row r="40" spans="2:14" x14ac:dyDescent="0.25">
      <c r="B40" s="6"/>
      <c r="C40" s="6"/>
      <c r="D40" s="6"/>
      <c r="E40" s="6"/>
      <c r="F40" s="4"/>
      <c r="G40" s="4"/>
      <c r="H40" s="4"/>
      <c r="I40" s="4"/>
      <c r="J40" s="4"/>
      <c r="K40" s="15" t="s">
        <v>20</v>
      </c>
      <c r="L40" s="4"/>
      <c r="M40" s="4"/>
      <c r="N40" s="14">
        <f>Tabella13[[#This Row],[QTà. CONSEGNATA]]-Tabella13[[#This Row],[QTà. UTILIZZATA]]</f>
        <v>0</v>
      </c>
    </row>
    <row r="41" spans="2:14" x14ac:dyDescent="0.25">
      <c r="B41" s="6"/>
      <c r="C41" s="6"/>
      <c r="D41" s="6"/>
      <c r="E41" s="6"/>
      <c r="F41" s="4"/>
      <c r="G41" s="4"/>
      <c r="H41" s="4"/>
      <c r="I41" s="4"/>
      <c r="J41" s="4"/>
      <c r="K41" s="15" t="s">
        <v>20</v>
      </c>
      <c r="L41" s="4"/>
      <c r="M41" s="4"/>
      <c r="N41" s="14">
        <f>Tabella13[[#This Row],[QTà. CONSEGNATA]]-Tabella13[[#This Row],[QTà. UTILIZZATA]]</f>
        <v>0</v>
      </c>
    </row>
    <row r="42" spans="2:14" x14ac:dyDescent="0.25">
      <c r="B42" s="6"/>
      <c r="C42" s="6"/>
      <c r="D42" s="6"/>
      <c r="E42" s="6"/>
      <c r="F42" s="4"/>
      <c r="G42" s="4"/>
      <c r="H42" s="4"/>
      <c r="I42" s="4"/>
      <c r="J42" s="4"/>
      <c r="K42" s="15" t="s">
        <v>20</v>
      </c>
      <c r="L42" s="4"/>
      <c r="M42" s="4"/>
      <c r="N42" s="14">
        <f>Tabella13[[#This Row],[QTà. CONSEGNATA]]-Tabella13[[#This Row],[QTà. UTILIZZATA]]</f>
        <v>0</v>
      </c>
    </row>
    <row r="43" spans="2:14" x14ac:dyDescent="0.25">
      <c r="B43" s="6"/>
      <c r="C43" s="6"/>
      <c r="D43" s="6"/>
      <c r="E43" s="6"/>
      <c r="F43" s="4"/>
      <c r="G43" s="4"/>
      <c r="H43" s="4"/>
      <c r="I43" s="4"/>
      <c r="J43" s="4"/>
      <c r="K43" s="15" t="s">
        <v>20</v>
      </c>
      <c r="L43" s="4"/>
      <c r="M43" s="4"/>
      <c r="N43" s="14">
        <f>Tabella13[[#This Row],[QTà. CONSEGNATA]]-Tabella13[[#This Row],[QTà. UTILIZZATA]]</f>
        <v>0</v>
      </c>
    </row>
    <row r="44" spans="2:14" x14ac:dyDescent="0.25">
      <c r="B44" s="6"/>
      <c r="C44" s="6"/>
      <c r="D44" s="6"/>
      <c r="E44" s="6"/>
      <c r="F44" s="4"/>
      <c r="G44" s="4"/>
      <c r="H44" s="4"/>
      <c r="I44" s="4"/>
      <c r="J44" s="4"/>
      <c r="K44" s="15" t="s">
        <v>20</v>
      </c>
      <c r="L44" s="4"/>
      <c r="M44" s="4"/>
      <c r="N44" s="14">
        <f>Tabella13[[#This Row],[QTà. CONSEGNATA]]-Tabella13[[#This Row],[QTà. UTILIZZATA]]</f>
        <v>0</v>
      </c>
    </row>
    <row r="45" spans="2:14" x14ac:dyDescent="0.25">
      <c r="B45" s="6"/>
      <c r="C45" s="6"/>
      <c r="D45" s="6"/>
      <c r="E45" s="6"/>
      <c r="F45" s="4"/>
      <c r="G45" s="4"/>
      <c r="H45" s="4"/>
      <c r="I45" s="4"/>
      <c r="J45" s="4"/>
      <c r="K45" s="15" t="s">
        <v>20</v>
      </c>
      <c r="L45" s="4"/>
      <c r="M45" s="4"/>
      <c r="N45" s="14">
        <f>Tabella13[[#This Row],[QTà. CONSEGNATA]]-Tabella13[[#This Row],[QTà. UTILIZZATA]]</f>
        <v>0</v>
      </c>
    </row>
    <row r="46" spans="2:14" x14ac:dyDescent="0.25">
      <c r="B46" s="6"/>
      <c r="C46" s="6"/>
      <c r="D46" s="6"/>
      <c r="E46" s="6"/>
      <c r="F46" s="4"/>
      <c r="G46" s="4"/>
      <c r="H46" s="4"/>
      <c r="I46" s="4"/>
      <c r="J46" s="4"/>
      <c r="K46" s="15" t="s">
        <v>20</v>
      </c>
      <c r="L46" s="4"/>
      <c r="M46" s="4"/>
      <c r="N46" s="14">
        <f>Tabella13[[#This Row],[QTà. CONSEGNATA]]-Tabella13[[#This Row],[QTà. UTILIZZATA]]</f>
        <v>0</v>
      </c>
    </row>
    <row r="47" spans="2:14" x14ac:dyDescent="0.25">
      <c r="B47" s="6"/>
      <c r="C47" s="6"/>
      <c r="D47" s="6"/>
      <c r="E47" s="6"/>
      <c r="F47" s="4"/>
      <c r="G47" s="4"/>
      <c r="H47" s="4"/>
      <c r="I47" s="4"/>
      <c r="J47" s="4"/>
      <c r="K47" s="15" t="s">
        <v>20</v>
      </c>
      <c r="L47" s="4"/>
      <c r="M47" s="4"/>
      <c r="N47" s="14">
        <f>Tabella13[[#This Row],[QTà. CONSEGNATA]]-Tabella13[[#This Row],[QTà. UTILIZZATA]]</f>
        <v>0</v>
      </c>
    </row>
    <row r="48" spans="2:14" x14ac:dyDescent="0.25">
      <c r="B48" s="6"/>
      <c r="C48" s="6"/>
      <c r="D48" s="6"/>
      <c r="E48" s="6"/>
      <c r="F48" s="4"/>
      <c r="G48" s="4"/>
      <c r="H48" s="4"/>
      <c r="I48" s="4"/>
      <c r="J48" s="4"/>
      <c r="K48" s="15" t="s">
        <v>20</v>
      </c>
      <c r="L48" s="4"/>
      <c r="M48" s="4"/>
      <c r="N48" s="14">
        <f>Tabella13[[#This Row],[QTà. CONSEGNATA]]-Tabella13[[#This Row],[QTà. UTILIZZATA]]</f>
        <v>0</v>
      </c>
    </row>
    <row r="49" spans="2:14" x14ac:dyDescent="0.25">
      <c r="B49" s="6"/>
      <c r="C49" s="6"/>
      <c r="D49" s="6"/>
      <c r="E49" s="6"/>
      <c r="F49" s="4"/>
      <c r="G49" s="4"/>
      <c r="H49" s="4"/>
      <c r="I49" s="4"/>
      <c r="J49" s="4"/>
      <c r="K49" s="15" t="s">
        <v>20</v>
      </c>
      <c r="L49" s="4"/>
      <c r="M49" s="4"/>
      <c r="N49" s="14">
        <f>Tabella13[[#This Row],[QTà. CONSEGNATA]]-Tabella13[[#This Row],[QTà. UTILIZZATA]]</f>
        <v>0</v>
      </c>
    </row>
    <row r="50" spans="2:14" x14ac:dyDescent="0.25">
      <c r="B50" s="6"/>
      <c r="C50" s="6"/>
      <c r="D50" s="6"/>
      <c r="E50" s="6"/>
      <c r="F50" s="4"/>
      <c r="G50" s="4"/>
      <c r="H50" s="4"/>
      <c r="I50" s="4"/>
      <c r="J50" s="4"/>
      <c r="K50" s="15" t="s">
        <v>20</v>
      </c>
      <c r="L50" s="4"/>
      <c r="M50" s="4"/>
      <c r="N50" s="14">
        <f>Tabella13[[#This Row],[QTà. CONSEGNATA]]-Tabella13[[#This Row],[QTà. UTILIZZATA]]</f>
        <v>0</v>
      </c>
    </row>
    <row r="51" spans="2:14" x14ac:dyDescent="0.25">
      <c r="B51" s="6"/>
      <c r="C51" s="6"/>
      <c r="D51" s="6"/>
      <c r="E51" s="6"/>
      <c r="F51" s="4"/>
      <c r="G51" s="4"/>
      <c r="H51" s="4"/>
      <c r="I51" s="4"/>
      <c r="J51" s="4"/>
      <c r="K51" s="15" t="s">
        <v>20</v>
      </c>
      <c r="L51" s="4"/>
      <c r="M51" s="4"/>
      <c r="N51" s="14">
        <f>Tabella13[[#This Row],[QTà. CONSEGNATA]]-Tabella13[[#This Row],[QTà. UTILIZZATA]]</f>
        <v>0</v>
      </c>
    </row>
    <row r="52" spans="2:14" x14ac:dyDescent="0.25">
      <c r="B52" s="6"/>
      <c r="C52" s="6"/>
      <c r="D52" s="6"/>
      <c r="E52" s="6"/>
      <c r="F52" s="4"/>
      <c r="G52" s="4"/>
      <c r="H52" s="4"/>
      <c r="I52" s="4"/>
      <c r="J52" s="4"/>
      <c r="K52" s="15" t="s">
        <v>20</v>
      </c>
      <c r="L52" s="4"/>
      <c r="M52" s="4"/>
      <c r="N52" s="14">
        <f>Tabella13[[#This Row],[QTà. CONSEGNATA]]-Tabella13[[#This Row],[QTà. UTILIZZATA]]</f>
        <v>0</v>
      </c>
    </row>
    <row r="53" spans="2:14" x14ac:dyDescent="0.25">
      <c r="B53" s="6"/>
      <c r="C53" s="6"/>
      <c r="D53" s="6"/>
      <c r="E53" s="6"/>
      <c r="F53" s="4"/>
      <c r="G53" s="4"/>
      <c r="H53" s="4"/>
      <c r="I53" s="4"/>
      <c r="J53" s="4"/>
      <c r="K53" s="15" t="s">
        <v>20</v>
      </c>
      <c r="L53" s="4"/>
      <c r="M53" s="4"/>
      <c r="N53" s="14">
        <f>Tabella13[[#This Row],[QTà. CONSEGNATA]]-Tabella13[[#This Row],[QTà. UTILIZZATA]]</f>
        <v>0</v>
      </c>
    </row>
    <row r="54" spans="2:14" x14ac:dyDescent="0.25">
      <c r="B54" s="6"/>
      <c r="C54" s="6"/>
      <c r="D54" s="6"/>
      <c r="E54" s="6"/>
      <c r="F54" s="4"/>
      <c r="G54" s="4"/>
      <c r="H54" s="4"/>
      <c r="I54" s="4"/>
      <c r="J54" s="4"/>
      <c r="K54" s="15" t="s">
        <v>20</v>
      </c>
      <c r="L54" s="4"/>
      <c r="M54" s="4"/>
      <c r="N54" s="14">
        <f>Tabella13[[#This Row],[QTà. CONSEGNATA]]-Tabella13[[#This Row],[QTà. UTILIZZATA]]</f>
        <v>0</v>
      </c>
    </row>
  </sheetData>
  <mergeCells count="7">
    <mergeCell ref="B6:N6"/>
    <mergeCell ref="B1:E2"/>
    <mergeCell ref="F1:L2"/>
    <mergeCell ref="M1:N2"/>
    <mergeCell ref="B3:N3"/>
    <mergeCell ref="B4:N4"/>
    <mergeCell ref="B5:N5"/>
  </mergeCells>
  <pageMargins left="0.7" right="0.7" top="0.75" bottom="0.75" header="0.3" footer="0.3"/>
  <pageSetup paperSize="9" scale="64" fitToHeight="0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E18C7-4303-410B-84B1-AD2A72B22073}">
  <sheetPr>
    <pageSetUpPr fitToPage="1"/>
  </sheetPr>
  <dimension ref="B1:N54"/>
  <sheetViews>
    <sheetView workbookViewId="0">
      <selection activeCell="K10" sqref="K10"/>
    </sheetView>
  </sheetViews>
  <sheetFormatPr defaultRowHeight="15" x14ac:dyDescent="0.25"/>
  <cols>
    <col min="2" max="3" width="14.7109375" customWidth="1"/>
    <col min="4" max="5" width="12.28515625" customWidth="1"/>
    <col min="6" max="6" width="15.5703125" bestFit="1" customWidth="1"/>
    <col min="7" max="8" width="15.5703125" customWidth="1"/>
    <col min="9" max="9" width="16.42578125" bestFit="1" customWidth="1"/>
    <col min="10" max="10" width="20" bestFit="1" customWidth="1"/>
    <col min="11" max="11" width="26.28515625" bestFit="1" customWidth="1"/>
    <col min="12" max="12" width="20" customWidth="1"/>
    <col min="13" max="13" width="15.5703125" bestFit="1" customWidth="1"/>
    <col min="14" max="14" width="14.42578125" style="1" bestFit="1" customWidth="1"/>
  </cols>
  <sheetData>
    <row r="1" spans="2:14" ht="15" customHeight="1" x14ac:dyDescent="0.25">
      <c r="B1" s="26" t="s">
        <v>13</v>
      </c>
      <c r="C1" s="27"/>
      <c r="D1" s="27"/>
      <c r="E1" s="28"/>
      <c r="F1" s="32" t="s">
        <v>17</v>
      </c>
      <c r="G1" s="27"/>
      <c r="H1" s="27"/>
      <c r="I1" s="27"/>
      <c r="J1" s="27"/>
      <c r="K1" s="27"/>
      <c r="L1" s="27"/>
      <c r="M1" s="22" t="s">
        <v>16</v>
      </c>
      <c r="N1" s="23"/>
    </row>
    <row r="2" spans="2:14" ht="15.75" customHeight="1" thickBot="1" x14ac:dyDescent="0.3">
      <c r="B2" s="29"/>
      <c r="C2" s="30"/>
      <c r="D2" s="30"/>
      <c r="E2" s="31"/>
      <c r="F2" s="33"/>
      <c r="G2" s="30"/>
      <c r="H2" s="30"/>
      <c r="I2" s="30"/>
      <c r="J2" s="30"/>
      <c r="K2" s="30"/>
      <c r="L2" s="30"/>
      <c r="M2" s="24"/>
      <c r="N2" s="25"/>
    </row>
    <row r="3" spans="2:14" ht="15.75" x14ac:dyDescent="0.25">
      <c r="B3" s="34" t="s">
        <v>19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6"/>
    </row>
    <row r="4" spans="2:14" ht="15.75" x14ac:dyDescent="0.25">
      <c r="B4" s="16" t="s">
        <v>9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8"/>
    </row>
    <row r="5" spans="2:14" ht="15.75" x14ac:dyDescent="0.25">
      <c r="B5" s="16" t="s">
        <v>0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</row>
    <row r="6" spans="2:14" ht="16.5" thickBot="1" x14ac:dyDescent="0.3">
      <c r="B6" s="19" t="s">
        <v>1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1"/>
    </row>
    <row r="9" spans="2:14" s="2" customFormat="1" ht="45" x14ac:dyDescent="0.25">
      <c r="B9" s="5" t="s">
        <v>15</v>
      </c>
      <c r="C9" s="5" t="s">
        <v>14</v>
      </c>
      <c r="D9" s="5" t="s">
        <v>10</v>
      </c>
      <c r="E9" s="5" t="s">
        <v>3</v>
      </c>
      <c r="F9" s="3" t="s">
        <v>2</v>
      </c>
      <c r="G9" s="3" t="s">
        <v>4</v>
      </c>
      <c r="H9" s="3" t="s">
        <v>12</v>
      </c>
      <c r="I9" s="3" t="s">
        <v>5</v>
      </c>
      <c r="J9" s="3" t="s">
        <v>11</v>
      </c>
      <c r="K9" s="3" t="s">
        <v>21</v>
      </c>
      <c r="L9" s="3" t="s">
        <v>6</v>
      </c>
      <c r="M9" s="3" t="s">
        <v>7</v>
      </c>
      <c r="N9" s="7" t="s">
        <v>8</v>
      </c>
    </row>
    <row r="10" spans="2:14" x14ac:dyDescent="0.25">
      <c r="B10" s="10"/>
      <c r="C10" s="10"/>
      <c r="D10" s="10"/>
      <c r="E10" s="10"/>
      <c r="F10" s="11"/>
      <c r="G10" s="11"/>
      <c r="H10" s="11"/>
      <c r="I10" s="11"/>
      <c r="J10" s="11"/>
      <c r="K10" s="15" t="s">
        <v>20</v>
      </c>
      <c r="L10" s="11"/>
      <c r="M10" s="11"/>
      <c r="N10" s="12">
        <f>Tabella134[[#This Row],[QTà. CONSEGNATA]]-Tabella134[[#This Row],[QTà. UTILIZZATA]]</f>
        <v>0</v>
      </c>
    </row>
    <row r="11" spans="2:14" x14ac:dyDescent="0.25">
      <c r="B11" s="6"/>
      <c r="C11" s="6"/>
      <c r="D11" s="6"/>
      <c r="E11" s="6"/>
      <c r="F11" s="4"/>
      <c r="G11" s="4"/>
      <c r="H11" s="4"/>
      <c r="I11" s="4"/>
      <c r="J11" s="4"/>
      <c r="K11" s="15" t="s">
        <v>20</v>
      </c>
      <c r="L11" s="4"/>
      <c r="M11" s="4"/>
      <c r="N11" s="13">
        <f>Tabella134[[#This Row],[QTà. CONSEGNATA]]-Tabella134[[#This Row],[QTà. UTILIZZATA]]</f>
        <v>0</v>
      </c>
    </row>
    <row r="12" spans="2:14" x14ac:dyDescent="0.25">
      <c r="B12" s="6"/>
      <c r="C12" s="6"/>
      <c r="D12" s="6"/>
      <c r="E12" s="6"/>
      <c r="F12" s="4"/>
      <c r="G12" s="4"/>
      <c r="H12" s="4"/>
      <c r="I12" s="4"/>
      <c r="J12" s="4"/>
      <c r="K12" s="15" t="s">
        <v>20</v>
      </c>
      <c r="L12" s="4"/>
      <c r="M12" s="4"/>
      <c r="N12" s="13">
        <f>Tabella134[[#This Row],[QTà. CONSEGNATA]]-Tabella134[[#This Row],[QTà. UTILIZZATA]]</f>
        <v>0</v>
      </c>
    </row>
    <row r="13" spans="2:14" x14ac:dyDescent="0.25">
      <c r="B13" s="6"/>
      <c r="C13" s="6"/>
      <c r="D13" s="6"/>
      <c r="E13" s="6"/>
      <c r="F13" s="4"/>
      <c r="G13" s="4"/>
      <c r="H13" s="4"/>
      <c r="I13" s="4"/>
      <c r="J13" s="4"/>
      <c r="K13" s="15" t="s">
        <v>20</v>
      </c>
      <c r="L13" s="4"/>
      <c r="M13" s="4"/>
      <c r="N13" s="13">
        <f>Tabella134[[#This Row],[QTà. CONSEGNATA]]-Tabella134[[#This Row],[QTà. UTILIZZATA]]</f>
        <v>0</v>
      </c>
    </row>
    <row r="14" spans="2:14" x14ac:dyDescent="0.25">
      <c r="B14" s="6"/>
      <c r="C14" s="6"/>
      <c r="D14" s="6"/>
      <c r="E14" s="6"/>
      <c r="F14" s="4"/>
      <c r="G14" s="4"/>
      <c r="H14" s="4"/>
      <c r="I14" s="4"/>
      <c r="J14" s="4"/>
      <c r="K14" s="15" t="s">
        <v>20</v>
      </c>
      <c r="L14" s="4"/>
      <c r="M14" s="4"/>
      <c r="N14" s="13">
        <f>Tabella134[[#This Row],[QTà. CONSEGNATA]]-Tabella134[[#This Row],[QTà. UTILIZZATA]]</f>
        <v>0</v>
      </c>
    </row>
    <row r="15" spans="2:14" x14ac:dyDescent="0.25">
      <c r="B15" s="6"/>
      <c r="C15" s="6"/>
      <c r="D15" s="6"/>
      <c r="E15" s="6"/>
      <c r="F15" s="4"/>
      <c r="G15" s="4"/>
      <c r="H15" s="4"/>
      <c r="I15" s="4"/>
      <c r="J15" s="4"/>
      <c r="K15" s="15" t="s">
        <v>20</v>
      </c>
      <c r="L15" s="4"/>
      <c r="M15" s="4"/>
      <c r="N15" s="13">
        <f>Tabella134[[#This Row],[QTà. CONSEGNATA]]-Tabella134[[#This Row],[QTà. UTILIZZATA]]</f>
        <v>0</v>
      </c>
    </row>
    <row r="16" spans="2:14" x14ac:dyDescent="0.25">
      <c r="B16" s="6"/>
      <c r="C16" s="6"/>
      <c r="D16" s="6"/>
      <c r="E16" s="6"/>
      <c r="F16" s="4"/>
      <c r="G16" s="4"/>
      <c r="H16" s="4"/>
      <c r="I16" s="4"/>
      <c r="J16" s="4"/>
      <c r="K16" s="15" t="s">
        <v>20</v>
      </c>
      <c r="L16" s="4"/>
      <c r="M16" s="4"/>
      <c r="N16" s="13">
        <f>Tabella134[[#This Row],[QTà. CONSEGNATA]]-Tabella134[[#This Row],[QTà. UTILIZZATA]]</f>
        <v>0</v>
      </c>
    </row>
    <row r="17" spans="2:14" x14ac:dyDescent="0.25">
      <c r="B17" s="6"/>
      <c r="C17" s="6"/>
      <c r="D17" s="6"/>
      <c r="E17" s="6"/>
      <c r="F17" s="4"/>
      <c r="G17" s="4"/>
      <c r="H17" s="4"/>
      <c r="I17" s="4"/>
      <c r="J17" s="4"/>
      <c r="K17" s="15" t="s">
        <v>20</v>
      </c>
      <c r="L17" s="4"/>
      <c r="M17" s="4"/>
      <c r="N17" s="13">
        <f>Tabella134[[#This Row],[QTà. CONSEGNATA]]-Tabella134[[#This Row],[QTà. UTILIZZATA]]</f>
        <v>0</v>
      </c>
    </row>
    <row r="18" spans="2:14" x14ac:dyDescent="0.25">
      <c r="B18" s="6"/>
      <c r="C18" s="6"/>
      <c r="D18" s="6"/>
      <c r="E18" s="6"/>
      <c r="F18" s="4"/>
      <c r="G18" s="4"/>
      <c r="H18" s="4"/>
      <c r="I18" s="4"/>
      <c r="J18" s="4"/>
      <c r="K18" s="15" t="s">
        <v>20</v>
      </c>
      <c r="L18" s="4"/>
      <c r="M18" s="4"/>
      <c r="N18" s="13">
        <f>Tabella134[[#This Row],[QTà. CONSEGNATA]]-Tabella134[[#This Row],[QTà. UTILIZZATA]]</f>
        <v>0</v>
      </c>
    </row>
    <row r="19" spans="2:14" x14ac:dyDescent="0.25">
      <c r="B19" s="6"/>
      <c r="C19" s="6"/>
      <c r="D19" s="6"/>
      <c r="E19" s="6"/>
      <c r="F19" s="4"/>
      <c r="G19" s="4"/>
      <c r="H19" s="4"/>
      <c r="I19" s="4"/>
      <c r="J19" s="4"/>
      <c r="K19" s="15" t="s">
        <v>20</v>
      </c>
      <c r="L19" s="4"/>
      <c r="M19" s="4"/>
      <c r="N19" s="13">
        <f>Tabella134[[#This Row],[QTà. CONSEGNATA]]-Tabella134[[#This Row],[QTà. UTILIZZATA]]</f>
        <v>0</v>
      </c>
    </row>
    <row r="20" spans="2:14" x14ac:dyDescent="0.25">
      <c r="B20" s="6"/>
      <c r="C20" s="6"/>
      <c r="D20" s="6"/>
      <c r="E20" s="6"/>
      <c r="F20" s="4"/>
      <c r="G20" s="4"/>
      <c r="H20" s="4"/>
      <c r="I20" s="4"/>
      <c r="J20" s="4"/>
      <c r="K20" s="15" t="s">
        <v>20</v>
      </c>
      <c r="L20" s="4"/>
      <c r="M20" s="4"/>
      <c r="N20" s="13">
        <f>Tabella134[[#This Row],[QTà. CONSEGNATA]]-Tabella134[[#This Row],[QTà. UTILIZZATA]]</f>
        <v>0</v>
      </c>
    </row>
    <row r="21" spans="2:14" x14ac:dyDescent="0.25">
      <c r="B21" s="6"/>
      <c r="C21" s="6"/>
      <c r="D21" s="6"/>
      <c r="E21" s="6"/>
      <c r="F21" s="4"/>
      <c r="G21" s="4"/>
      <c r="H21" s="4"/>
      <c r="I21" s="4"/>
      <c r="J21" s="4"/>
      <c r="K21" s="15" t="s">
        <v>20</v>
      </c>
      <c r="L21" s="4"/>
      <c r="M21" s="4"/>
      <c r="N21" s="13">
        <f>Tabella134[[#This Row],[QTà. CONSEGNATA]]-Tabella134[[#This Row],[QTà. UTILIZZATA]]</f>
        <v>0</v>
      </c>
    </row>
    <row r="22" spans="2:14" x14ac:dyDescent="0.25">
      <c r="B22" s="6"/>
      <c r="C22" s="6"/>
      <c r="D22" s="6"/>
      <c r="E22" s="6"/>
      <c r="F22" s="4"/>
      <c r="G22" s="4"/>
      <c r="H22" s="4"/>
      <c r="I22" s="4"/>
      <c r="J22" s="4"/>
      <c r="K22" s="15" t="s">
        <v>20</v>
      </c>
      <c r="L22" s="4"/>
      <c r="M22" s="4"/>
      <c r="N22" s="13">
        <f>Tabella134[[#This Row],[QTà. CONSEGNATA]]-Tabella134[[#This Row],[QTà. UTILIZZATA]]</f>
        <v>0</v>
      </c>
    </row>
    <row r="23" spans="2:14" x14ac:dyDescent="0.25">
      <c r="B23" s="6"/>
      <c r="C23" s="6"/>
      <c r="D23" s="6"/>
      <c r="E23" s="6"/>
      <c r="F23" s="4"/>
      <c r="G23" s="4"/>
      <c r="H23" s="4"/>
      <c r="I23" s="4"/>
      <c r="J23" s="4"/>
      <c r="K23" s="15" t="s">
        <v>20</v>
      </c>
      <c r="L23" s="4"/>
      <c r="M23" s="4"/>
      <c r="N23" s="13">
        <f>Tabella134[[#This Row],[QTà. CONSEGNATA]]-Tabella134[[#This Row],[QTà. UTILIZZATA]]</f>
        <v>0</v>
      </c>
    </row>
    <row r="24" spans="2:14" x14ac:dyDescent="0.25">
      <c r="B24" s="6"/>
      <c r="C24" s="6"/>
      <c r="D24" s="6"/>
      <c r="E24" s="6"/>
      <c r="F24" s="4"/>
      <c r="G24" s="4"/>
      <c r="H24" s="4"/>
      <c r="I24" s="4"/>
      <c r="J24" s="4"/>
      <c r="K24" s="15" t="s">
        <v>20</v>
      </c>
      <c r="L24" s="4"/>
      <c r="M24" s="4"/>
      <c r="N24" s="13">
        <f>Tabella134[[#This Row],[QTà. CONSEGNATA]]-Tabella134[[#This Row],[QTà. UTILIZZATA]]</f>
        <v>0</v>
      </c>
    </row>
    <row r="25" spans="2:14" x14ac:dyDescent="0.25">
      <c r="B25" s="6"/>
      <c r="C25" s="6"/>
      <c r="D25" s="6"/>
      <c r="E25" s="6"/>
      <c r="F25" s="4"/>
      <c r="G25" s="4"/>
      <c r="H25" s="4"/>
      <c r="I25" s="4"/>
      <c r="J25" s="4"/>
      <c r="K25" s="15" t="s">
        <v>20</v>
      </c>
      <c r="L25" s="4"/>
      <c r="M25" s="4"/>
      <c r="N25" s="13">
        <f>Tabella134[[#This Row],[QTà. CONSEGNATA]]-Tabella134[[#This Row],[QTà. UTILIZZATA]]</f>
        <v>0</v>
      </c>
    </row>
    <row r="26" spans="2:14" x14ac:dyDescent="0.25">
      <c r="B26" s="6"/>
      <c r="C26" s="6"/>
      <c r="D26" s="6"/>
      <c r="E26" s="6"/>
      <c r="F26" s="4"/>
      <c r="G26" s="4"/>
      <c r="H26" s="4"/>
      <c r="I26" s="4"/>
      <c r="J26" s="4"/>
      <c r="K26" s="15" t="s">
        <v>20</v>
      </c>
      <c r="L26" s="4"/>
      <c r="M26" s="4"/>
      <c r="N26" s="13">
        <f>Tabella134[[#This Row],[QTà. CONSEGNATA]]-Tabella134[[#This Row],[QTà. UTILIZZATA]]</f>
        <v>0</v>
      </c>
    </row>
    <row r="27" spans="2:14" x14ac:dyDescent="0.25">
      <c r="B27" s="6"/>
      <c r="C27" s="6"/>
      <c r="D27" s="6"/>
      <c r="E27" s="6"/>
      <c r="F27" s="4"/>
      <c r="G27" s="4"/>
      <c r="H27" s="4"/>
      <c r="I27" s="4"/>
      <c r="J27" s="4"/>
      <c r="K27" s="15" t="s">
        <v>20</v>
      </c>
      <c r="L27" s="4"/>
      <c r="M27" s="4"/>
      <c r="N27" s="13">
        <f>Tabella134[[#This Row],[QTà. CONSEGNATA]]-Tabella134[[#This Row],[QTà. UTILIZZATA]]</f>
        <v>0</v>
      </c>
    </row>
    <row r="28" spans="2:14" x14ac:dyDescent="0.25">
      <c r="B28" s="6"/>
      <c r="C28" s="6"/>
      <c r="D28" s="6"/>
      <c r="E28" s="6"/>
      <c r="F28" s="4"/>
      <c r="G28" s="4"/>
      <c r="H28" s="4"/>
      <c r="I28" s="4"/>
      <c r="J28" s="4"/>
      <c r="K28" s="15" t="s">
        <v>20</v>
      </c>
      <c r="L28" s="4"/>
      <c r="M28" s="4"/>
      <c r="N28" s="13">
        <f>Tabella134[[#This Row],[QTà. CONSEGNATA]]-Tabella134[[#This Row],[QTà. UTILIZZATA]]</f>
        <v>0</v>
      </c>
    </row>
    <row r="29" spans="2:14" x14ac:dyDescent="0.25">
      <c r="B29" s="6"/>
      <c r="C29" s="6"/>
      <c r="D29" s="6"/>
      <c r="E29" s="6"/>
      <c r="F29" s="4"/>
      <c r="G29" s="4"/>
      <c r="H29" s="4"/>
      <c r="I29" s="4"/>
      <c r="J29" s="4"/>
      <c r="K29" s="15" t="s">
        <v>20</v>
      </c>
      <c r="L29" s="4"/>
      <c r="M29" s="4"/>
      <c r="N29" s="13">
        <f>Tabella134[[#This Row],[QTà. CONSEGNATA]]-Tabella134[[#This Row],[QTà. UTILIZZATA]]</f>
        <v>0</v>
      </c>
    </row>
    <row r="30" spans="2:14" x14ac:dyDescent="0.25">
      <c r="B30" s="6"/>
      <c r="C30" s="6"/>
      <c r="D30" s="6"/>
      <c r="E30" s="6"/>
      <c r="F30" s="4"/>
      <c r="G30" s="4"/>
      <c r="H30" s="4"/>
      <c r="I30" s="4"/>
      <c r="J30" s="4"/>
      <c r="K30" s="15" t="s">
        <v>20</v>
      </c>
      <c r="L30" s="4"/>
      <c r="M30" s="4"/>
      <c r="N30" s="13">
        <f>Tabella134[[#This Row],[QTà. CONSEGNATA]]-Tabella134[[#This Row],[QTà. UTILIZZATA]]</f>
        <v>0</v>
      </c>
    </row>
    <row r="31" spans="2:14" x14ac:dyDescent="0.25">
      <c r="B31" s="6"/>
      <c r="C31" s="6"/>
      <c r="D31" s="6"/>
      <c r="E31" s="6"/>
      <c r="F31" s="4"/>
      <c r="G31" s="4"/>
      <c r="H31" s="4"/>
      <c r="I31" s="4"/>
      <c r="J31" s="4"/>
      <c r="K31" s="15" t="s">
        <v>20</v>
      </c>
      <c r="L31" s="4"/>
      <c r="M31" s="4"/>
      <c r="N31" s="13">
        <f>Tabella134[[#This Row],[QTà. CONSEGNATA]]-Tabella134[[#This Row],[QTà. UTILIZZATA]]</f>
        <v>0</v>
      </c>
    </row>
    <row r="32" spans="2:14" x14ac:dyDescent="0.25">
      <c r="B32" s="6"/>
      <c r="C32" s="6"/>
      <c r="D32" s="6"/>
      <c r="E32" s="6"/>
      <c r="F32" s="4"/>
      <c r="G32" s="4"/>
      <c r="H32" s="4"/>
      <c r="I32" s="4"/>
      <c r="J32" s="4"/>
      <c r="K32" s="15" t="s">
        <v>20</v>
      </c>
      <c r="L32" s="4"/>
      <c r="M32" s="4"/>
      <c r="N32" s="13">
        <f>Tabella134[[#This Row],[QTà. CONSEGNATA]]-Tabella134[[#This Row],[QTà. UTILIZZATA]]</f>
        <v>0</v>
      </c>
    </row>
    <row r="33" spans="2:14" x14ac:dyDescent="0.25">
      <c r="B33" s="8"/>
      <c r="C33" s="8"/>
      <c r="D33" s="8"/>
      <c r="E33" s="8"/>
      <c r="F33" s="9"/>
      <c r="G33" s="9"/>
      <c r="H33" s="9"/>
      <c r="I33" s="9"/>
      <c r="J33" s="9"/>
      <c r="K33" s="15" t="s">
        <v>20</v>
      </c>
      <c r="L33" s="9"/>
      <c r="M33" s="9"/>
      <c r="N33" s="14">
        <f>Tabella134[[#This Row],[QTà. CONSEGNATA]]-Tabella134[[#This Row],[QTà. UTILIZZATA]]</f>
        <v>0</v>
      </c>
    </row>
    <row r="34" spans="2:14" x14ac:dyDescent="0.25">
      <c r="B34" s="6"/>
      <c r="C34" s="6"/>
      <c r="D34" s="6"/>
      <c r="E34" s="6"/>
      <c r="F34" s="4"/>
      <c r="G34" s="4"/>
      <c r="H34" s="4"/>
      <c r="I34" s="4"/>
      <c r="J34" s="4"/>
      <c r="K34" s="15" t="s">
        <v>20</v>
      </c>
      <c r="L34" s="4"/>
      <c r="M34" s="4"/>
      <c r="N34" s="14">
        <f>Tabella134[[#This Row],[QTà. CONSEGNATA]]-Tabella134[[#This Row],[QTà. UTILIZZATA]]</f>
        <v>0</v>
      </c>
    </row>
    <row r="35" spans="2:14" x14ac:dyDescent="0.25">
      <c r="B35" s="6"/>
      <c r="C35" s="6"/>
      <c r="D35" s="6"/>
      <c r="E35" s="6"/>
      <c r="F35" s="4"/>
      <c r="G35" s="4"/>
      <c r="H35" s="4"/>
      <c r="I35" s="4"/>
      <c r="J35" s="4"/>
      <c r="K35" s="15" t="s">
        <v>20</v>
      </c>
      <c r="L35" s="4"/>
      <c r="M35" s="4"/>
      <c r="N35" s="14">
        <f>Tabella134[[#This Row],[QTà. CONSEGNATA]]-Tabella134[[#This Row],[QTà. UTILIZZATA]]</f>
        <v>0</v>
      </c>
    </row>
    <row r="36" spans="2:14" x14ac:dyDescent="0.25">
      <c r="B36" s="6"/>
      <c r="C36" s="6"/>
      <c r="D36" s="6"/>
      <c r="E36" s="6"/>
      <c r="F36" s="4"/>
      <c r="G36" s="4"/>
      <c r="H36" s="4"/>
      <c r="I36" s="4"/>
      <c r="J36" s="4"/>
      <c r="K36" s="15" t="s">
        <v>20</v>
      </c>
      <c r="L36" s="4"/>
      <c r="M36" s="4"/>
      <c r="N36" s="14">
        <f>Tabella134[[#This Row],[QTà. CONSEGNATA]]-Tabella134[[#This Row],[QTà. UTILIZZATA]]</f>
        <v>0</v>
      </c>
    </row>
    <row r="37" spans="2:14" x14ac:dyDescent="0.25">
      <c r="B37" s="6"/>
      <c r="C37" s="6"/>
      <c r="D37" s="6"/>
      <c r="E37" s="6"/>
      <c r="F37" s="4"/>
      <c r="G37" s="4"/>
      <c r="H37" s="4"/>
      <c r="I37" s="4"/>
      <c r="J37" s="4"/>
      <c r="K37" s="15" t="s">
        <v>20</v>
      </c>
      <c r="L37" s="4"/>
      <c r="M37" s="4"/>
      <c r="N37" s="14">
        <f>Tabella134[[#This Row],[QTà. CONSEGNATA]]-Tabella134[[#This Row],[QTà. UTILIZZATA]]</f>
        <v>0</v>
      </c>
    </row>
    <row r="38" spans="2:14" x14ac:dyDescent="0.25">
      <c r="B38" s="6"/>
      <c r="C38" s="6"/>
      <c r="D38" s="6"/>
      <c r="E38" s="6"/>
      <c r="F38" s="4"/>
      <c r="G38" s="4"/>
      <c r="H38" s="4"/>
      <c r="I38" s="4"/>
      <c r="J38" s="4"/>
      <c r="K38" s="15" t="s">
        <v>20</v>
      </c>
      <c r="L38" s="4"/>
      <c r="M38" s="4"/>
      <c r="N38" s="14">
        <f>Tabella134[[#This Row],[QTà. CONSEGNATA]]-Tabella134[[#This Row],[QTà. UTILIZZATA]]</f>
        <v>0</v>
      </c>
    </row>
    <row r="39" spans="2:14" x14ac:dyDescent="0.25">
      <c r="B39" s="6"/>
      <c r="C39" s="6"/>
      <c r="D39" s="6"/>
      <c r="E39" s="6"/>
      <c r="F39" s="4"/>
      <c r="G39" s="4"/>
      <c r="H39" s="4"/>
      <c r="I39" s="4"/>
      <c r="J39" s="4"/>
      <c r="K39" s="15" t="s">
        <v>20</v>
      </c>
      <c r="L39" s="4"/>
      <c r="M39" s="4"/>
      <c r="N39" s="14">
        <f>Tabella134[[#This Row],[QTà. CONSEGNATA]]-Tabella134[[#This Row],[QTà. UTILIZZATA]]</f>
        <v>0</v>
      </c>
    </row>
    <row r="40" spans="2:14" x14ac:dyDescent="0.25">
      <c r="B40" s="6"/>
      <c r="C40" s="6"/>
      <c r="D40" s="6"/>
      <c r="E40" s="6"/>
      <c r="F40" s="4"/>
      <c r="G40" s="4"/>
      <c r="H40" s="4"/>
      <c r="I40" s="4"/>
      <c r="J40" s="4"/>
      <c r="K40" s="15" t="s">
        <v>20</v>
      </c>
      <c r="L40" s="4"/>
      <c r="M40" s="4"/>
      <c r="N40" s="14">
        <f>Tabella134[[#This Row],[QTà. CONSEGNATA]]-Tabella134[[#This Row],[QTà. UTILIZZATA]]</f>
        <v>0</v>
      </c>
    </row>
    <row r="41" spans="2:14" x14ac:dyDescent="0.25">
      <c r="B41" s="6"/>
      <c r="C41" s="6"/>
      <c r="D41" s="6"/>
      <c r="E41" s="6"/>
      <c r="F41" s="4"/>
      <c r="G41" s="4"/>
      <c r="H41" s="4"/>
      <c r="I41" s="4"/>
      <c r="J41" s="4"/>
      <c r="K41" s="15" t="s">
        <v>20</v>
      </c>
      <c r="L41" s="4"/>
      <c r="M41" s="4"/>
      <c r="N41" s="14">
        <f>Tabella134[[#This Row],[QTà. CONSEGNATA]]-Tabella134[[#This Row],[QTà. UTILIZZATA]]</f>
        <v>0</v>
      </c>
    </row>
    <row r="42" spans="2:14" x14ac:dyDescent="0.25">
      <c r="B42" s="6"/>
      <c r="C42" s="6"/>
      <c r="D42" s="6"/>
      <c r="E42" s="6"/>
      <c r="F42" s="4"/>
      <c r="G42" s="4"/>
      <c r="H42" s="4"/>
      <c r="I42" s="4"/>
      <c r="J42" s="4"/>
      <c r="K42" s="15" t="s">
        <v>20</v>
      </c>
      <c r="L42" s="4"/>
      <c r="M42" s="4"/>
      <c r="N42" s="14">
        <f>Tabella134[[#This Row],[QTà. CONSEGNATA]]-Tabella134[[#This Row],[QTà. UTILIZZATA]]</f>
        <v>0</v>
      </c>
    </row>
    <row r="43" spans="2:14" x14ac:dyDescent="0.25">
      <c r="B43" s="6"/>
      <c r="C43" s="6"/>
      <c r="D43" s="6"/>
      <c r="E43" s="6"/>
      <c r="F43" s="4"/>
      <c r="G43" s="4"/>
      <c r="H43" s="4"/>
      <c r="I43" s="4"/>
      <c r="J43" s="4"/>
      <c r="K43" s="15" t="s">
        <v>20</v>
      </c>
      <c r="L43" s="4"/>
      <c r="M43" s="4"/>
      <c r="N43" s="14">
        <f>Tabella134[[#This Row],[QTà. CONSEGNATA]]-Tabella134[[#This Row],[QTà. UTILIZZATA]]</f>
        <v>0</v>
      </c>
    </row>
    <row r="44" spans="2:14" x14ac:dyDescent="0.25">
      <c r="B44" s="6"/>
      <c r="C44" s="6"/>
      <c r="D44" s="6"/>
      <c r="E44" s="6"/>
      <c r="F44" s="4"/>
      <c r="G44" s="4"/>
      <c r="H44" s="4"/>
      <c r="I44" s="4"/>
      <c r="J44" s="4"/>
      <c r="K44" s="15" t="s">
        <v>20</v>
      </c>
      <c r="L44" s="4"/>
      <c r="M44" s="4"/>
      <c r="N44" s="14">
        <f>Tabella134[[#This Row],[QTà. CONSEGNATA]]-Tabella134[[#This Row],[QTà. UTILIZZATA]]</f>
        <v>0</v>
      </c>
    </row>
    <row r="45" spans="2:14" x14ac:dyDescent="0.25">
      <c r="B45" s="6"/>
      <c r="C45" s="6"/>
      <c r="D45" s="6"/>
      <c r="E45" s="6"/>
      <c r="F45" s="4"/>
      <c r="G45" s="4"/>
      <c r="H45" s="4"/>
      <c r="I45" s="4"/>
      <c r="J45" s="4"/>
      <c r="K45" s="15" t="s">
        <v>20</v>
      </c>
      <c r="L45" s="4"/>
      <c r="M45" s="4"/>
      <c r="N45" s="14">
        <f>Tabella134[[#This Row],[QTà. CONSEGNATA]]-Tabella134[[#This Row],[QTà. UTILIZZATA]]</f>
        <v>0</v>
      </c>
    </row>
    <row r="46" spans="2:14" x14ac:dyDescent="0.25">
      <c r="B46" s="6"/>
      <c r="C46" s="6"/>
      <c r="D46" s="6"/>
      <c r="E46" s="6"/>
      <c r="F46" s="4"/>
      <c r="G46" s="4"/>
      <c r="H46" s="4"/>
      <c r="I46" s="4"/>
      <c r="J46" s="4"/>
      <c r="K46" s="15" t="s">
        <v>20</v>
      </c>
      <c r="L46" s="4"/>
      <c r="M46" s="4"/>
      <c r="N46" s="14">
        <f>Tabella134[[#This Row],[QTà. CONSEGNATA]]-Tabella134[[#This Row],[QTà. UTILIZZATA]]</f>
        <v>0</v>
      </c>
    </row>
    <row r="47" spans="2:14" x14ac:dyDescent="0.25">
      <c r="B47" s="6"/>
      <c r="C47" s="6"/>
      <c r="D47" s="6"/>
      <c r="E47" s="6"/>
      <c r="F47" s="4"/>
      <c r="G47" s="4"/>
      <c r="H47" s="4"/>
      <c r="I47" s="4"/>
      <c r="J47" s="4"/>
      <c r="K47" s="15" t="s">
        <v>20</v>
      </c>
      <c r="L47" s="4"/>
      <c r="M47" s="4"/>
      <c r="N47" s="14">
        <f>Tabella134[[#This Row],[QTà. CONSEGNATA]]-Tabella134[[#This Row],[QTà. UTILIZZATA]]</f>
        <v>0</v>
      </c>
    </row>
    <row r="48" spans="2:14" x14ac:dyDescent="0.25">
      <c r="B48" s="6"/>
      <c r="C48" s="6"/>
      <c r="D48" s="6"/>
      <c r="E48" s="6"/>
      <c r="F48" s="4"/>
      <c r="G48" s="4"/>
      <c r="H48" s="4"/>
      <c r="I48" s="4"/>
      <c r="J48" s="4"/>
      <c r="K48" s="15" t="s">
        <v>20</v>
      </c>
      <c r="L48" s="4"/>
      <c r="M48" s="4"/>
      <c r="N48" s="14">
        <f>Tabella134[[#This Row],[QTà. CONSEGNATA]]-Tabella134[[#This Row],[QTà. UTILIZZATA]]</f>
        <v>0</v>
      </c>
    </row>
    <row r="49" spans="2:14" x14ac:dyDescent="0.25">
      <c r="B49" s="6"/>
      <c r="C49" s="6"/>
      <c r="D49" s="6"/>
      <c r="E49" s="6"/>
      <c r="F49" s="4"/>
      <c r="G49" s="4"/>
      <c r="H49" s="4"/>
      <c r="I49" s="4"/>
      <c r="J49" s="4"/>
      <c r="K49" s="15" t="s">
        <v>20</v>
      </c>
      <c r="L49" s="4"/>
      <c r="M49" s="4"/>
      <c r="N49" s="14">
        <f>Tabella134[[#This Row],[QTà. CONSEGNATA]]-Tabella134[[#This Row],[QTà. UTILIZZATA]]</f>
        <v>0</v>
      </c>
    </row>
    <row r="50" spans="2:14" x14ac:dyDescent="0.25">
      <c r="B50" s="6"/>
      <c r="C50" s="6"/>
      <c r="D50" s="6"/>
      <c r="E50" s="6"/>
      <c r="F50" s="4"/>
      <c r="G50" s="4"/>
      <c r="H50" s="4"/>
      <c r="I50" s="4"/>
      <c r="J50" s="4"/>
      <c r="K50" s="15" t="s">
        <v>20</v>
      </c>
      <c r="L50" s="4"/>
      <c r="M50" s="4"/>
      <c r="N50" s="14">
        <f>Tabella134[[#This Row],[QTà. CONSEGNATA]]-Tabella134[[#This Row],[QTà. UTILIZZATA]]</f>
        <v>0</v>
      </c>
    </row>
    <row r="51" spans="2:14" x14ac:dyDescent="0.25">
      <c r="B51" s="6"/>
      <c r="C51" s="6"/>
      <c r="D51" s="6"/>
      <c r="E51" s="6"/>
      <c r="F51" s="4"/>
      <c r="G51" s="4"/>
      <c r="H51" s="4"/>
      <c r="I51" s="4"/>
      <c r="J51" s="4"/>
      <c r="K51" s="15" t="s">
        <v>20</v>
      </c>
      <c r="L51" s="4"/>
      <c r="M51" s="4"/>
      <c r="N51" s="14">
        <f>Tabella134[[#This Row],[QTà. CONSEGNATA]]-Tabella134[[#This Row],[QTà. UTILIZZATA]]</f>
        <v>0</v>
      </c>
    </row>
    <row r="52" spans="2:14" x14ac:dyDescent="0.25">
      <c r="B52" s="6"/>
      <c r="C52" s="6"/>
      <c r="D52" s="6"/>
      <c r="E52" s="6"/>
      <c r="F52" s="4"/>
      <c r="G52" s="4"/>
      <c r="H52" s="4"/>
      <c r="I52" s="4"/>
      <c r="J52" s="4"/>
      <c r="K52" s="15" t="s">
        <v>20</v>
      </c>
      <c r="L52" s="4"/>
      <c r="M52" s="4"/>
      <c r="N52" s="14">
        <f>Tabella134[[#This Row],[QTà. CONSEGNATA]]-Tabella134[[#This Row],[QTà. UTILIZZATA]]</f>
        <v>0</v>
      </c>
    </row>
    <row r="53" spans="2:14" x14ac:dyDescent="0.25">
      <c r="B53" s="6"/>
      <c r="C53" s="6"/>
      <c r="D53" s="6"/>
      <c r="E53" s="6"/>
      <c r="F53" s="4"/>
      <c r="G53" s="4"/>
      <c r="H53" s="4"/>
      <c r="I53" s="4"/>
      <c r="J53" s="4"/>
      <c r="K53" s="15" t="s">
        <v>20</v>
      </c>
      <c r="L53" s="4"/>
      <c r="M53" s="4"/>
      <c r="N53" s="14">
        <f>Tabella134[[#This Row],[QTà. CONSEGNATA]]-Tabella134[[#This Row],[QTà. UTILIZZATA]]</f>
        <v>0</v>
      </c>
    </row>
    <row r="54" spans="2:14" x14ac:dyDescent="0.25">
      <c r="B54" s="6"/>
      <c r="C54" s="6"/>
      <c r="D54" s="6"/>
      <c r="E54" s="6"/>
      <c r="F54" s="4"/>
      <c r="G54" s="4"/>
      <c r="H54" s="4"/>
      <c r="I54" s="4"/>
      <c r="J54" s="4"/>
      <c r="K54" s="15" t="s">
        <v>20</v>
      </c>
      <c r="L54" s="4"/>
      <c r="M54" s="4"/>
      <c r="N54" s="14">
        <f>Tabella134[[#This Row],[QTà. CONSEGNATA]]-Tabella134[[#This Row],[QTà. UTILIZZATA]]</f>
        <v>0</v>
      </c>
    </row>
  </sheetData>
  <mergeCells count="7">
    <mergeCell ref="B6:N6"/>
    <mergeCell ref="B1:E2"/>
    <mergeCell ref="F1:L2"/>
    <mergeCell ref="M1:N2"/>
    <mergeCell ref="B3:N3"/>
    <mergeCell ref="B4:N4"/>
    <mergeCell ref="B5:N5"/>
  </mergeCells>
  <pageMargins left="0.7" right="0.7" top="0.75" bottom="0.75" header="0.3" footer="0.3"/>
  <pageSetup paperSize="9" scale="64" fitToHeight="0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7CFEC-3466-424F-B716-283C455EDC67}">
  <sheetPr>
    <pageSetUpPr fitToPage="1"/>
  </sheetPr>
  <dimension ref="B1:N54"/>
  <sheetViews>
    <sheetView workbookViewId="0">
      <selection activeCell="K10" sqref="K10"/>
    </sheetView>
  </sheetViews>
  <sheetFormatPr defaultRowHeight="15" x14ac:dyDescent="0.25"/>
  <cols>
    <col min="2" max="3" width="14.7109375" customWidth="1"/>
    <col min="4" max="5" width="12.28515625" customWidth="1"/>
    <col min="6" max="6" width="15.5703125" bestFit="1" customWidth="1"/>
    <col min="7" max="8" width="15.5703125" customWidth="1"/>
    <col min="9" max="9" width="16.42578125" bestFit="1" customWidth="1"/>
    <col min="10" max="10" width="20" bestFit="1" customWidth="1"/>
    <col min="11" max="11" width="27.28515625" bestFit="1" customWidth="1"/>
    <col min="12" max="12" width="20" customWidth="1"/>
    <col min="13" max="13" width="15.5703125" bestFit="1" customWidth="1"/>
    <col min="14" max="14" width="14.42578125" style="1" bestFit="1" customWidth="1"/>
  </cols>
  <sheetData>
    <row r="1" spans="2:14" ht="15" customHeight="1" x14ac:dyDescent="0.25">
      <c r="B1" s="26" t="s">
        <v>13</v>
      </c>
      <c r="C1" s="27"/>
      <c r="D1" s="27"/>
      <c r="E1" s="28"/>
      <c r="F1" s="32" t="s">
        <v>17</v>
      </c>
      <c r="G1" s="27"/>
      <c r="H1" s="27"/>
      <c r="I1" s="27"/>
      <c r="J1" s="27"/>
      <c r="K1" s="27"/>
      <c r="L1" s="27"/>
      <c r="M1" s="22" t="s">
        <v>16</v>
      </c>
      <c r="N1" s="23"/>
    </row>
    <row r="2" spans="2:14" ht="15.75" customHeight="1" thickBot="1" x14ac:dyDescent="0.3">
      <c r="B2" s="29"/>
      <c r="C2" s="30"/>
      <c r="D2" s="30"/>
      <c r="E2" s="31"/>
      <c r="F2" s="33"/>
      <c r="G2" s="30"/>
      <c r="H2" s="30"/>
      <c r="I2" s="30"/>
      <c r="J2" s="30"/>
      <c r="K2" s="30"/>
      <c r="L2" s="30"/>
      <c r="M2" s="24"/>
      <c r="N2" s="25"/>
    </row>
    <row r="3" spans="2:14" ht="15.75" x14ac:dyDescent="0.25">
      <c r="B3" s="34" t="s">
        <v>19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6"/>
    </row>
    <row r="4" spans="2:14" ht="15.75" x14ac:dyDescent="0.25">
      <c r="B4" s="16" t="s">
        <v>9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8"/>
    </row>
    <row r="5" spans="2:14" ht="15.75" x14ac:dyDescent="0.25">
      <c r="B5" s="16" t="s">
        <v>0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</row>
    <row r="6" spans="2:14" ht="16.5" thickBot="1" x14ac:dyDescent="0.3">
      <c r="B6" s="19" t="s">
        <v>1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1"/>
    </row>
    <row r="9" spans="2:14" s="2" customFormat="1" ht="45" x14ac:dyDescent="0.25">
      <c r="B9" s="5" t="s">
        <v>15</v>
      </c>
      <c r="C9" s="5" t="s">
        <v>14</v>
      </c>
      <c r="D9" s="5" t="s">
        <v>10</v>
      </c>
      <c r="E9" s="5" t="s">
        <v>3</v>
      </c>
      <c r="F9" s="3" t="s">
        <v>2</v>
      </c>
      <c r="G9" s="3" t="s">
        <v>4</v>
      </c>
      <c r="H9" s="3" t="s">
        <v>12</v>
      </c>
      <c r="I9" s="3" t="s">
        <v>5</v>
      </c>
      <c r="J9" s="3" t="s">
        <v>11</v>
      </c>
      <c r="K9" s="3" t="s">
        <v>21</v>
      </c>
      <c r="L9" s="3" t="s">
        <v>6</v>
      </c>
      <c r="M9" s="3" t="s">
        <v>7</v>
      </c>
      <c r="N9" s="7" t="s">
        <v>8</v>
      </c>
    </row>
    <row r="10" spans="2:14" x14ac:dyDescent="0.25">
      <c r="B10" s="10"/>
      <c r="C10" s="10"/>
      <c r="D10" s="10"/>
      <c r="E10" s="10"/>
      <c r="F10" s="11"/>
      <c r="G10" s="11"/>
      <c r="H10" s="11"/>
      <c r="I10" s="11"/>
      <c r="J10" s="11"/>
      <c r="K10" s="15" t="s">
        <v>20</v>
      </c>
      <c r="L10" s="11"/>
      <c r="M10" s="11"/>
      <c r="N10" s="12">
        <f>Tabella1345[[#This Row],[QTà. CONSEGNATA]]-Tabella1345[[#This Row],[QTà. UTILIZZATA]]</f>
        <v>0</v>
      </c>
    </row>
    <row r="11" spans="2:14" x14ac:dyDescent="0.25">
      <c r="B11" s="6"/>
      <c r="C11" s="6"/>
      <c r="D11" s="6"/>
      <c r="E11" s="6"/>
      <c r="F11" s="4"/>
      <c r="G11" s="4"/>
      <c r="H11" s="4"/>
      <c r="I11" s="4"/>
      <c r="J11" s="4"/>
      <c r="K11" s="15" t="s">
        <v>20</v>
      </c>
      <c r="L11" s="4"/>
      <c r="M11" s="4"/>
      <c r="N11" s="13">
        <f>Tabella1345[[#This Row],[QTà. CONSEGNATA]]-Tabella1345[[#This Row],[QTà. UTILIZZATA]]</f>
        <v>0</v>
      </c>
    </row>
    <row r="12" spans="2:14" x14ac:dyDescent="0.25">
      <c r="B12" s="6"/>
      <c r="C12" s="6"/>
      <c r="D12" s="6"/>
      <c r="E12" s="6"/>
      <c r="F12" s="4"/>
      <c r="G12" s="4"/>
      <c r="H12" s="4"/>
      <c r="I12" s="4"/>
      <c r="J12" s="4"/>
      <c r="K12" s="15" t="s">
        <v>20</v>
      </c>
      <c r="L12" s="4"/>
      <c r="M12" s="4"/>
      <c r="N12" s="13">
        <f>Tabella1345[[#This Row],[QTà. CONSEGNATA]]-Tabella1345[[#This Row],[QTà. UTILIZZATA]]</f>
        <v>0</v>
      </c>
    </row>
    <row r="13" spans="2:14" x14ac:dyDescent="0.25">
      <c r="B13" s="6"/>
      <c r="C13" s="6"/>
      <c r="D13" s="6"/>
      <c r="E13" s="6"/>
      <c r="F13" s="4"/>
      <c r="G13" s="4"/>
      <c r="H13" s="4"/>
      <c r="I13" s="4"/>
      <c r="J13" s="4"/>
      <c r="K13" s="15" t="s">
        <v>20</v>
      </c>
      <c r="L13" s="4"/>
      <c r="M13" s="4"/>
      <c r="N13" s="13">
        <f>Tabella1345[[#This Row],[QTà. CONSEGNATA]]-Tabella1345[[#This Row],[QTà. UTILIZZATA]]</f>
        <v>0</v>
      </c>
    </row>
    <row r="14" spans="2:14" x14ac:dyDescent="0.25">
      <c r="B14" s="6"/>
      <c r="C14" s="6"/>
      <c r="D14" s="6"/>
      <c r="E14" s="6"/>
      <c r="F14" s="4"/>
      <c r="G14" s="4"/>
      <c r="H14" s="4"/>
      <c r="I14" s="4"/>
      <c r="J14" s="4"/>
      <c r="K14" s="15" t="s">
        <v>20</v>
      </c>
      <c r="L14" s="4"/>
      <c r="M14" s="4"/>
      <c r="N14" s="13">
        <f>Tabella1345[[#This Row],[QTà. CONSEGNATA]]-Tabella1345[[#This Row],[QTà. UTILIZZATA]]</f>
        <v>0</v>
      </c>
    </row>
    <row r="15" spans="2:14" x14ac:dyDescent="0.25">
      <c r="B15" s="6"/>
      <c r="C15" s="6"/>
      <c r="D15" s="6"/>
      <c r="E15" s="6"/>
      <c r="F15" s="4"/>
      <c r="G15" s="4"/>
      <c r="H15" s="4"/>
      <c r="I15" s="4"/>
      <c r="J15" s="4"/>
      <c r="K15" s="15" t="s">
        <v>20</v>
      </c>
      <c r="L15" s="4"/>
      <c r="M15" s="4"/>
      <c r="N15" s="13">
        <f>Tabella1345[[#This Row],[QTà. CONSEGNATA]]-Tabella1345[[#This Row],[QTà. UTILIZZATA]]</f>
        <v>0</v>
      </c>
    </row>
    <row r="16" spans="2:14" x14ac:dyDescent="0.25">
      <c r="B16" s="6"/>
      <c r="C16" s="6"/>
      <c r="D16" s="6"/>
      <c r="E16" s="6"/>
      <c r="F16" s="4"/>
      <c r="G16" s="4"/>
      <c r="H16" s="4"/>
      <c r="I16" s="4"/>
      <c r="J16" s="4"/>
      <c r="K16" s="15" t="s">
        <v>20</v>
      </c>
      <c r="L16" s="4"/>
      <c r="M16" s="4"/>
      <c r="N16" s="13">
        <f>Tabella1345[[#This Row],[QTà. CONSEGNATA]]-Tabella1345[[#This Row],[QTà. UTILIZZATA]]</f>
        <v>0</v>
      </c>
    </row>
    <row r="17" spans="2:14" x14ac:dyDescent="0.25">
      <c r="B17" s="6"/>
      <c r="C17" s="6"/>
      <c r="D17" s="6"/>
      <c r="E17" s="6"/>
      <c r="F17" s="4"/>
      <c r="G17" s="4"/>
      <c r="H17" s="4"/>
      <c r="I17" s="4"/>
      <c r="J17" s="4"/>
      <c r="K17" s="15" t="s">
        <v>20</v>
      </c>
      <c r="L17" s="4"/>
      <c r="M17" s="4"/>
      <c r="N17" s="13">
        <f>Tabella1345[[#This Row],[QTà. CONSEGNATA]]-Tabella1345[[#This Row],[QTà. UTILIZZATA]]</f>
        <v>0</v>
      </c>
    </row>
    <row r="18" spans="2:14" x14ac:dyDescent="0.25">
      <c r="B18" s="6"/>
      <c r="C18" s="6"/>
      <c r="D18" s="6"/>
      <c r="E18" s="6"/>
      <c r="F18" s="4"/>
      <c r="G18" s="4"/>
      <c r="H18" s="4"/>
      <c r="I18" s="4"/>
      <c r="J18" s="4"/>
      <c r="K18" s="15" t="s">
        <v>20</v>
      </c>
      <c r="L18" s="4"/>
      <c r="M18" s="4"/>
      <c r="N18" s="13">
        <f>Tabella1345[[#This Row],[QTà. CONSEGNATA]]-Tabella1345[[#This Row],[QTà. UTILIZZATA]]</f>
        <v>0</v>
      </c>
    </row>
    <row r="19" spans="2:14" x14ac:dyDescent="0.25">
      <c r="B19" s="6"/>
      <c r="C19" s="6"/>
      <c r="D19" s="6"/>
      <c r="E19" s="6"/>
      <c r="F19" s="4"/>
      <c r="G19" s="4"/>
      <c r="H19" s="4"/>
      <c r="I19" s="4"/>
      <c r="J19" s="4"/>
      <c r="K19" s="15" t="s">
        <v>20</v>
      </c>
      <c r="L19" s="4"/>
      <c r="M19" s="4"/>
      <c r="N19" s="13">
        <f>Tabella1345[[#This Row],[QTà. CONSEGNATA]]-Tabella1345[[#This Row],[QTà. UTILIZZATA]]</f>
        <v>0</v>
      </c>
    </row>
    <row r="20" spans="2:14" x14ac:dyDescent="0.25">
      <c r="B20" s="6"/>
      <c r="C20" s="6"/>
      <c r="D20" s="6"/>
      <c r="E20" s="6"/>
      <c r="F20" s="4"/>
      <c r="G20" s="4"/>
      <c r="H20" s="4"/>
      <c r="I20" s="4"/>
      <c r="J20" s="4"/>
      <c r="K20" s="15" t="s">
        <v>20</v>
      </c>
      <c r="L20" s="4"/>
      <c r="M20" s="4"/>
      <c r="N20" s="13">
        <f>Tabella1345[[#This Row],[QTà. CONSEGNATA]]-Tabella1345[[#This Row],[QTà. UTILIZZATA]]</f>
        <v>0</v>
      </c>
    </row>
    <row r="21" spans="2:14" x14ac:dyDescent="0.25">
      <c r="B21" s="6"/>
      <c r="C21" s="6"/>
      <c r="D21" s="6"/>
      <c r="E21" s="6"/>
      <c r="F21" s="4"/>
      <c r="G21" s="4"/>
      <c r="H21" s="4"/>
      <c r="I21" s="4"/>
      <c r="J21" s="4"/>
      <c r="K21" s="15" t="s">
        <v>20</v>
      </c>
      <c r="L21" s="4"/>
      <c r="M21" s="4"/>
      <c r="N21" s="13">
        <f>Tabella1345[[#This Row],[QTà. CONSEGNATA]]-Tabella1345[[#This Row],[QTà. UTILIZZATA]]</f>
        <v>0</v>
      </c>
    </row>
    <row r="22" spans="2:14" x14ac:dyDescent="0.25">
      <c r="B22" s="6"/>
      <c r="C22" s="6"/>
      <c r="D22" s="6"/>
      <c r="E22" s="6"/>
      <c r="F22" s="4"/>
      <c r="G22" s="4"/>
      <c r="H22" s="4"/>
      <c r="I22" s="4"/>
      <c r="J22" s="4"/>
      <c r="K22" s="15" t="s">
        <v>20</v>
      </c>
      <c r="L22" s="4"/>
      <c r="M22" s="4"/>
      <c r="N22" s="13">
        <f>Tabella1345[[#This Row],[QTà. CONSEGNATA]]-Tabella1345[[#This Row],[QTà. UTILIZZATA]]</f>
        <v>0</v>
      </c>
    </row>
    <row r="23" spans="2:14" x14ac:dyDescent="0.25">
      <c r="B23" s="6"/>
      <c r="C23" s="6"/>
      <c r="D23" s="6"/>
      <c r="E23" s="6"/>
      <c r="F23" s="4"/>
      <c r="G23" s="4"/>
      <c r="H23" s="4"/>
      <c r="I23" s="4"/>
      <c r="J23" s="4"/>
      <c r="K23" s="15" t="s">
        <v>20</v>
      </c>
      <c r="L23" s="4"/>
      <c r="M23" s="4"/>
      <c r="N23" s="13">
        <f>Tabella1345[[#This Row],[QTà. CONSEGNATA]]-Tabella1345[[#This Row],[QTà. UTILIZZATA]]</f>
        <v>0</v>
      </c>
    </row>
    <row r="24" spans="2:14" x14ac:dyDescent="0.25">
      <c r="B24" s="6"/>
      <c r="C24" s="6"/>
      <c r="D24" s="6"/>
      <c r="E24" s="6"/>
      <c r="F24" s="4"/>
      <c r="G24" s="4"/>
      <c r="H24" s="4"/>
      <c r="I24" s="4"/>
      <c r="J24" s="4"/>
      <c r="K24" s="15" t="s">
        <v>20</v>
      </c>
      <c r="L24" s="4"/>
      <c r="M24" s="4"/>
      <c r="N24" s="13">
        <f>Tabella1345[[#This Row],[QTà. CONSEGNATA]]-Tabella1345[[#This Row],[QTà. UTILIZZATA]]</f>
        <v>0</v>
      </c>
    </row>
    <row r="25" spans="2:14" x14ac:dyDescent="0.25">
      <c r="B25" s="6"/>
      <c r="C25" s="6"/>
      <c r="D25" s="6"/>
      <c r="E25" s="6"/>
      <c r="F25" s="4"/>
      <c r="G25" s="4"/>
      <c r="H25" s="4"/>
      <c r="I25" s="4"/>
      <c r="J25" s="4"/>
      <c r="K25" s="15" t="s">
        <v>20</v>
      </c>
      <c r="L25" s="4"/>
      <c r="M25" s="4"/>
      <c r="N25" s="13">
        <f>Tabella1345[[#This Row],[QTà. CONSEGNATA]]-Tabella1345[[#This Row],[QTà. UTILIZZATA]]</f>
        <v>0</v>
      </c>
    </row>
    <row r="26" spans="2:14" x14ac:dyDescent="0.25">
      <c r="B26" s="6"/>
      <c r="C26" s="6"/>
      <c r="D26" s="6"/>
      <c r="E26" s="6"/>
      <c r="F26" s="4"/>
      <c r="G26" s="4"/>
      <c r="H26" s="4"/>
      <c r="I26" s="4"/>
      <c r="J26" s="4"/>
      <c r="K26" s="15" t="s">
        <v>20</v>
      </c>
      <c r="L26" s="4"/>
      <c r="M26" s="4"/>
      <c r="N26" s="13">
        <f>Tabella1345[[#This Row],[QTà. CONSEGNATA]]-Tabella1345[[#This Row],[QTà. UTILIZZATA]]</f>
        <v>0</v>
      </c>
    </row>
    <row r="27" spans="2:14" x14ac:dyDescent="0.25">
      <c r="B27" s="6"/>
      <c r="C27" s="6"/>
      <c r="D27" s="6"/>
      <c r="E27" s="6"/>
      <c r="F27" s="4"/>
      <c r="G27" s="4"/>
      <c r="H27" s="4"/>
      <c r="I27" s="4"/>
      <c r="J27" s="4"/>
      <c r="K27" s="15" t="s">
        <v>20</v>
      </c>
      <c r="L27" s="4"/>
      <c r="M27" s="4"/>
      <c r="N27" s="13">
        <f>Tabella1345[[#This Row],[QTà. CONSEGNATA]]-Tabella1345[[#This Row],[QTà. UTILIZZATA]]</f>
        <v>0</v>
      </c>
    </row>
    <row r="28" spans="2:14" x14ac:dyDescent="0.25">
      <c r="B28" s="6"/>
      <c r="C28" s="6"/>
      <c r="D28" s="6"/>
      <c r="E28" s="6"/>
      <c r="F28" s="4"/>
      <c r="G28" s="4"/>
      <c r="H28" s="4"/>
      <c r="I28" s="4"/>
      <c r="J28" s="4"/>
      <c r="K28" s="15" t="s">
        <v>20</v>
      </c>
      <c r="L28" s="4"/>
      <c r="M28" s="4"/>
      <c r="N28" s="13">
        <f>Tabella1345[[#This Row],[QTà. CONSEGNATA]]-Tabella1345[[#This Row],[QTà. UTILIZZATA]]</f>
        <v>0</v>
      </c>
    </row>
    <row r="29" spans="2:14" x14ac:dyDescent="0.25">
      <c r="B29" s="6"/>
      <c r="C29" s="6"/>
      <c r="D29" s="6"/>
      <c r="E29" s="6"/>
      <c r="F29" s="4"/>
      <c r="G29" s="4"/>
      <c r="H29" s="4"/>
      <c r="I29" s="4"/>
      <c r="J29" s="4"/>
      <c r="K29" s="15" t="s">
        <v>20</v>
      </c>
      <c r="L29" s="4"/>
      <c r="M29" s="4"/>
      <c r="N29" s="13">
        <f>Tabella1345[[#This Row],[QTà. CONSEGNATA]]-Tabella1345[[#This Row],[QTà. UTILIZZATA]]</f>
        <v>0</v>
      </c>
    </row>
    <row r="30" spans="2:14" x14ac:dyDescent="0.25">
      <c r="B30" s="6"/>
      <c r="C30" s="6"/>
      <c r="D30" s="6"/>
      <c r="E30" s="6"/>
      <c r="F30" s="4"/>
      <c r="G30" s="4"/>
      <c r="H30" s="4"/>
      <c r="I30" s="4"/>
      <c r="J30" s="4"/>
      <c r="K30" s="15" t="s">
        <v>20</v>
      </c>
      <c r="L30" s="4"/>
      <c r="M30" s="4"/>
      <c r="N30" s="13">
        <f>Tabella1345[[#This Row],[QTà. CONSEGNATA]]-Tabella1345[[#This Row],[QTà. UTILIZZATA]]</f>
        <v>0</v>
      </c>
    </row>
    <row r="31" spans="2:14" x14ac:dyDescent="0.25">
      <c r="B31" s="6"/>
      <c r="C31" s="6"/>
      <c r="D31" s="6"/>
      <c r="E31" s="6"/>
      <c r="F31" s="4"/>
      <c r="G31" s="4"/>
      <c r="H31" s="4"/>
      <c r="I31" s="4"/>
      <c r="J31" s="4"/>
      <c r="K31" s="15" t="s">
        <v>20</v>
      </c>
      <c r="L31" s="4"/>
      <c r="M31" s="4"/>
      <c r="N31" s="13">
        <f>Tabella1345[[#This Row],[QTà. CONSEGNATA]]-Tabella1345[[#This Row],[QTà. UTILIZZATA]]</f>
        <v>0</v>
      </c>
    </row>
    <row r="32" spans="2:14" x14ac:dyDescent="0.25">
      <c r="B32" s="6"/>
      <c r="C32" s="6"/>
      <c r="D32" s="6"/>
      <c r="E32" s="6"/>
      <c r="F32" s="4"/>
      <c r="G32" s="4"/>
      <c r="H32" s="4"/>
      <c r="I32" s="4"/>
      <c r="J32" s="4"/>
      <c r="K32" s="15" t="s">
        <v>20</v>
      </c>
      <c r="L32" s="4"/>
      <c r="M32" s="4"/>
      <c r="N32" s="13">
        <f>Tabella1345[[#This Row],[QTà. CONSEGNATA]]-Tabella1345[[#This Row],[QTà. UTILIZZATA]]</f>
        <v>0</v>
      </c>
    </row>
    <row r="33" spans="2:14" x14ac:dyDescent="0.25">
      <c r="B33" s="8"/>
      <c r="C33" s="8"/>
      <c r="D33" s="8"/>
      <c r="E33" s="8"/>
      <c r="F33" s="9"/>
      <c r="G33" s="9"/>
      <c r="H33" s="9"/>
      <c r="I33" s="9"/>
      <c r="J33" s="9"/>
      <c r="K33" s="15" t="s">
        <v>20</v>
      </c>
      <c r="L33" s="9"/>
      <c r="M33" s="9"/>
      <c r="N33" s="14">
        <f>Tabella1345[[#This Row],[QTà. CONSEGNATA]]-Tabella1345[[#This Row],[QTà. UTILIZZATA]]</f>
        <v>0</v>
      </c>
    </row>
    <row r="34" spans="2:14" x14ac:dyDescent="0.25">
      <c r="B34" s="6"/>
      <c r="C34" s="6"/>
      <c r="D34" s="6"/>
      <c r="E34" s="6"/>
      <c r="F34" s="4"/>
      <c r="G34" s="4"/>
      <c r="H34" s="4"/>
      <c r="I34" s="4"/>
      <c r="J34" s="4"/>
      <c r="K34" s="15" t="s">
        <v>20</v>
      </c>
      <c r="L34" s="4"/>
      <c r="M34" s="4"/>
      <c r="N34" s="14">
        <f>Tabella1345[[#This Row],[QTà. CONSEGNATA]]-Tabella1345[[#This Row],[QTà. UTILIZZATA]]</f>
        <v>0</v>
      </c>
    </row>
    <row r="35" spans="2:14" x14ac:dyDescent="0.25">
      <c r="B35" s="6"/>
      <c r="C35" s="6"/>
      <c r="D35" s="6"/>
      <c r="E35" s="6"/>
      <c r="F35" s="4"/>
      <c r="G35" s="4"/>
      <c r="H35" s="4"/>
      <c r="I35" s="4"/>
      <c r="J35" s="4"/>
      <c r="K35" s="15" t="s">
        <v>20</v>
      </c>
      <c r="L35" s="4"/>
      <c r="M35" s="4"/>
      <c r="N35" s="14">
        <f>Tabella1345[[#This Row],[QTà. CONSEGNATA]]-Tabella1345[[#This Row],[QTà. UTILIZZATA]]</f>
        <v>0</v>
      </c>
    </row>
    <row r="36" spans="2:14" x14ac:dyDescent="0.25">
      <c r="B36" s="6"/>
      <c r="C36" s="6"/>
      <c r="D36" s="6"/>
      <c r="E36" s="6"/>
      <c r="F36" s="4"/>
      <c r="G36" s="4"/>
      <c r="H36" s="4"/>
      <c r="I36" s="4"/>
      <c r="J36" s="4"/>
      <c r="K36" s="15" t="s">
        <v>20</v>
      </c>
      <c r="L36" s="4"/>
      <c r="M36" s="4"/>
      <c r="N36" s="14">
        <f>Tabella1345[[#This Row],[QTà. CONSEGNATA]]-Tabella1345[[#This Row],[QTà. UTILIZZATA]]</f>
        <v>0</v>
      </c>
    </row>
    <row r="37" spans="2:14" x14ac:dyDescent="0.25">
      <c r="B37" s="6"/>
      <c r="C37" s="6"/>
      <c r="D37" s="6"/>
      <c r="E37" s="6"/>
      <c r="F37" s="4"/>
      <c r="G37" s="4"/>
      <c r="H37" s="4"/>
      <c r="I37" s="4"/>
      <c r="J37" s="4"/>
      <c r="K37" s="15" t="s">
        <v>20</v>
      </c>
      <c r="L37" s="4"/>
      <c r="M37" s="4"/>
      <c r="N37" s="14">
        <f>Tabella1345[[#This Row],[QTà. CONSEGNATA]]-Tabella1345[[#This Row],[QTà. UTILIZZATA]]</f>
        <v>0</v>
      </c>
    </row>
    <row r="38" spans="2:14" x14ac:dyDescent="0.25">
      <c r="B38" s="6"/>
      <c r="C38" s="6"/>
      <c r="D38" s="6"/>
      <c r="E38" s="6"/>
      <c r="F38" s="4"/>
      <c r="G38" s="4"/>
      <c r="H38" s="4"/>
      <c r="I38" s="4"/>
      <c r="J38" s="4"/>
      <c r="K38" s="15" t="s">
        <v>20</v>
      </c>
      <c r="L38" s="4"/>
      <c r="M38" s="4"/>
      <c r="N38" s="14">
        <f>Tabella1345[[#This Row],[QTà. CONSEGNATA]]-Tabella1345[[#This Row],[QTà. UTILIZZATA]]</f>
        <v>0</v>
      </c>
    </row>
    <row r="39" spans="2:14" x14ac:dyDescent="0.25">
      <c r="B39" s="6"/>
      <c r="C39" s="6"/>
      <c r="D39" s="6"/>
      <c r="E39" s="6"/>
      <c r="F39" s="4"/>
      <c r="G39" s="4"/>
      <c r="H39" s="4"/>
      <c r="I39" s="4"/>
      <c r="J39" s="4"/>
      <c r="K39" s="15" t="s">
        <v>20</v>
      </c>
      <c r="L39" s="4"/>
      <c r="M39" s="4"/>
      <c r="N39" s="14">
        <f>Tabella1345[[#This Row],[QTà. CONSEGNATA]]-Tabella1345[[#This Row],[QTà. UTILIZZATA]]</f>
        <v>0</v>
      </c>
    </row>
    <row r="40" spans="2:14" x14ac:dyDescent="0.25">
      <c r="B40" s="6"/>
      <c r="C40" s="6"/>
      <c r="D40" s="6"/>
      <c r="E40" s="6"/>
      <c r="F40" s="4"/>
      <c r="G40" s="4"/>
      <c r="H40" s="4"/>
      <c r="I40" s="4"/>
      <c r="J40" s="4"/>
      <c r="K40" s="15" t="s">
        <v>20</v>
      </c>
      <c r="L40" s="4"/>
      <c r="M40" s="4"/>
      <c r="N40" s="14">
        <f>Tabella1345[[#This Row],[QTà. CONSEGNATA]]-Tabella1345[[#This Row],[QTà. UTILIZZATA]]</f>
        <v>0</v>
      </c>
    </row>
    <row r="41" spans="2:14" x14ac:dyDescent="0.25">
      <c r="B41" s="6"/>
      <c r="C41" s="6"/>
      <c r="D41" s="6"/>
      <c r="E41" s="6"/>
      <c r="F41" s="4"/>
      <c r="G41" s="4"/>
      <c r="H41" s="4"/>
      <c r="I41" s="4"/>
      <c r="J41" s="4"/>
      <c r="K41" s="15" t="s">
        <v>20</v>
      </c>
      <c r="L41" s="4"/>
      <c r="M41" s="4"/>
      <c r="N41" s="14">
        <f>Tabella1345[[#This Row],[QTà. CONSEGNATA]]-Tabella1345[[#This Row],[QTà. UTILIZZATA]]</f>
        <v>0</v>
      </c>
    </row>
    <row r="42" spans="2:14" x14ac:dyDescent="0.25">
      <c r="B42" s="6"/>
      <c r="C42" s="6"/>
      <c r="D42" s="6"/>
      <c r="E42" s="6"/>
      <c r="F42" s="4"/>
      <c r="G42" s="4"/>
      <c r="H42" s="4"/>
      <c r="I42" s="4"/>
      <c r="J42" s="4"/>
      <c r="K42" s="15" t="s">
        <v>20</v>
      </c>
      <c r="L42" s="4"/>
      <c r="M42" s="4"/>
      <c r="N42" s="14">
        <f>Tabella1345[[#This Row],[QTà. CONSEGNATA]]-Tabella1345[[#This Row],[QTà. UTILIZZATA]]</f>
        <v>0</v>
      </c>
    </row>
    <row r="43" spans="2:14" x14ac:dyDescent="0.25">
      <c r="B43" s="6"/>
      <c r="C43" s="6"/>
      <c r="D43" s="6"/>
      <c r="E43" s="6"/>
      <c r="F43" s="4"/>
      <c r="G43" s="4"/>
      <c r="H43" s="4"/>
      <c r="I43" s="4"/>
      <c r="J43" s="4"/>
      <c r="K43" s="15" t="s">
        <v>20</v>
      </c>
      <c r="L43" s="4"/>
      <c r="M43" s="4"/>
      <c r="N43" s="14">
        <f>Tabella1345[[#This Row],[QTà. CONSEGNATA]]-Tabella1345[[#This Row],[QTà. UTILIZZATA]]</f>
        <v>0</v>
      </c>
    </row>
    <row r="44" spans="2:14" x14ac:dyDescent="0.25">
      <c r="B44" s="6"/>
      <c r="C44" s="6"/>
      <c r="D44" s="6"/>
      <c r="E44" s="6"/>
      <c r="F44" s="4"/>
      <c r="G44" s="4"/>
      <c r="H44" s="4"/>
      <c r="I44" s="4"/>
      <c r="J44" s="4"/>
      <c r="K44" s="15" t="s">
        <v>20</v>
      </c>
      <c r="L44" s="4"/>
      <c r="M44" s="4"/>
      <c r="N44" s="14">
        <f>Tabella1345[[#This Row],[QTà. CONSEGNATA]]-Tabella1345[[#This Row],[QTà. UTILIZZATA]]</f>
        <v>0</v>
      </c>
    </row>
    <row r="45" spans="2:14" x14ac:dyDescent="0.25">
      <c r="B45" s="6"/>
      <c r="C45" s="6"/>
      <c r="D45" s="6"/>
      <c r="E45" s="6"/>
      <c r="F45" s="4"/>
      <c r="G45" s="4"/>
      <c r="H45" s="4"/>
      <c r="I45" s="4"/>
      <c r="J45" s="4"/>
      <c r="K45" s="15" t="s">
        <v>20</v>
      </c>
      <c r="L45" s="4"/>
      <c r="M45" s="4"/>
      <c r="N45" s="14">
        <f>Tabella1345[[#This Row],[QTà. CONSEGNATA]]-Tabella1345[[#This Row],[QTà. UTILIZZATA]]</f>
        <v>0</v>
      </c>
    </row>
    <row r="46" spans="2:14" x14ac:dyDescent="0.25">
      <c r="B46" s="6"/>
      <c r="C46" s="6"/>
      <c r="D46" s="6"/>
      <c r="E46" s="6"/>
      <c r="F46" s="4"/>
      <c r="G46" s="4"/>
      <c r="H46" s="4"/>
      <c r="I46" s="4"/>
      <c r="J46" s="4"/>
      <c r="K46" s="15" t="s">
        <v>20</v>
      </c>
      <c r="L46" s="4"/>
      <c r="M46" s="4"/>
      <c r="N46" s="14">
        <f>Tabella1345[[#This Row],[QTà. CONSEGNATA]]-Tabella1345[[#This Row],[QTà. UTILIZZATA]]</f>
        <v>0</v>
      </c>
    </row>
    <row r="47" spans="2:14" x14ac:dyDescent="0.25">
      <c r="B47" s="6"/>
      <c r="C47" s="6"/>
      <c r="D47" s="6"/>
      <c r="E47" s="6"/>
      <c r="F47" s="4"/>
      <c r="G47" s="4"/>
      <c r="H47" s="4"/>
      <c r="I47" s="4"/>
      <c r="J47" s="4"/>
      <c r="K47" s="15" t="s">
        <v>20</v>
      </c>
      <c r="L47" s="4"/>
      <c r="M47" s="4"/>
      <c r="N47" s="14">
        <f>Tabella1345[[#This Row],[QTà. CONSEGNATA]]-Tabella1345[[#This Row],[QTà. UTILIZZATA]]</f>
        <v>0</v>
      </c>
    </row>
    <row r="48" spans="2:14" x14ac:dyDescent="0.25">
      <c r="B48" s="6"/>
      <c r="C48" s="6"/>
      <c r="D48" s="6"/>
      <c r="E48" s="6"/>
      <c r="F48" s="4"/>
      <c r="G48" s="4"/>
      <c r="H48" s="4"/>
      <c r="I48" s="4"/>
      <c r="J48" s="4"/>
      <c r="K48" s="15" t="s">
        <v>20</v>
      </c>
      <c r="L48" s="4"/>
      <c r="M48" s="4"/>
      <c r="N48" s="14">
        <f>Tabella1345[[#This Row],[QTà. CONSEGNATA]]-Tabella1345[[#This Row],[QTà. UTILIZZATA]]</f>
        <v>0</v>
      </c>
    </row>
    <row r="49" spans="2:14" x14ac:dyDescent="0.25">
      <c r="B49" s="6"/>
      <c r="C49" s="6"/>
      <c r="D49" s="6"/>
      <c r="E49" s="6"/>
      <c r="F49" s="4"/>
      <c r="G49" s="4"/>
      <c r="H49" s="4"/>
      <c r="I49" s="4"/>
      <c r="J49" s="4"/>
      <c r="K49" s="15" t="s">
        <v>20</v>
      </c>
      <c r="L49" s="4"/>
      <c r="M49" s="4"/>
      <c r="N49" s="14">
        <f>Tabella1345[[#This Row],[QTà. CONSEGNATA]]-Tabella1345[[#This Row],[QTà. UTILIZZATA]]</f>
        <v>0</v>
      </c>
    </row>
    <row r="50" spans="2:14" x14ac:dyDescent="0.25">
      <c r="B50" s="6"/>
      <c r="C50" s="6"/>
      <c r="D50" s="6"/>
      <c r="E50" s="6"/>
      <c r="F50" s="4"/>
      <c r="G50" s="4"/>
      <c r="H50" s="4"/>
      <c r="I50" s="4"/>
      <c r="J50" s="4"/>
      <c r="K50" s="15" t="s">
        <v>20</v>
      </c>
      <c r="L50" s="4"/>
      <c r="M50" s="4"/>
      <c r="N50" s="14">
        <f>Tabella1345[[#This Row],[QTà. CONSEGNATA]]-Tabella1345[[#This Row],[QTà. UTILIZZATA]]</f>
        <v>0</v>
      </c>
    </row>
    <row r="51" spans="2:14" x14ac:dyDescent="0.25">
      <c r="B51" s="6"/>
      <c r="C51" s="6"/>
      <c r="D51" s="6"/>
      <c r="E51" s="6"/>
      <c r="F51" s="4"/>
      <c r="G51" s="4"/>
      <c r="H51" s="4"/>
      <c r="I51" s="4"/>
      <c r="J51" s="4"/>
      <c r="K51" s="15" t="s">
        <v>20</v>
      </c>
      <c r="L51" s="4"/>
      <c r="M51" s="4"/>
      <c r="N51" s="14">
        <f>Tabella1345[[#This Row],[QTà. CONSEGNATA]]-Tabella1345[[#This Row],[QTà. UTILIZZATA]]</f>
        <v>0</v>
      </c>
    </row>
    <row r="52" spans="2:14" x14ac:dyDescent="0.25">
      <c r="B52" s="6"/>
      <c r="C52" s="6"/>
      <c r="D52" s="6"/>
      <c r="E52" s="6"/>
      <c r="F52" s="4"/>
      <c r="G52" s="4"/>
      <c r="H52" s="4"/>
      <c r="I52" s="4"/>
      <c r="J52" s="4"/>
      <c r="K52" s="15" t="s">
        <v>20</v>
      </c>
      <c r="L52" s="4"/>
      <c r="M52" s="4"/>
      <c r="N52" s="14">
        <f>Tabella1345[[#This Row],[QTà. CONSEGNATA]]-Tabella1345[[#This Row],[QTà. UTILIZZATA]]</f>
        <v>0</v>
      </c>
    </row>
    <row r="53" spans="2:14" x14ac:dyDescent="0.25">
      <c r="B53" s="6"/>
      <c r="C53" s="6"/>
      <c r="D53" s="6"/>
      <c r="E53" s="6"/>
      <c r="F53" s="4"/>
      <c r="G53" s="4"/>
      <c r="H53" s="4"/>
      <c r="I53" s="4"/>
      <c r="J53" s="4"/>
      <c r="K53" s="15" t="s">
        <v>20</v>
      </c>
      <c r="L53" s="4"/>
      <c r="M53" s="4"/>
      <c r="N53" s="14">
        <f>Tabella1345[[#This Row],[QTà. CONSEGNATA]]-Tabella1345[[#This Row],[QTà. UTILIZZATA]]</f>
        <v>0</v>
      </c>
    </row>
    <row r="54" spans="2:14" x14ac:dyDescent="0.25">
      <c r="B54" s="6"/>
      <c r="C54" s="6"/>
      <c r="D54" s="6"/>
      <c r="E54" s="6"/>
      <c r="F54" s="4"/>
      <c r="G54" s="4"/>
      <c r="H54" s="4"/>
      <c r="I54" s="4"/>
      <c r="J54" s="4"/>
      <c r="K54" s="15" t="s">
        <v>20</v>
      </c>
      <c r="L54" s="4"/>
      <c r="M54" s="4"/>
      <c r="N54" s="14">
        <f>Tabella1345[[#This Row],[QTà. CONSEGNATA]]-Tabella1345[[#This Row],[QTà. UTILIZZATA]]</f>
        <v>0</v>
      </c>
    </row>
  </sheetData>
  <mergeCells count="7">
    <mergeCell ref="B6:N6"/>
    <mergeCell ref="B1:E2"/>
    <mergeCell ref="F1:L2"/>
    <mergeCell ref="M1:N2"/>
    <mergeCell ref="B3:N3"/>
    <mergeCell ref="B4:N4"/>
    <mergeCell ref="B5:N5"/>
  </mergeCells>
  <pageMargins left="0.7" right="0.7" top="0.75" bottom="0.75" header="0.3" footer="0.3"/>
  <pageSetup paperSize="9" scale="64" fitToHeight="0" orientation="landscape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C388E-4CED-4E7B-8971-FC16B4F37925}">
  <sheetPr>
    <pageSetUpPr fitToPage="1"/>
  </sheetPr>
  <dimension ref="B1:N54"/>
  <sheetViews>
    <sheetView workbookViewId="0">
      <selection activeCell="K10" sqref="K10"/>
    </sheetView>
  </sheetViews>
  <sheetFormatPr defaultRowHeight="15" x14ac:dyDescent="0.25"/>
  <cols>
    <col min="2" max="3" width="14.7109375" customWidth="1"/>
    <col min="4" max="5" width="12.28515625" customWidth="1"/>
    <col min="6" max="6" width="15.5703125" bestFit="1" customWidth="1"/>
    <col min="7" max="8" width="15.5703125" customWidth="1"/>
    <col min="9" max="9" width="16.42578125" bestFit="1" customWidth="1"/>
    <col min="10" max="10" width="20" bestFit="1" customWidth="1"/>
    <col min="11" max="11" width="27.5703125" customWidth="1"/>
    <col min="12" max="12" width="20" customWidth="1"/>
    <col min="13" max="13" width="15.5703125" bestFit="1" customWidth="1"/>
    <col min="14" max="14" width="14.42578125" style="1" bestFit="1" customWidth="1"/>
  </cols>
  <sheetData>
    <row r="1" spans="2:14" ht="15" customHeight="1" x14ac:dyDescent="0.25">
      <c r="B1" s="26" t="s">
        <v>13</v>
      </c>
      <c r="C1" s="27"/>
      <c r="D1" s="27"/>
      <c r="E1" s="28"/>
      <c r="F1" s="32" t="s">
        <v>17</v>
      </c>
      <c r="G1" s="27"/>
      <c r="H1" s="27"/>
      <c r="I1" s="27"/>
      <c r="J1" s="27"/>
      <c r="K1" s="27"/>
      <c r="L1" s="27"/>
      <c r="M1" s="22" t="s">
        <v>16</v>
      </c>
      <c r="N1" s="23"/>
    </row>
    <row r="2" spans="2:14" ht="15.75" customHeight="1" thickBot="1" x14ac:dyDescent="0.3">
      <c r="B2" s="29"/>
      <c r="C2" s="30"/>
      <c r="D2" s="30"/>
      <c r="E2" s="31"/>
      <c r="F2" s="33"/>
      <c r="G2" s="30"/>
      <c r="H2" s="30"/>
      <c r="I2" s="30"/>
      <c r="J2" s="30"/>
      <c r="K2" s="30"/>
      <c r="L2" s="30"/>
      <c r="M2" s="24"/>
      <c r="N2" s="25"/>
    </row>
    <row r="3" spans="2:14" ht="15.75" x14ac:dyDescent="0.25">
      <c r="B3" s="34" t="s">
        <v>19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6"/>
    </row>
    <row r="4" spans="2:14" ht="15.75" x14ac:dyDescent="0.25">
      <c r="B4" s="16" t="s">
        <v>9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8"/>
    </row>
    <row r="5" spans="2:14" ht="15.75" x14ac:dyDescent="0.25">
      <c r="B5" s="16" t="s">
        <v>0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</row>
    <row r="6" spans="2:14" ht="16.5" thickBot="1" x14ac:dyDescent="0.3">
      <c r="B6" s="19" t="s">
        <v>1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1"/>
    </row>
    <row r="9" spans="2:14" s="2" customFormat="1" ht="45" x14ac:dyDescent="0.25">
      <c r="B9" s="5" t="s">
        <v>15</v>
      </c>
      <c r="C9" s="5" t="s">
        <v>14</v>
      </c>
      <c r="D9" s="5" t="s">
        <v>10</v>
      </c>
      <c r="E9" s="5" t="s">
        <v>3</v>
      </c>
      <c r="F9" s="3" t="s">
        <v>2</v>
      </c>
      <c r="G9" s="3" t="s">
        <v>4</v>
      </c>
      <c r="H9" s="3" t="s">
        <v>12</v>
      </c>
      <c r="I9" s="3" t="s">
        <v>5</v>
      </c>
      <c r="J9" s="3" t="s">
        <v>11</v>
      </c>
      <c r="K9" s="3" t="s">
        <v>21</v>
      </c>
      <c r="L9" s="3" t="s">
        <v>6</v>
      </c>
      <c r="M9" s="3" t="s">
        <v>7</v>
      </c>
      <c r="N9" s="7" t="s">
        <v>8</v>
      </c>
    </row>
    <row r="10" spans="2:14" x14ac:dyDescent="0.25">
      <c r="B10" s="10"/>
      <c r="C10" s="10"/>
      <c r="D10" s="10"/>
      <c r="E10" s="10"/>
      <c r="F10" s="11"/>
      <c r="G10" s="11"/>
      <c r="H10" s="11"/>
      <c r="I10" s="11"/>
      <c r="J10" s="11"/>
      <c r="K10" s="15" t="s">
        <v>20</v>
      </c>
      <c r="L10" s="11"/>
      <c r="M10" s="11"/>
      <c r="N10" s="12">
        <f>Tabella13456[[#This Row],[QTà. CONSEGNATA]]-Tabella13456[[#This Row],[QTà. UTILIZZATA]]</f>
        <v>0</v>
      </c>
    </row>
    <row r="11" spans="2:14" x14ac:dyDescent="0.25">
      <c r="B11" s="6"/>
      <c r="C11" s="6"/>
      <c r="D11" s="6"/>
      <c r="E11" s="6"/>
      <c r="F11" s="4"/>
      <c r="G11" s="4"/>
      <c r="H11" s="4"/>
      <c r="I11" s="4"/>
      <c r="J11" s="4"/>
      <c r="K11" s="15" t="s">
        <v>20</v>
      </c>
      <c r="L11" s="4"/>
      <c r="M11" s="4"/>
      <c r="N11" s="13">
        <f>Tabella13456[[#This Row],[QTà. CONSEGNATA]]-Tabella13456[[#This Row],[QTà. UTILIZZATA]]</f>
        <v>0</v>
      </c>
    </row>
    <row r="12" spans="2:14" x14ac:dyDescent="0.25">
      <c r="B12" s="6"/>
      <c r="C12" s="6"/>
      <c r="D12" s="6"/>
      <c r="E12" s="6"/>
      <c r="F12" s="4"/>
      <c r="G12" s="4"/>
      <c r="H12" s="4"/>
      <c r="I12" s="4"/>
      <c r="J12" s="4"/>
      <c r="K12" s="15" t="s">
        <v>20</v>
      </c>
      <c r="L12" s="4"/>
      <c r="M12" s="4"/>
      <c r="N12" s="13">
        <f>Tabella13456[[#This Row],[QTà. CONSEGNATA]]-Tabella13456[[#This Row],[QTà. UTILIZZATA]]</f>
        <v>0</v>
      </c>
    </row>
    <row r="13" spans="2:14" x14ac:dyDescent="0.25">
      <c r="B13" s="6"/>
      <c r="C13" s="6"/>
      <c r="D13" s="6"/>
      <c r="E13" s="6"/>
      <c r="F13" s="4"/>
      <c r="G13" s="4"/>
      <c r="H13" s="4"/>
      <c r="I13" s="4"/>
      <c r="J13" s="4"/>
      <c r="K13" s="15" t="s">
        <v>20</v>
      </c>
      <c r="L13" s="4"/>
      <c r="M13" s="4"/>
      <c r="N13" s="13">
        <f>Tabella13456[[#This Row],[QTà. CONSEGNATA]]-Tabella13456[[#This Row],[QTà. UTILIZZATA]]</f>
        <v>0</v>
      </c>
    </row>
    <row r="14" spans="2:14" x14ac:dyDescent="0.25">
      <c r="B14" s="6"/>
      <c r="C14" s="6"/>
      <c r="D14" s="6"/>
      <c r="E14" s="6"/>
      <c r="F14" s="4"/>
      <c r="G14" s="4"/>
      <c r="H14" s="4"/>
      <c r="I14" s="4"/>
      <c r="J14" s="4"/>
      <c r="K14" s="15" t="s">
        <v>20</v>
      </c>
      <c r="L14" s="4"/>
      <c r="M14" s="4"/>
      <c r="N14" s="13">
        <f>Tabella13456[[#This Row],[QTà. CONSEGNATA]]-Tabella13456[[#This Row],[QTà. UTILIZZATA]]</f>
        <v>0</v>
      </c>
    </row>
    <row r="15" spans="2:14" x14ac:dyDescent="0.25">
      <c r="B15" s="6"/>
      <c r="C15" s="6"/>
      <c r="D15" s="6"/>
      <c r="E15" s="6"/>
      <c r="F15" s="4"/>
      <c r="G15" s="4"/>
      <c r="H15" s="4"/>
      <c r="I15" s="4"/>
      <c r="J15" s="4"/>
      <c r="K15" s="15" t="s">
        <v>20</v>
      </c>
      <c r="L15" s="4"/>
      <c r="M15" s="4"/>
      <c r="N15" s="13">
        <f>Tabella13456[[#This Row],[QTà. CONSEGNATA]]-Tabella13456[[#This Row],[QTà. UTILIZZATA]]</f>
        <v>0</v>
      </c>
    </row>
    <row r="16" spans="2:14" x14ac:dyDescent="0.25">
      <c r="B16" s="6"/>
      <c r="C16" s="6"/>
      <c r="D16" s="6"/>
      <c r="E16" s="6"/>
      <c r="F16" s="4"/>
      <c r="G16" s="4"/>
      <c r="H16" s="4"/>
      <c r="I16" s="4"/>
      <c r="J16" s="4"/>
      <c r="K16" s="15" t="s">
        <v>20</v>
      </c>
      <c r="L16" s="4"/>
      <c r="M16" s="4"/>
      <c r="N16" s="13">
        <f>Tabella13456[[#This Row],[QTà. CONSEGNATA]]-Tabella13456[[#This Row],[QTà. UTILIZZATA]]</f>
        <v>0</v>
      </c>
    </row>
    <row r="17" spans="2:14" x14ac:dyDescent="0.25">
      <c r="B17" s="6"/>
      <c r="C17" s="6"/>
      <c r="D17" s="6"/>
      <c r="E17" s="6"/>
      <c r="F17" s="4"/>
      <c r="G17" s="4"/>
      <c r="H17" s="4"/>
      <c r="I17" s="4"/>
      <c r="J17" s="4"/>
      <c r="K17" s="15" t="s">
        <v>20</v>
      </c>
      <c r="L17" s="4"/>
      <c r="M17" s="4"/>
      <c r="N17" s="13">
        <f>Tabella13456[[#This Row],[QTà. CONSEGNATA]]-Tabella13456[[#This Row],[QTà. UTILIZZATA]]</f>
        <v>0</v>
      </c>
    </row>
    <row r="18" spans="2:14" x14ac:dyDescent="0.25">
      <c r="B18" s="6"/>
      <c r="C18" s="6"/>
      <c r="D18" s="6"/>
      <c r="E18" s="6"/>
      <c r="F18" s="4"/>
      <c r="G18" s="4"/>
      <c r="H18" s="4"/>
      <c r="I18" s="4"/>
      <c r="J18" s="4"/>
      <c r="K18" s="15" t="s">
        <v>20</v>
      </c>
      <c r="L18" s="4"/>
      <c r="M18" s="4"/>
      <c r="N18" s="13">
        <f>Tabella13456[[#This Row],[QTà. CONSEGNATA]]-Tabella13456[[#This Row],[QTà. UTILIZZATA]]</f>
        <v>0</v>
      </c>
    </row>
    <row r="19" spans="2:14" x14ac:dyDescent="0.25">
      <c r="B19" s="6"/>
      <c r="C19" s="6"/>
      <c r="D19" s="6"/>
      <c r="E19" s="6"/>
      <c r="F19" s="4"/>
      <c r="G19" s="4"/>
      <c r="H19" s="4"/>
      <c r="I19" s="4"/>
      <c r="J19" s="4"/>
      <c r="K19" s="15" t="s">
        <v>20</v>
      </c>
      <c r="L19" s="4"/>
      <c r="M19" s="4"/>
      <c r="N19" s="13">
        <f>Tabella13456[[#This Row],[QTà. CONSEGNATA]]-Tabella13456[[#This Row],[QTà. UTILIZZATA]]</f>
        <v>0</v>
      </c>
    </row>
    <row r="20" spans="2:14" x14ac:dyDescent="0.25">
      <c r="B20" s="6"/>
      <c r="C20" s="6"/>
      <c r="D20" s="6"/>
      <c r="E20" s="6"/>
      <c r="F20" s="4"/>
      <c r="G20" s="4"/>
      <c r="H20" s="4"/>
      <c r="I20" s="4"/>
      <c r="J20" s="4"/>
      <c r="K20" s="15" t="s">
        <v>20</v>
      </c>
      <c r="L20" s="4"/>
      <c r="M20" s="4"/>
      <c r="N20" s="13">
        <f>Tabella13456[[#This Row],[QTà. CONSEGNATA]]-Tabella13456[[#This Row],[QTà. UTILIZZATA]]</f>
        <v>0</v>
      </c>
    </row>
    <row r="21" spans="2:14" x14ac:dyDescent="0.25">
      <c r="B21" s="6"/>
      <c r="C21" s="6"/>
      <c r="D21" s="6"/>
      <c r="E21" s="6"/>
      <c r="F21" s="4"/>
      <c r="G21" s="4"/>
      <c r="H21" s="4"/>
      <c r="I21" s="4"/>
      <c r="J21" s="4"/>
      <c r="K21" s="15" t="s">
        <v>20</v>
      </c>
      <c r="L21" s="4"/>
      <c r="M21" s="4"/>
      <c r="N21" s="13">
        <f>Tabella13456[[#This Row],[QTà. CONSEGNATA]]-Tabella13456[[#This Row],[QTà. UTILIZZATA]]</f>
        <v>0</v>
      </c>
    </row>
    <row r="22" spans="2:14" x14ac:dyDescent="0.25">
      <c r="B22" s="6"/>
      <c r="C22" s="6"/>
      <c r="D22" s="6"/>
      <c r="E22" s="6"/>
      <c r="F22" s="4"/>
      <c r="G22" s="4"/>
      <c r="H22" s="4"/>
      <c r="I22" s="4"/>
      <c r="J22" s="4"/>
      <c r="K22" s="15" t="s">
        <v>20</v>
      </c>
      <c r="L22" s="4"/>
      <c r="M22" s="4"/>
      <c r="N22" s="13">
        <f>Tabella13456[[#This Row],[QTà. CONSEGNATA]]-Tabella13456[[#This Row],[QTà. UTILIZZATA]]</f>
        <v>0</v>
      </c>
    </row>
    <row r="23" spans="2:14" x14ac:dyDescent="0.25">
      <c r="B23" s="6"/>
      <c r="C23" s="6"/>
      <c r="D23" s="6"/>
      <c r="E23" s="6"/>
      <c r="F23" s="4"/>
      <c r="G23" s="4"/>
      <c r="H23" s="4"/>
      <c r="I23" s="4"/>
      <c r="J23" s="4"/>
      <c r="K23" s="15" t="s">
        <v>20</v>
      </c>
      <c r="L23" s="4"/>
      <c r="M23" s="4"/>
      <c r="N23" s="13">
        <f>Tabella13456[[#This Row],[QTà. CONSEGNATA]]-Tabella13456[[#This Row],[QTà. UTILIZZATA]]</f>
        <v>0</v>
      </c>
    </row>
    <row r="24" spans="2:14" x14ac:dyDescent="0.25">
      <c r="B24" s="6"/>
      <c r="C24" s="6"/>
      <c r="D24" s="6"/>
      <c r="E24" s="6"/>
      <c r="F24" s="4"/>
      <c r="G24" s="4"/>
      <c r="H24" s="4"/>
      <c r="I24" s="4"/>
      <c r="J24" s="4"/>
      <c r="K24" s="15" t="s">
        <v>20</v>
      </c>
      <c r="L24" s="4"/>
      <c r="M24" s="4"/>
      <c r="N24" s="13">
        <f>Tabella13456[[#This Row],[QTà. CONSEGNATA]]-Tabella13456[[#This Row],[QTà. UTILIZZATA]]</f>
        <v>0</v>
      </c>
    </row>
    <row r="25" spans="2:14" x14ac:dyDescent="0.25">
      <c r="B25" s="6"/>
      <c r="C25" s="6"/>
      <c r="D25" s="6"/>
      <c r="E25" s="6"/>
      <c r="F25" s="4"/>
      <c r="G25" s="4"/>
      <c r="H25" s="4"/>
      <c r="I25" s="4"/>
      <c r="J25" s="4"/>
      <c r="K25" s="15" t="s">
        <v>20</v>
      </c>
      <c r="L25" s="4"/>
      <c r="M25" s="4"/>
      <c r="N25" s="13">
        <f>Tabella13456[[#This Row],[QTà. CONSEGNATA]]-Tabella13456[[#This Row],[QTà. UTILIZZATA]]</f>
        <v>0</v>
      </c>
    </row>
    <row r="26" spans="2:14" x14ac:dyDescent="0.25">
      <c r="B26" s="6"/>
      <c r="C26" s="6"/>
      <c r="D26" s="6"/>
      <c r="E26" s="6"/>
      <c r="F26" s="4"/>
      <c r="G26" s="4"/>
      <c r="H26" s="4"/>
      <c r="I26" s="4"/>
      <c r="J26" s="4"/>
      <c r="K26" s="15" t="s">
        <v>20</v>
      </c>
      <c r="L26" s="4"/>
      <c r="M26" s="4"/>
      <c r="N26" s="13">
        <f>Tabella13456[[#This Row],[QTà. CONSEGNATA]]-Tabella13456[[#This Row],[QTà. UTILIZZATA]]</f>
        <v>0</v>
      </c>
    </row>
    <row r="27" spans="2:14" x14ac:dyDescent="0.25">
      <c r="B27" s="6"/>
      <c r="C27" s="6"/>
      <c r="D27" s="6"/>
      <c r="E27" s="6"/>
      <c r="F27" s="4"/>
      <c r="G27" s="4"/>
      <c r="H27" s="4"/>
      <c r="I27" s="4"/>
      <c r="J27" s="4"/>
      <c r="K27" s="15" t="s">
        <v>20</v>
      </c>
      <c r="L27" s="4"/>
      <c r="M27" s="4"/>
      <c r="N27" s="13">
        <f>Tabella13456[[#This Row],[QTà. CONSEGNATA]]-Tabella13456[[#This Row],[QTà. UTILIZZATA]]</f>
        <v>0</v>
      </c>
    </row>
    <row r="28" spans="2:14" x14ac:dyDescent="0.25">
      <c r="B28" s="6"/>
      <c r="C28" s="6"/>
      <c r="D28" s="6"/>
      <c r="E28" s="6"/>
      <c r="F28" s="4"/>
      <c r="G28" s="4"/>
      <c r="H28" s="4"/>
      <c r="I28" s="4"/>
      <c r="J28" s="4"/>
      <c r="K28" s="15" t="s">
        <v>20</v>
      </c>
      <c r="L28" s="4"/>
      <c r="M28" s="4"/>
      <c r="N28" s="13">
        <f>Tabella13456[[#This Row],[QTà. CONSEGNATA]]-Tabella13456[[#This Row],[QTà. UTILIZZATA]]</f>
        <v>0</v>
      </c>
    </row>
    <row r="29" spans="2:14" x14ac:dyDescent="0.25">
      <c r="B29" s="6"/>
      <c r="C29" s="6"/>
      <c r="D29" s="6"/>
      <c r="E29" s="6"/>
      <c r="F29" s="4"/>
      <c r="G29" s="4"/>
      <c r="H29" s="4"/>
      <c r="I29" s="4"/>
      <c r="J29" s="4"/>
      <c r="K29" s="15" t="s">
        <v>20</v>
      </c>
      <c r="L29" s="4"/>
      <c r="M29" s="4"/>
      <c r="N29" s="13">
        <f>Tabella13456[[#This Row],[QTà. CONSEGNATA]]-Tabella13456[[#This Row],[QTà. UTILIZZATA]]</f>
        <v>0</v>
      </c>
    </row>
    <row r="30" spans="2:14" x14ac:dyDescent="0.25">
      <c r="B30" s="6"/>
      <c r="C30" s="6"/>
      <c r="D30" s="6"/>
      <c r="E30" s="6"/>
      <c r="F30" s="4"/>
      <c r="G30" s="4"/>
      <c r="H30" s="4"/>
      <c r="I30" s="4"/>
      <c r="J30" s="4"/>
      <c r="K30" s="15" t="s">
        <v>20</v>
      </c>
      <c r="L30" s="4"/>
      <c r="M30" s="4"/>
      <c r="N30" s="13">
        <f>Tabella13456[[#This Row],[QTà. CONSEGNATA]]-Tabella13456[[#This Row],[QTà. UTILIZZATA]]</f>
        <v>0</v>
      </c>
    </row>
    <row r="31" spans="2:14" x14ac:dyDescent="0.25">
      <c r="B31" s="6"/>
      <c r="C31" s="6"/>
      <c r="D31" s="6"/>
      <c r="E31" s="6"/>
      <c r="F31" s="4"/>
      <c r="G31" s="4"/>
      <c r="H31" s="4"/>
      <c r="I31" s="4"/>
      <c r="J31" s="4"/>
      <c r="K31" s="15" t="s">
        <v>20</v>
      </c>
      <c r="L31" s="4"/>
      <c r="M31" s="4"/>
      <c r="N31" s="13">
        <f>Tabella13456[[#This Row],[QTà. CONSEGNATA]]-Tabella13456[[#This Row],[QTà. UTILIZZATA]]</f>
        <v>0</v>
      </c>
    </row>
    <row r="32" spans="2:14" x14ac:dyDescent="0.25">
      <c r="B32" s="6"/>
      <c r="C32" s="6"/>
      <c r="D32" s="6"/>
      <c r="E32" s="6"/>
      <c r="F32" s="4"/>
      <c r="G32" s="4"/>
      <c r="H32" s="4"/>
      <c r="I32" s="4"/>
      <c r="J32" s="4"/>
      <c r="K32" s="15" t="s">
        <v>20</v>
      </c>
      <c r="L32" s="4"/>
      <c r="M32" s="4"/>
      <c r="N32" s="13">
        <f>Tabella13456[[#This Row],[QTà. CONSEGNATA]]-Tabella13456[[#This Row],[QTà. UTILIZZATA]]</f>
        <v>0</v>
      </c>
    </row>
    <row r="33" spans="2:14" x14ac:dyDescent="0.25">
      <c r="B33" s="8"/>
      <c r="C33" s="8"/>
      <c r="D33" s="8"/>
      <c r="E33" s="8"/>
      <c r="F33" s="9"/>
      <c r="G33" s="9"/>
      <c r="H33" s="9"/>
      <c r="I33" s="9"/>
      <c r="J33" s="9"/>
      <c r="K33" s="15" t="s">
        <v>20</v>
      </c>
      <c r="L33" s="9"/>
      <c r="M33" s="9"/>
      <c r="N33" s="14">
        <f>Tabella13456[[#This Row],[QTà. CONSEGNATA]]-Tabella13456[[#This Row],[QTà. UTILIZZATA]]</f>
        <v>0</v>
      </c>
    </row>
    <row r="34" spans="2:14" x14ac:dyDescent="0.25">
      <c r="B34" s="6"/>
      <c r="C34" s="6"/>
      <c r="D34" s="6"/>
      <c r="E34" s="6"/>
      <c r="F34" s="4"/>
      <c r="G34" s="4"/>
      <c r="H34" s="4"/>
      <c r="I34" s="4"/>
      <c r="J34" s="4"/>
      <c r="K34" s="15" t="s">
        <v>20</v>
      </c>
      <c r="L34" s="4"/>
      <c r="M34" s="4"/>
      <c r="N34" s="14">
        <f>Tabella13456[[#This Row],[QTà. CONSEGNATA]]-Tabella13456[[#This Row],[QTà. UTILIZZATA]]</f>
        <v>0</v>
      </c>
    </row>
    <row r="35" spans="2:14" x14ac:dyDescent="0.25">
      <c r="B35" s="6"/>
      <c r="C35" s="6"/>
      <c r="D35" s="6"/>
      <c r="E35" s="6"/>
      <c r="F35" s="4"/>
      <c r="G35" s="4"/>
      <c r="H35" s="4"/>
      <c r="I35" s="4"/>
      <c r="J35" s="4"/>
      <c r="K35" s="15" t="s">
        <v>20</v>
      </c>
      <c r="L35" s="4"/>
      <c r="M35" s="4"/>
      <c r="N35" s="14">
        <f>Tabella13456[[#This Row],[QTà. CONSEGNATA]]-Tabella13456[[#This Row],[QTà. UTILIZZATA]]</f>
        <v>0</v>
      </c>
    </row>
    <row r="36" spans="2:14" x14ac:dyDescent="0.25">
      <c r="B36" s="6"/>
      <c r="C36" s="6"/>
      <c r="D36" s="6"/>
      <c r="E36" s="6"/>
      <c r="F36" s="4"/>
      <c r="G36" s="4"/>
      <c r="H36" s="4"/>
      <c r="I36" s="4"/>
      <c r="J36" s="4"/>
      <c r="K36" s="15" t="s">
        <v>20</v>
      </c>
      <c r="L36" s="4"/>
      <c r="M36" s="4"/>
      <c r="N36" s="14">
        <f>Tabella13456[[#This Row],[QTà. CONSEGNATA]]-Tabella13456[[#This Row],[QTà. UTILIZZATA]]</f>
        <v>0</v>
      </c>
    </row>
    <row r="37" spans="2:14" x14ac:dyDescent="0.25">
      <c r="B37" s="6"/>
      <c r="C37" s="6"/>
      <c r="D37" s="6"/>
      <c r="E37" s="6"/>
      <c r="F37" s="4"/>
      <c r="G37" s="4"/>
      <c r="H37" s="4"/>
      <c r="I37" s="4"/>
      <c r="J37" s="4"/>
      <c r="K37" s="15" t="s">
        <v>20</v>
      </c>
      <c r="L37" s="4"/>
      <c r="M37" s="4"/>
      <c r="N37" s="14">
        <f>Tabella13456[[#This Row],[QTà. CONSEGNATA]]-Tabella13456[[#This Row],[QTà. UTILIZZATA]]</f>
        <v>0</v>
      </c>
    </row>
    <row r="38" spans="2:14" x14ac:dyDescent="0.25">
      <c r="B38" s="6"/>
      <c r="C38" s="6"/>
      <c r="D38" s="6"/>
      <c r="E38" s="6"/>
      <c r="F38" s="4"/>
      <c r="G38" s="4"/>
      <c r="H38" s="4"/>
      <c r="I38" s="4"/>
      <c r="J38" s="4"/>
      <c r="K38" s="15" t="s">
        <v>20</v>
      </c>
      <c r="L38" s="4"/>
      <c r="M38" s="4"/>
      <c r="N38" s="14">
        <f>Tabella13456[[#This Row],[QTà. CONSEGNATA]]-Tabella13456[[#This Row],[QTà. UTILIZZATA]]</f>
        <v>0</v>
      </c>
    </row>
    <row r="39" spans="2:14" x14ac:dyDescent="0.25">
      <c r="B39" s="6"/>
      <c r="C39" s="6"/>
      <c r="D39" s="6"/>
      <c r="E39" s="6"/>
      <c r="F39" s="4"/>
      <c r="G39" s="4"/>
      <c r="H39" s="4"/>
      <c r="I39" s="4"/>
      <c r="J39" s="4"/>
      <c r="K39" s="15" t="s">
        <v>20</v>
      </c>
      <c r="L39" s="4"/>
      <c r="M39" s="4"/>
      <c r="N39" s="14">
        <f>Tabella13456[[#This Row],[QTà. CONSEGNATA]]-Tabella13456[[#This Row],[QTà. UTILIZZATA]]</f>
        <v>0</v>
      </c>
    </row>
    <row r="40" spans="2:14" x14ac:dyDescent="0.25">
      <c r="B40" s="6"/>
      <c r="C40" s="6"/>
      <c r="D40" s="6"/>
      <c r="E40" s="6"/>
      <c r="F40" s="4"/>
      <c r="G40" s="4"/>
      <c r="H40" s="4"/>
      <c r="I40" s="4"/>
      <c r="J40" s="4"/>
      <c r="K40" s="15" t="s">
        <v>20</v>
      </c>
      <c r="L40" s="4"/>
      <c r="M40" s="4"/>
      <c r="N40" s="14">
        <f>Tabella13456[[#This Row],[QTà. CONSEGNATA]]-Tabella13456[[#This Row],[QTà. UTILIZZATA]]</f>
        <v>0</v>
      </c>
    </row>
    <row r="41" spans="2:14" x14ac:dyDescent="0.25">
      <c r="B41" s="6"/>
      <c r="C41" s="6"/>
      <c r="D41" s="6"/>
      <c r="E41" s="6"/>
      <c r="F41" s="4"/>
      <c r="G41" s="4"/>
      <c r="H41" s="4"/>
      <c r="I41" s="4"/>
      <c r="J41" s="4"/>
      <c r="K41" s="15" t="s">
        <v>20</v>
      </c>
      <c r="L41" s="4"/>
      <c r="M41" s="4"/>
      <c r="N41" s="14">
        <f>Tabella13456[[#This Row],[QTà. CONSEGNATA]]-Tabella13456[[#This Row],[QTà. UTILIZZATA]]</f>
        <v>0</v>
      </c>
    </row>
    <row r="42" spans="2:14" x14ac:dyDescent="0.25">
      <c r="B42" s="6"/>
      <c r="C42" s="6"/>
      <c r="D42" s="6"/>
      <c r="E42" s="6"/>
      <c r="F42" s="4"/>
      <c r="G42" s="4"/>
      <c r="H42" s="4"/>
      <c r="I42" s="4"/>
      <c r="J42" s="4"/>
      <c r="K42" s="15" t="s">
        <v>20</v>
      </c>
      <c r="L42" s="4"/>
      <c r="M42" s="4"/>
      <c r="N42" s="14">
        <f>Tabella13456[[#This Row],[QTà. CONSEGNATA]]-Tabella13456[[#This Row],[QTà. UTILIZZATA]]</f>
        <v>0</v>
      </c>
    </row>
    <row r="43" spans="2:14" x14ac:dyDescent="0.25">
      <c r="B43" s="6"/>
      <c r="C43" s="6"/>
      <c r="D43" s="6"/>
      <c r="E43" s="6"/>
      <c r="F43" s="4"/>
      <c r="G43" s="4"/>
      <c r="H43" s="4"/>
      <c r="I43" s="4"/>
      <c r="J43" s="4"/>
      <c r="K43" s="15" t="s">
        <v>20</v>
      </c>
      <c r="L43" s="4"/>
      <c r="M43" s="4"/>
      <c r="N43" s="14">
        <f>Tabella13456[[#This Row],[QTà. CONSEGNATA]]-Tabella13456[[#This Row],[QTà. UTILIZZATA]]</f>
        <v>0</v>
      </c>
    </row>
    <row r="44" spans="2:14" x14ac:dyDescent="0.25">
      <c r="B44" s="6"/>
      <c r="C44" s="6"/>
      <c r="D44" s="6"/>
      <c r="E44" s="6"/>
      <c r="F44" s="4"/>
      <c r="G44" s="4"/>
      <c r="H44" s="4"/>
      <c r="I44" s="4"/>
      <c r="J44" s="4"/>
      <c r="K44" s="15" t="s">
        <v>20</v>
      </c>
      <c r="L44" s="4"/>
      <c r="M44" s="4"/>
      <c r="N44" s="14">
        <f>Tabella13456[[#This Row],[QTà. CONSEGNATA]]-Tabella13456[[#This Row],[QTà. UTILIZZATA]]</f>
        <v>0</v>
      </c>
    </row>
    <row r="45" spans="2:14" x14ac:dyDescent="0.25">
      <c r="B45" s="6"/>
      <c r="C45" s="6"/>
      <c r="D45" s="6"/>
      <c r="E45" s="6"/>
      <c r="F45" s="4"/>
      <c r="G45" s="4"/>
      <c r="H45" s="4"/>
      <c r="I45" s="4"/>
      <c r="J45" s="4"/>
      <c r="K45" s="15" t="s">
        <v>20</v>
      </c>
      <c r="L45" s="4"/>
      <c r="M45" s="4"/>
      <c r="N45" s="14">
        <f>Tabella13456[[#This Row],[QTà. CONSEGNATA]]-Tabella13456[[#This Row],[QTà. UTILIZZATA]]</f>
        <v>0</v>
      </c>
    </row>
    <row r="46" spans="2:14" x14ac:dyDescent="0.25">
      <c r="B46" s="6"/>
      <c r="C46" s="6"/>
      <c r="D46" s="6"/>
      <c r="E46" s="6"/>
      <c r="F46" s="4"/>
      <c r="G46" s="4"/>
      <c r="H46" s="4"/>
      <c r="I46" s="4"/>
      <c r="J46" s="4"/>
      <c r="K46" s="15" t="s">
        <v>20</v>
      </c>
      <c r="L46" s="4"/>
      <c r="M46" s="4"/>
      <c r="N46" s="14">
        <f>Tabella13456[[#This Row],[QTà. CONSEGNATA]]-Tabella13456[[#This Row],[QTà. UTILIZZATA]]</f>
        <v>0</v>
      </c>
    </row>
    <row r="47" spans="2:14" x14ac:dyDescent="0.25">
      <c r="B47" s="6"/>
      <c r="C47" s="6"/>
      <c r="D47" s="6"/>
      <c r="E47" s="6"/>
      <c r="F47" s="4"/>
      <c r="G47" s="4"/>
      <c r="H47" s="4"/>
      <c r="I47" s="4"/>
      <c r="J47" s="4"/>
      <c r="K47" s="15" t="s">
        <v>20</v>
      </c>
      <c r="L47" s="4"/>
      <c r="M47" s="4"/>
      <c r="N47" s="14">
        <f>Tabella13456[[#This Row],[QTà. CONSEGNATA]]-Tabella13456[[#This Row],[QTà. UTILIZZATA]]</f>
        <v>0</v>
      </c>
    </row>
    <row r="48" spans="2:14" x14ac:dyDescent="0.25">
      <c r="B48" s="6"/>
      <c r="C48" s="6"/>
      <c r="D48" s="6"/>
      <c r="E48" s="6"/>
      <c r="F48" s="4"/>
      <c r="G48" s="4"/>
      <c r="H48" s="4"/>
      <c r="I48" s="4"/>
      <c r="J48" s="4"/>
      <c r="K48" s="15" t="s">
        <v>20</v>
      </c>
      <c r="L48" s="4"/>
      <c r="M48" s="4"/>
      <c r="N48" s="14">
        <f>Tabella13456[[#This Row],[QTà. CONSEGNATA]]-Tabella13456[[#This Row],[QTà. UTILIZZATA]]</f>
        <v>0</v>
      </c>
    </row>
    <row r="49" spans="2:14" x14ac:dyDescent="0.25">
      <c r="B49" s="6"/>
      <c r="C49" s="6"/>
      <c r="D49" s="6"/>
      <c r="E49" s="6"/>
      <c r="F49" s="4"/>
      <c r="G49" s="4"/>
      <c r="H49" s="4"/>
      <c r="I49" s="4"/>
      <c r="J49" s="4"/>
      <c r="K49" s="15" t="s">
        <v>20</v>
      </c>
      <c r="L49" s="4"/>
      <c r="M49" s="4"/>
      <c r="N49" s="14">
        <f>Tabella13456[[#This Row],[QTà. CONSEGNATA]]-Tabella13456[[#This Row],[QTà. UTILIZZATA]]</f>
        <v>0</v>
      </c>
    </row>
    <row r="50" spans="2:14" x14ac:dyDescent="0.25">
      <c r="B50" s="6"/>
      <c r="C50" s="6"/>
      <c r="D50" s="6"/>
      <c r="E50" s="6"/>
      <c r="F50" s="4"/>
      <c r="G50" s="4"/>
      <c r="H50" s="4"/>
      <c r="I50" s="4"/>
      <c r="J50" s="4"/>
      <c r="K50" s="15" t="s">
        <v>20</v>
      </c>
      <c r="L50" s="4"/>
      <c r="M50" s="4"/>
      <c r="N50" s="14">
        <f>Tabella13456[[#This Row],[QTà. CONSEGNATA]]-Tabella13456[[#This Row],[QTà. UTILIZZATA]]</f>
        <v>0</v>
      </c>
    </row>
    <row r="51" spans="2:14" x14ac:dyDescent="0.25">
      <c r="B51" s="6"/>
      <c r="C51" s="6"/>
      <c r="D51" s="6"/>
      <c r="E51" s="6"/>
      <c r="F51" s="4"/>
      <c r="G51" s="4"/>
      <c r="H51" s="4"/>
      <c r="I51" s="4"/>
      <c r="J51" s="4"/>
      <c r="K51" s="15" t="s">
        <v>20</v>
      </c>
      <c r="L51" s="4"/>
      <c r="M51" s="4"/>
      <c r="N51" s="14">
        <f>Tabella13456[[#This Row],[QTà. CONSEGNATA]]-Tabella13456[[#This Row],[QTà. UTILIZZATA]]</f>
        <v>0</v>
      </c>
    </row>
    <row r="52" spans="2:14" x14ac:dyDescent="0.25">
      <c r="B52" s="6"/>
      <c r="C52" s="6"/>
      <c r="D52" s="6"/>
      <c r="E52" s="6"/>
      <c r="F52" s="4"/>
      <c r="G52" s="4"/>
      <c r="H52" s="4"/>
      <c r="I52" s="4"/>
      <c r="J52" s="4"/>
      <c r="K52" s="15" t="s">
        <v>20</v>
      </c>
      <c r="L52" s="4"/>
      <c r="M52" s="4"/>
      <c r="N52" s="14">
        <f>Tabella13456[[#This Row],[QTà. CONSEGNATA]]-Tabella13456[[#This Row],[QTà. UTILIZZATA]]</f>
        <v>0</v>
      </c>
    </row>
    <row r="53" spans="2:14" x14ac:dyDescent="0.25">
      <c r="B53" s="6"/>
      <c r="C53" s="6"/>
      <c r="D53" s="6"/>
      <c r="E53" s="6"/>
      <c r="F53" s="4"/>
      <c r="G53" s="4"/>
      <c r="H53" s="4"/>
      <c r="I53" s="4"/>
      <c r="J53" s="4"/>
      <c r="K53" s="15" t="s">
        <v>20</v>
      </c>
      <c r="L53" s="4"/>
      <c r="M53" s="4"/>
      <c r="N53" s="14">
        <f>Tabella13456[[#This Row],[QTà. CONSEGNATA]]-Tabella13456[[#This Row],[QTà. UTILIZZATA]]</f>
        <v>0</v>
      </c>
    </row>
    <row r="54" spans="2:14" x14ac:dyDescent="0.25">
      <c r="B54" s="6"/>
      <c r="C54" s="6"/>
      <c r="D54" s="6"/>
      <c r="E54" s="6"/>
      <c r="F54" s="4"/>
      <c r="G54" s="4"/>
      <c r="H54" s="4"/>
      <c r="I54" s="4"/>
      <c r="J54" s="4"/>
      <c r="K54" s="15" t="s">
        <v>20</v>
      </c>
      <c r="L54" s="4"/>
      <c r="M54" s="4"/>
      <c r="N54" s="14">
        <f>Tabella13456[[#This Row],[QTà. CONSEGNATA]]-Tabella13456[[#This Row],[QTà. UTILIZZATA]]</f>
        <v>0</v>
      </c>
    </row>
  </sheetData>
  <mergeCells count="7">
    <mergeCell ref="B6:N6"/>
    <mergeCell ref="B1:E2"/>
    <mergeCell ref="F1:L2"/>
    <mergeCell ref="M1:N2"/>
    <mergeCell ref="B3:N3"/>
    <mergeCell ref="B4:N4"/>
    <mergeCell ref="B5:N5"/>
  </mergeCells>
  <pageMargins left="0.7" right="0.7" top="0.75" bottom="0.75" header="0.3" footer="0.3"/>
  <pageSetup paperSize="9" scale="64" fitToHeight="0" orientation="landscape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F281-DFDC-4C4A-A087-0EA8B8B1F791}">
  <sheetPr>
    <pageSetUpPr fitToPage="1"/>
  </sheetPr>
  <dimension ref="B1:N54"/>
  <sheetViews>
    <sheetView workbookViewId="0">
      <selection activeCell="K11" sqref="K11"/>
    </sheetView>
  </sheetViews>
  <sheetFormatPr defaultRowHeight="15" x14ac:dyDescent="0.25"/>
  <cols>
    <col min="2" max="3" width="14.7109375" customWidth="1"/>
    <col min="4" max="5" width="12.28515625" customWidth="1"/>
    <col min="6" max="6" width="15.5703125" bestFit="1" customWidth="1"/>
    <col min="7" max="8" width="15.5703125" customWidth="1"/>
    <col min="9" max="9" width="16.42578125" bestFit="1" customWidth="1"/>
    <col min="10" max="10" width="20" bestFit="1" customWidth="1"/>
    <col min="11" max="11" width="27.28515625" bestFit="1" customWidth="1"/>
    <col min="12" max="12" width="20" customWidth="1"/>
    <col min="13" max="13" width="15.5703125" bestFit="1" customWidth="1"/>
    <col min="14" max="14" width="14.42578125" style="1" bestFit="1" customWidth="1"/>
  </cols>
  <sheetData>
    <row r="1" spans="2:14" ht="15" customHeight="1" x14ac:dyDescent="0.25">
      <c r="B1" s="26" t="s">
        <v>13</v>
      </c>
      <c r="C1" s="27"/>
      <c r="D1" s="27"/>
      <c r="E1" s="28"/>
      <c r="F1" s="32" t="s">
        <v>17</v>
      </c>
      <c r="G1" s="27"/>
      <c r="H1" s="27"/>
      <c r="I1" s="27"/>
      <c r="J1" s="27"/>
      <c r="K1" s="27"/>
      <c r="L1" s="27"/>
      <c r="M1" s="22" t="s">
        <v>16</v>
      </c>
      <c r="N1" s="23"/>
    </row>
    <row r="2" spans="2:14" ht="15.75" customHeight="1" thickBot="1" x14ac:dyDescent="0.3">
      <c r="B2" s="29"/>
      <c r="C2" s="30"/>
      <c r="D2" s="30"/>
      <c r="E2" s="31"/>
      <c r="F2" s="33"/>
      <c r="G2" s="30"/>
      <c r="H2" s="30"/>
      <c r="I2" s="30"/>
      <c r="J2" s="30"/>
      <c r="K2" s="30"/>
      <c r="L2" s="30"/>
      <c r="M2" s="24"/>
      <c r="N2" s="25"/>
    </row>
    <row r="3" spans="2:14" ht="15.75" x14ac:dyDescent="0.25">
      <c r="B3" s="34" t="s">
        <v>19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6"/>
    </row>
    <row r="4" spans="2:14" ht="15.75" x14ac:dyDescent="0.25">
      <c r="B4" s="16" t="s">
        <v>9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8"/>
    </row>
    <row r="5" spans="2:14" ht="15.75" x14ac:dyDescent="0.25">
      <c r="B5" s="16" t="s">
        <v>0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</row>
    <row r="6" spans="2:14" ht="16.5" thickBot="1" x14ac:dyDescent="0.3">
      <c r="B6" s="19" t="s">
        <v>1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1"/>
    </row>
    <row r="9" spans="2:14" s="2" customFormat="1" ht="45" x14ac:dyDescent="0.25">
      <c r="B9" s="5" t="s">
        <v>15</v>
      </c>
      <c r="C9" s="5" t="s">
        <v>14</v>
      </c>
      <c r="D9" s="5" t="s">
        <v>10</v>
      </c>
      <c r="E9" s="5" t="s">
        <v>3</v>
      </c>
      <c r="F9" s="3" t="s">
        <v>2</v>
      </c>
      <c r="G9" s="3" t="s">
        <v>4</v>
      </c>
      <c r="H9" s="3" t="s">
        <v>12</v>
      </c>
      <c r="I9" s="3" t="s">
        <v>5</v>
      </c>
      <c r="J9" s="3" t="s">
        <v>11</v>
      </c>
      <c r="K9" s="3" t="s">
        <v>21</v>
      </c>
      <c r="L9" s="3" t="s">
        <v>6</v>
      </c>
      <c r="M9" s="3" t="s">
        <v>7</v>
      </c>
      <c r="N9" s="7" t="s">
        <v>8</v>
      </c>
    </row>
    <row r="10" spans="2:14" x14ac:dyDescent="0.25">
      <c r="B10" s="10"/>
      <c r="C10" s="10"/>
      <c r="D10" s="10"/>
      <c r="E10" s="10"/>
      <c r="F10" s="11"/>
      <c r="G10" s="11"/>
      <c r="H10" s="11"/>
      <c r="I10" s="11"/>
      <c r="J10" s="11"/>
      <c r="K10" s="15" t="s">
        <v>22</v>
      </c>
      <c r="L10" s="11"/>
      <c r="M10" s="11"/>
      <c r="N10" s="12">
        <f>Tabella134567[[#This Row],[QTà. CONSEGNATA]]-Tabella134567[[#This Row],[QTà. UTILIZZATA]]</f>
        <v>0</v>
      </c>
    </row>
    <row r="11" spans="2:14" x14ac:dyDescent="0.25">
      <c r="B11" s="6"/>
      <c r="C11" s="6"/>
      <c r="D11" s="6"/>
      <c r="E11" s="6"/>
      <c r="F11" s="4"/>
      <c r="G11" s="4"/>
      <c r="H11" s="4"/>
      <c r="I11" s="4"/>
      <c r="J11" s="4"/>
      <c r="K11" s="15" t="s">
        <v>20</v>
      </c>
      <c r="L11" s="4"/>
      <c r="M11" s="4"/>
      <c r="N11" s="13">
        <f>Tabella134567[[#This Row],[QTà. CONSEGNATA]]-Tabella134567[[#This Row],[QTà. UTILIZZATA]]</f>
        <v>0</v>
      </c>
    </row>
    <row r="12" spans="2:14" x14ac:dyDescent="0.25">
      <c r="B12" s="6"/>
      <c r="C12" s="6"/>
      <c r="D12" s="6"/>
      <c r="E12" s="6"/>
      <c r="F12" s="4"/>
      <c r="G12" s="4"/>
      <c r="H12" s="4"/>
      <c r="I12" s="4"/>
      <c r="J12" s="4"/>
      <c r="K12" s="15" t="s">
        <v>20</v>
      </c>
      <c r="L12" s="4"/>
      <c r="M12" s="4"/>
      <c r="N12" s="13">
        <f>Tabella134567[[#This Row],[QTà. CONSEGNATA]]-Tabella134567[[#This Row],[QTà. UTILIZZATA]]</f>
        <v>0</v>
      </c>
    </row>
    <row r="13" spans="2:14" x14ac:dyDescent="0.25">
      <c r="B13" s="6"/>
      <c r="C13" s="6"/>
      <c r="D13" s="6"/>
      <c r="E13" s="6"/>
      <c r="F13" s="4"/>
      <c r="G13" s="4"/>
      <c r="H13" s="4"/>
      <c r="I13" s="4"/>
      <c r="J13" s="4"/>
      <c r="K13" s="15" t="s">
        <v>20</v>
      </c>
      <c r="L13" s="4"/>
      <c r="M13" s="4"/>
      <c r="N13" s="13">
        <f>Tabella134567[[#This Row],[QTà. CONSEGNATA]]-Tabella134567[[#This Row],[QTà. UTILIZZATA]]</f>
        <v>0</v>
      </c>
    </row>
    <row r="14" spans="2:14" x14ac:dyDescent="0.25">
      <c r="B14" s="6"/>
      <c r="C14" s="6"/>
      <c r="D14" s="6"/>
      <c r="E14" s="6"/>
      <c r="F14" s="4"/>
      <c r="G14" s="4"/>
      <c r="H14" s="4"/>
      <c r="I14" s="4"/>
      <c r="J14" s="4"/>
      <c r="K14" s="15" t="s">
        <v>20</v>
      </c>
      <c r="L14" s="4"/>
      <c r="M14" s="4"/>
      <c r="N14" s="13">
        <f>Tabella134567[[#This Row],[QTà. CONSEGNATA]]-Tabella134567[[#This Row],[QTà. UTILIZZATA]]</f>
        <v>0</v>
      </c>
    </row>
    <row r="15" spans="2:14" x14ac:dyDescent="0.25">
      <c r="B15" s="6"/>
      <c r="C15" s="6"/>
      <c r="D15" s="6"/>
      <c r="E15" s="6"/>
      <c r="F15" s="4"/>
      <c r="G15" s="4"/>
      <c r="H15" s="4"/>
      <c r="I15" s="4"/>
      <c r="J15" s="4"/>
      <c r="K15" s="15" t="s">
        <v>20</v>
      </c>
      <c r="L15" s="4"/>
      <c r="M15" s="4"/>
      <c r="N15" s="13">
        <f>Tabella134567[[#This Row],[QTà. CONSEGNATA]]-Tabella134567[[#This Row],[QTà. UTILIZZATA]]</f>
        <v>0</v>
      </c>
    </row>
    <row r="16" spans="2:14" x14ac:dyDescent="0.25">
      <c r="B16" s="6"/>
      <c r="C16" s="6"/>
      <c r="D16" s="6"/>
      <c r="E16" s="6"/>
      <c r="F16" s="4"/>
      <c r="G16" s="4"/>
      <c r="H16" s="4"/>
      <c r="I16" s="4"/>
      <c r="J16" s="4"/>
      <c r="K16" s="15" t="s">
        <v>20</v>
      </c>
      <c r="L16" s="4"/>
      <c r="M16" s="4"/>
      <c r="N16" s="13">
        <f>Tabella134567[[#This Row],[QTà. CONSEGNATA]]-Tabella134567[[#This Row],[QTà. UTILIZZATA]]</f>
        <v>0</v>
      </c>
    </row>
    <row r="17" spans="2:14" x14ac:dyDescent="0.25">
      <c r="B17" s="6"/>
      <c r="C17" s="6"/>
      <c r="D17" s="6"/>
      <c r="E17" s="6"/>
      <c r="F17" s="4"/>
      <c r="G17" s="4"/>
      <c r="H17" s="4"/>
      <c r="I17" s="4"/>
      <c r="J17" s="4"/>
      <c r="K17" s="15" t="s">
        <v>20</v>
      </c>
      <c r="L17" s="4"/>
      <c r="M17" s="4"/>
      <c r="N17" s="13">
        <f>Tabella134567[[#This Row],[QTà. CONSEGNATA]]-Tabella134567[[#This Row],[QTà. UTILIZZATA]]</f>
        <v>0</v>
      </c>
    </row>
    <row r="18" spans="2:14" x14ac:dyDescent="0.25">
      <c r="B18" s="6"/>
      <c r="C18" s="6"/>
      <c r="D18" s="6"/>
      <c r="E18" s="6"/>
      <c r="F18" s="4"/>
      <c r="G18" s="4"/>
      <c r="H18" s="4"/>
      <c r="I18" s="4"/>
      <c r="J18" s="4"/>
      <c r="K18" s="15" t="s">
        <v>20</v>
      </c>
      <c r="L18" s="4"/>
      <c r="M18" s="4"/>
      <c r="N18" s="13">
        <f>Tabella134567[[#This Row],[QTà. CONSEGNATA]]-Tabella134567[[#This Row],[QTà. UTILIZZATA]]</f>
        <v>0</v>
      </c>
    </row>
    <row r="19" spans="2:14" x14ac:dyDescent="0.25">
      <c r="B19" s="6"/>
      <c r="C19" s="6"/>
      <c r="D19" s="6"/>
      <c r="E19" s="6"/>
      <c r="F19" s="4"/>
      <c r="G19" s="4"/>
      <c r="H19" s="4"/>
      <c r="I19" s="4"/>
      <c r="J19" s="4"/>
      <c r="K19" s="15" t="s">
        <v>20</v>
      </c>
      <c r="L19" s="4"/>
      <c r="M19" s="4"/>
      <c r="N19" s="13">
        <f>Tabella134567[[#This Row],[QTà. CONSEGNATA]]-Tabella134567[[#This Row],[QTà. UTILIZZATA]]</f>
        <v>0</v>
      </c>
    </row>
    <row r="20" spans="2:14" x14ac:dyDescent="0.25">
      <c r="B20" s="6"/>
      <c r="C20" s="6"/>
      <c r="D20" s="6"/>
      <c r="E20" s="6"/>
      <c r="F20" s="4"/>
      <c r="G20" s="4"/>
      <c r="H20" s="4"/>
      <c r="I20" s="4"/>
      <c r="J20" s="4"/>
      <c r="K20" s="15" t="s">
        <v>20</v>
      </c>
      <c r="L20" s="4"/>
      <c r="M20" s="4"/>
      <c r="N20" s="13">
        <f>Tabella134567[[#This Row],[QTà. CONSEGNATA]]-Tabella134567[[#This Row],[QTà. UTILIZZATA]]</f>
        <v>0</v>
      </c>
    </row>
    <row r="21" spans="2:14" x14ac:dyDescent="0.25">
      <c r="B21" s="6"/>
      <c r="C21" s="6"/>
      <c r="D21" s="6"/>
      <c r="E21" s="6"/>
      <c r="F21" s="4"/>
      <c r="G21" s="4"/>
      <c r="H21" s="4"/>
      <c r="I21" s="4"/>
      <c r="J21" s="4"/>
      <c r="K21" s="15" t="s">
        <v>20</v>
      </c>
      <c r="L21" s="4"/>
      <c r="M21" s="4"/>
      <c r="N21" s="13">
        <f>Tabella134567[[#This Row],[QTà. CONSEGNATA]]-Tabella134567[[#This Row],[QTà. UTILIZZATA]]</f>
        <v>0</v>
      </c>
    </row>
    <row r="22" spans="2:14" x14ac:dyDescent="0.25">
      <c r="B22" s="6"/>
      <c r="C22" s="6"/>
      <c r="D22" s="6"/>
      <c r="E22" s="6"/>
      <c r="F22" s="4"/>
      <c r="G22" s="4"/>
      <c r="H22" s="4"/>
      <c r="I22" s="4"/>
      <c r="J22" s="4"/>
      <c r="K22" s="15" t="s">
        <v>20</v>
      </c>
      <c r="L22" s="4"/>
      <c r="M22" s="4"/>
      <c r="N22" s="13">
        <f>Tabella134567[[#This Row],[QTà. CONSEGNATA]]-Tabella134567[[#This Row],[QTà. UTILIZZATA]]</f>
        <v>0</v>
      </c>
    </row>
    <row r="23" spans="2:14" x14ac:dyDescent="0.25">
      <c r="B23" s="6"/>
      <c r="C23" s="6"/>
      <c r="D23" s="6"/>
      <c r="E23" s="6"/>
      <c r="F23" s="4"/>
      <c r="G23" s="4"/>
      <c r="H23" s="4"/>
      <c r="I23" s="4"/>
      <c r="J23" s="4"/>
      <c r="K23" s="15" t="s">
        <v>20</v>
      </c>
      <c r="L23" s="4"/>
      <c r="M23" s="4"/>
      <c r="N23" s="13">
        <f>Tabella134567[[#This Row],[QTà. CONSEGNATA]]-Tabella134567[[#This Row],[QTà. UTILIZZATA]]</f>
        <v>0</v>
      </c>
    </row>
    <row r="24" spans="2:14" x14ac:dyDescent="0.25">
      <c r="B24" s="6"/>
      <c r="C24" s="6"/>
      <c r="D24" s="6"/>
      <c r="E24" s="6"/>
      <c r="F24" s="4"/>
      <c r="G24" s="4"/>
      <c r="H24" s="4"/>
      <c r="I24" s="4"/>
      <c r="J24" s="4"/>
      <c r="K24" s="15" t="s">
        <v>20</v>
      </c>
      <c r="L24" s="4"/>
      <c r="M24" s="4"/>
      <c r="N24" s="13">
        <f>Tabella134567[[#This Row],[QTà. CONSEGNATA]]-Tabella134567[[#This Row],[QTà. UTILIZZATA]]</f>
        <v>0</v>
      </c>
    </row>
    <row r="25" spans="2:14" x14ac:dyDescent="0.25">
      <c r="B25" s="6"/>
      <c r="C25" s="6"/>
      <c r="D25" s="6"/>
      <c r="E25" s="6"/>
      <c r="F25" s="4"/>
      <c r="G25" s="4"/>
      <c r="H25" s="4"/>
      <c r="I25" s="4"/>
      <c r="J25" s="4"/>
      <c r="K25" s="15" t="s">
        <v>20</v>
      </c>
      <c r="L25" s="4"/>
      <c r="M25" s="4"/>
      <c r="N25" s="13">
        <f>Tabella134567[[#This Row],[QTà. CONSEGNATA]]-Tabella134567[[#This Row],[QTà. UTILIZZATA]]</f>
        <v>0</v>
      </c>
    </row>
    <row r="26" spans="2:14" x14ac:dyDescent="0.25">
      <c r="B26" s="6"/>
      <c r="C26" s="6"/>
      <c r="D26" s="6"/>
      <c r="E26" s="6"/>
      <c r="F26" s="4"/>
      <c r="G26" s="4"/>
      <c r="H26" s="4"/>
      <c r="I26" s="4"/>
      <c r="J26" s="4"/>
      <c r="K26" s="15" t="s">
        <v>20</v>
      </c>
      <c r="L26" s="4"/>
      <c r="M26" s="4"/>
      <c r="N26" s="13">
        <f>Tabella134567[[#This Row],[QTà. CONSEGNATA]]-Tabella134567[[#This Row],[QTà. UTILIZZATA]]</f>
        <v>0</v>
      </c>
    </row>
    <row r="27" spans="2:14" x14ac:dyDescent="0.25">
      <c r="B27" s="6"/>
      <c r="C27" s="6"/>
      <c r="D27" s="6"/>
      <c r="E27" s="6"/>
      <c r="F27" s="4"/>
      <c r="G27" s="4"/>
      <c r="H27" s="4"/>
      <c r="I27" s="4"/>
      <c r="J27" s="4"/>
      <c r="K27" s="15" t="s">
        <v>20</v>
      </c>
      <c r="L27" s="4"/>
      <c r="M27" s="4"/>
      <c r="N27" s="13">
        <f>Tabella134567[[#This Row],[QTà. CONSEGNATA]]-Tabella134567[[#This Row],[QTà. UTILIZZATA]]</f>
        <v>0</v>
      </c>
    </row>
    <row r="28" spans="2:14" x14ac:dyDescent="0.25">
      <c r="B28" s="6"/>
      <c r="C28" s="6"/>
      <c r="D28" s="6"/>
      <c r="E28" s="6"/>
      <c r="F28" s="4"/>
      <c r="G28" s="4"/>
      <c r="H28" s="4"/>
      <c r="I28" s="4"/>
      <c r="J28" s="4"/>
      <c r="K28" s="15" t="s">
        <v>20</v>
      </c>
      <c r="L28" s="4"/>
      <c r="M28" s="4"/>
      <c r="N28" s="13">
        <f>Tabella134567[[#This Row],[QTà. CONSEGNATA]]-Tabella134567[[#This Row],[QTà. UTILIZZATA]]</f>
        <v>0</v>
      </c>
    </row>
    <row r="29" spans="2:14" x14ac:dyDescent="0.25">
      <c r="B29" s="6"/>
      <c r="C29" s="6"/>
      <c r="D29" s="6"/>
      <c r="E29" s="6"/>
      <c r="F29" s="4"/>
      <c r="G29" s="4"/>
      <c r="H29" s="4"/>
      <c r="I29" s="4"/>
      <c r="J29" s="4"/>
      <c r="K29" s="15" t="s">
        <v>20</v>
      </c>
      <c r="L29" s="4"/>
      <c r="M29" s="4"/>
      <c r="N29" s="13">
        <f>Tabella134567[[#This Row],[QTà. CONSEGNATA]]-Tabella134567[[#This Row],[QTà. UTILIZZATA]]</f>
        <v>0</v>
      </c>
    </row>
    <row r="30" spans="2:14" x14ac:dyDescent="0.25">
      <c r="B30" s="6"/>
      <c r="C30" s="6"/>
      <c r="D30" s="6"/>
      <c r="E30" s="6"/>
      <c r="F30" s="4"/>
      <c r="G30" s="4"/>
      <c r="H30" s="4"/>
      <c r="I30" s="4"/>
      <c r="J30" s="4"/>
      <c r="K30" s="15" t="s">
        <v>20</v>
      </c>
      <c r="L30" s="4"/>
      <c r="M30" s="4"/>
      <c r="N30" s="13">
        <f>Tabella134567[[#This Row],[QTà. CONSEGNATA]]-Tabella134567[[#This Row],[QTà. UTILIZZATA]]</f>
        <v>0</v>
      </c>
    </row>
    <row r="31" spans="2:14" x14ac:dyDescent="0.25">
      <c r="B31" s="6"/>
      <c r="C31" s="6"/>
      <c r="D31" s="6"/>
      <c r="E31" s="6"/>
      <c r="F31" s="4"/>
      <c r="G31" s="4"/>
      <c r="H31" s="4"/>
      <c r="I31" s="4"/>
      <c r="J31" s="4"/>
      <c r="K31" s="15" t="s">
        <v>20</v>
      </c>
      <c r="L31" s="4"/>
      <c r="M31" s="4"/>
      <c r="N31" s="13">
        <f>Tabella134567[[#This Row],[QTà. CONSEGNATA]]-Tabella134567[[#This Row],[QTà. UTILIZZATA]]</f>
        <v>0</v>
      </c>
    </row>
    <row r="32" spans="2:14" x14ac:dyDescent="0.25">
      <c r="B32" s="6"/>
      <c r="C32" s="6"/>
      <c r="D32" s="6"/>
      <c r="E32" s="6"/>
      <c r="F32" s="4"/>
      <c r="G32" s="4"/>
      <c r="H32" s="4"/>
      <c r="I32" s="4"/>
      <c r="J32" s="4"/>
      <c r="K32" s="15" t="s">
        <v>20</v>
      </c>
      <c r="L32" s="4"/>
      <c r="M32" s="4"/>
      <c r="N32" s="13">
        <f>Tabella134567[[#This Row],[QTà. CONSEGNATA]]-Tabella134567[[#This Row],[QTà. UTILIZZATA]]</f>
        <v>0</v>
      </c>
    </row>
    <row r="33" spans="2:14" x14ac:dyDescent="0.25">
      <c r="B33" s="8"/>
      <c r="C33" s="8"/>
      <c r="D33" s="8"/>
      <c r="E33" s="8"/>
      <c r="F33" s="9"/>
      <c r="G33" s="9"/>
      <c r="H33" s="9"/>
      <c r="I33" s="9"/>
      <c r="J33" s="9"/>
      <c r="K33" s="15" t="s">
        <v>20</v>
      </c>
      <c r="L33" s="9"/>
      <c r="M33" s="9"/>
      <c r="N33" s="14">
        <f>Tabella134567[[#This Row],[QTà. CONSEGNATA]]-Tabella134567[[#This Row],[QTà. UTILIZZATA]]</f>
        <v>0</v>
      </c>
    </row>
    <row r="34" spans="2:14" x14ac:dyDescent="0.25">
      <c r="B34" s="6"/>
      <c r="C34" s="6"/>
      <c r="D34" s="6"/>
      <c r="E34" s="6"/>
      <c r="F34" s="4"/>
      <c r="G34" s="4"/>
      <c r="H34" s="4"/>
      <c r="I34" s="4"/>
      <c r="J34" s="4"/>
      <c r="K34" s="15" t="s">
        <v>20</v>
      </c>
      <c r="L34" s="4"/>
      <c r="M34" s="4"/>
      <c r="N34" s="14">
        <f>Tabella134567[[#This Row],[QTà. CONSEGNATA]]-Tabella134567[[#This Row],[QTà. UTILIZZATA]]</f>
        <v>0</v>
      </c>
    </row>
    <row r="35" spans="2:14" x14ac:dyDescent="0.25">
      <c r="B35" s="6"/>
      <c r="C35" s="6"/>
      <c r="D35" s="6"/>
      <c r="E35" s="6"/>
      <c r="F35" s="4"/>
      <c r="G35" s="4"/>
      <c r="H35" s="4"/>
      <c r="I35" s="4"/>
      <c r="J35" s="4"/>
      <c r="K35" s="15" t="s">
        <v>20</v>
      </c>
      <c r="L35" s="4"/>
      <c r="M35" s="4"/>
      <c r="N35" s="14">
        <f>Tabella134567[[#This Row],[QTà. CONSEGNATA]]-Tabella134567[[#This Row],[QTà. UTILIZZATA]]</f>
        <v>0</v>
      </c>
    </row>
    <row r="36" spans="2:14" x14ac:dyDescent="0.25">
      <c r="B36" s="6"/>
      <c r="C36" s="6"/>
      <c r="D36" s="6"/>
      <c r="E36" s="6"/>
      <c r="F36" s="4"/>
      <c r="G36" s="4"/>
      <c r="H36" s="4"/>
      <c r="I36" s="4"/>
      <c r="J36" s="4"/>
      <c r="K36" s="15" t="s">
        <v>20</v>
      </c>
      <c r="L36" s="4"/>
      <c r="M36" s="4"/>
      <c r="N36" s="14">
        <f>Tabella134567[[#This Row],[QTà. CONSEGNATA]]-Tabella134567[[#This Row],[QTà. UTILIZZATA]]</f>
        <v>0</v>
      </c>
    </row>
    <row r="37" spans="2:14" x14ac:dyDescent="0.25">
      <c r="B37" s="6"/>
      <c r="C37" s="6"/>
      <c r="D37" s="6"/>
      <c r="E37" s="6"/>
      <c r="F37" s="4"/>
      <c r="G37" s="4"/>
      <c r="H37" s="4"/>
      <c r="I37" s="4"/>
      <c r="J37" s="4"/>
      <c r="K37" s="15" t="s">
        <v>20</v>
      </c>
      <c r="L37" s="4"/>
      <c r="M37" s="4"/>
      <c r="N37" s="14">
        <f>Tabella134567[[#This Row],[QTà. CONSEGNATA]]-Tabella134567[[#This Row],[QTà. UTILIZZATA]]</f>
        <v>0</v>
      </c>
    </row>
    <row r="38" spans="2:14" x14ac:dyDescent="0.25">
      <c r="B38" s="6"/>
      <c r="C38" s="6"/>
      <c r="D38" s="6"/>
      <c r="E38" s="6"/>
      <c r="F38" s="4"/>
      <c r="G38" s="4"/>
      <c r="H38" s="4"/>
      <c r="I38" s="4"/>
      <c r="J38" s="4"/>
      <c r="K38" s="15" t="s">
        <v>20</v>
      </c>
      <c r="L38" s="4"/>
      <c r="M38" s="4"/>
      <c r="N38" s="14">
        <f>Tabella134567[[#This Row],[QTà. CONSEGNATA]]-Tabella134567[[#This Row],[QTà. UTILIZZATA]]</f>
        <v>0</v>
      </c>
    </row>
    <row r="39" spans="2:14" x14ac:dyDescent="0.25">
      <c r="B39" s="6"/>
      <c r="C39" s="6"/>
      <c r="D39" s="6"/>
      <c r="E39" s="6"/>
      <c r="F39" s="4"/>
      <c r="G39" s="4"/>
      <c r="H39" s="4"/>
      <c r="I39" s="4"/>
      <c r="J39" s="4"/>
      <c r="K39" s="15" t="s">
        <v>20</v>
      </c>
      <c r="L39" s="4"/>
      <c r="M39" s="4"/>
      <c r="N39" s="14">
        <f>Tabella134567[[#This Row],[QTà. CONSEGNATA]]-Tabella134567[[#This Row],[QTà. UTILIZZATA]]</f>
        <v>0</v>
      </c>
    </row>
    <row r="40" spans="2:14" x14ac:dyDescent="0.25">
      <c r="B40" s="6"/>
      <c r="C40" s="6"/>
      <c r="D40" s="6"/>
      <c r="E40" s="6"/>
      <c r="F40" s="4"/>
      <c r="G40" s="4"/>
      <c r="H40" s="4"/>
      <c r="I40" s="4"/>
      <c r="J40" s="4"/>
      <c r="K40" s="15" t="s">
        <v>20</v>
      </c>
      <c r="L40" s="4"/>
      <c r="M40" s="4"/>
      <c r="N40" s="14">
        <f>Tabella134567[[#This Row],[QTà. CONSEGNATA]]-Tabella134567[[#This Row],[QTà. UTILIZZATA]]</f>
        <v>0</v>
      </c>
    </row>
    <row r="41" spans="2:14" x14ac:dyDescent="0.25">
      <c r="B41" s="6"/>
      <c r="C41" s="6"/>
      <c r="D41" s="6"/>
      <c r="E41" s="6"/>
      <c r="F41" s="4"/>
      <c r="G41" s="4"/>
      <c r="H41" s="4"/>
      <c r="I41" s="4"/>
      <c r="J41" s="4"/>
      <c r="K41" s="15" t="s">
        <v>20</v>
      </c>
      <c r="L41" s="4"/>
      <c r="M41" s="4"/>
      <c r="N41" s="14">
        <f>Tabella134567[[#This Row],[QTà. CONSEGNATA]]-Tabella134567[[#This Row],[QTà. UTILIZZATA]]</f>
        <v>0</v>
      </c>
    </row>
    <row r="42" spans="2:14" x14ac:dyDescent="0.25">
      <c r="B42" s="6"/>
      <c r="C42" s="6"/>
      <c r="D42" s="6"/>
      <c r="E42" s="6"/>
      <c r="F42" s="4"/>
      <c r="G42" s="4"/>
      <c r="H42" s="4"/>
      <c r="I42" s="4"/>
      <c r="J42" s="4"/>
      <c r="K42" s="15" t="s">
        <v>20</v>
      </c>
      <c r="L42" s="4"/>
      <c r="M42" s="4"/>
      <c r="N42" s="14">
        <f>Tabella134567[[#This Row],[QTà. CONSEGNATA]]-Tabella134567[[#This Row],[QTà. UTILIZZATA]]</f>
        <v>0</v>
      </c>
    </row>
    <row r="43" spans="2:14" x14ac:dyDescent="0.25">
      <c r="B43" s="6"/>
      <c r="C43" s="6"/>
      <c r="D43" s="6"/>
      <c r="E43" s="6"/>
      <c r="F43" s="4"/>
      <c r="G43" s="4"/>
      <c r="H43" s="4"/>
      <c r="I43" s="4"/>
      <c r="J43" s="4"/>
      <c r="K43" s="15" t="s">
        <v>20</v>
      </c>
      <c r="L43" s="4"/>
      <c r="M43" s="4"/>
      <c r="N43" s="14">
        <f>Tabella134567[[#This Row],[QTà. CONSEGNATA]]-Tabella134567[[#This Row],[QTà. UTILIZZATA]]</f>
        <v>0</v>
      </c>
    </row>
    <row r="44" spans="2:14" x14ac:dyDescent="0.25">
      <c r="B44" s="6"/>
      <c r="C44" s="6"/>
      <c r="D44" s="6"/>
      <c r="E44" s="6"/>
      <c r="F44" s="4"/>
      <c r="G44" s="4"/>
      <c r="H44" s="4"/>
      <c r="I44" s="4"/>
      <c r="J44" s="4"/>
      <c r="K44" s="15" t="s">
        <v>20</v>
      </c>
      <c r="L44" s="4"/>
      <c r="M44" s="4"/>
      <c r="N44" s="14">
        <f>Tabella134567[[#This Row],[QTà. CONSEGNATA]]-Tabella134567[[#This Row],[QTà. UTILIZZATA]]</f>
        <v>0</v>
      </c>
    </row>
    <row r="45" spans="2:14" x14ac:dyDescent="0.25">
      <c r="B45" s="6"/>
      <c r="C45" s="6"/>
      <c r="D45" s="6"/>
      <c r="E45" s="6"/>
      <c r="F45" s="4"/>
      <c r="G45" s="4"/>
      <c r="H45" s="4"/>
      <c r="I45" s="4"/>
      <c r="J45" s="4"/>
      <c r="K45" s="15" t="s">
        <v>20</v>
      </c>
      <c r="L45" s="4"/>
      <c r="M45" s="4"/>
      <c r="N45" s="14">
        <f>Tabella134567[[#This Row],[QTà. CONSEGNATA]]-Tabella134567[[#This Row],[QTà. UTILIZZATA]]</f>
        <v>0</v>
      </c>
    </row>
    <row r="46" spans="2:14" x14ac:dyDescent="0.25">
      <c r="B46" s="6"/>
      <c r="C46" s="6"/>
      <c r="D46" s="6"/>
      <c r="E46" s="6"/>
      <c r="F46" s="4"/>
      <c r="G46" s="4"/>
      <c r="H46" s="4"/>
      <c r="I46" s="4"/>
      <c r="J46" s="4"/>
      <c r="K46" s="15" t="s">
        <v>20</v>
      </c>
      <c r="L46" s="4"/>
      <c r="M46" s="4"/>
      <c r="N46" s="14">
        <f>Tabella134567[[#This Row],[QTà. CONSEGNATA]]-Tabella134567[[#This Row],[QTà. UTILIZZATA]]</f>
        <v>0</v>
      </c>
    </row>
    <row r="47" spans="2:14" x14ac:dyDescent="0.25">
      <c r="B47" s="6"/>
      <c r="C47" s="6"/>
      <c r="D47" s="6"/>
      <c r="E47" s="6"/>
      <c r="F47" s="4"/>
      <c r="G47" s="4"/>
      <c r="H47" s="4"/>
      <c r="I47" s="4"/>
      <c r="J47" s="4"/>
      <c r="K47" s="15" t="s">
        <v>20</v>
      </c>
      <c r="L47" s="4"/>
      <c r="M47" s="4"/>
      <c r="N47" s="14">
        <f>Tabella134567[[#This Row],[QTà. CONSEGNATA]]-Tabella134567[[#This Row],[QTà. UTILIZZATA]]</f>
        <v>0</v>
      </c>
    </row>
    <row r="48" spans="2:14" x14ac:dyDescent="0.25">
      <c r="B48" s="6"/>
      <c r="C48" s="6"/>
      <c r="D48" s="6"/>
      <c r="E48" s="6"/>
      <c r="F48" s="4"/>
      <c r="G48" s="4"/>
      <c r="H48" s="4"/>
      <c r="I48" s="4"/>
      <c r="J48" s="4"/>
      <c r="K48" s="15" t="s">
        <v>20</v>
      </c>
      <c r="L48" s="4"/>
      <c r="M48" s="4"/>
      <c r="N48" s="14">
        <f>Tabella134567[[#This Row],[QTà. CONSEGNATA]]-Tabella134567[[#This Row],[QTà. UTILIZZATA]]</f>
        <v>0</v>
      </c>
    </row>
    <row r="49" spans="2:14" x14ac:dyDescent="0.25">
      <c r="B49" s="6"/>
      <c r="C49" s="6"/>
      <c r="D49" s="6"/>
      <c r="E49" s="6"/>
      <c r="F49" s="4"/>
      <c r="G49" s="4"/>
      <c r="H49" s="4"/>
      <c r="I49" s="4"/>
      <c r="J49" s="4"/>
      <c r="K49" s="15" t="s">
        <v>20</v>
      </c>
      <c r="L49" s="4"/>
      <c r="M49" s="4"/>
      <c r="N49" s="14">
        <f>Tabella134567[[#This Row],[QTà. CONSEGNATA]]-Tabella134567[[#This Row],[QTà. UTILIZZATA]]</f>
        <v>0</v>
      </c>
    </row>
    <row r="50" spans="2:14" x14ac:dyDescent="0.25">
      <c r="B50" s="6"/>
      <c r="C50" s="6"/>
      <c r="D50" s="6"/>
      <c r="E50" s="6"/>
      <c r="F50" s="4"/>
      <c r="G50" s="4"/>
      <c r="H50" s="4"/>
      <c r="I50" s="4"/>
      <c r="J50" s="4"/>
      <c r="K50" s="15" t="s">
        <v>20</v>
      </c>
      <c r="L50" s="4"/>
      <c r="M50" s="4"/>
      <c r="N50" s="14">
        <f>Tabella134567[[#This Row],[QTà. CONSEGNATA]]-Tabella134567[[#This Row],[QTà. UTILIZZATA]]</f>
        <v>0</v>
      </c>
    </row>
    <row r="51" spans="2:14" x14ac:dyDescent="0.25">
      <c r="B51" s="6"/>
      <c r="C51" s="6"/>
      <c r="D51" s="6"/>
      <c r="E51" s="6"/>
      <c r="F51" s="4"/>
      <c r="G51" s="4"/>
      <c r="H51" s="4"/>
      <c r="I51" s="4"/>
      <c r="J51" s="4"/>
      <c r="K51" s="15" t="s">
        <v>20</v>
      </c>
      <c r="L51" s="4"/>
      <c r="M51" s="4"/>
      <c r="N51" s="14">
        <f>Tabella134567[[#This Row],[QTà. CONSEGNATA]]-Tabella134567[[#This Row],[QTà. UTILIZZATA]]</f>
        <v>0</v>
      </c>
    </row>
    <row r="52" spans="2:14" x14ac:dyDescent="0.25">
      <c r="B52" s="6"/>
      <c r="C52" s="6"/>
      <c r="D52" s="6"/>
      <c r="E52" s="6"/>
      <c r="F52" s="4"/>
      <c r="G52" s="4"/>
      <c r="H52" s="4"/>
      <c r="I52" s="4"/>
      <c r="J52" s="4"/>
      <c r="K52" s="15" t="s">
        <v>20</v>
      </c>
      <c r="L52" s="4"/>
      <c r="M52" s="4"/>
      <c r="N52" s="14">
        <f>Tabella134567[[#This Row],[QTà. CONSEGNATA]]-Tabella134567[[#This Row],[QTà. UTILIZZATA]]</f>
        <v>0</v>
      </c>
    </row>
    <row r="53" spans="2:14" x14ac:dyDescent="0.25">
      <c r="B53" s="6"/>
      <c r="C53" s="6"/>
      <c r="D53" s="6"/>
      <c r="E53" s="6"/>
      <c r="F53" s="4"/>
      <c r="G53" s="4"/>
      <c r="H53" s="4"/>
      <c r="I53" s="4"/>
      <c r="J53" s="4"/>
      <c r="K53" s="15" t="s">
        <v>20</v>
      </c>
      <c r="L53" s="4"/>
      <c r="M53" s="4"/>
      <c r="N53" s="14">
        <f>Tabella134567[[#This Row],[QTà. CONSEGNATA]]-Tabella134567[[#This Row],[QTà. UTILIZZATA]]</f>
        <v>0</v>
      </c>
    </row>
    <row r="54" spans="2:14" x14ac:dyDescent="0.25">
      <c r="B54" s="6"/>
      <c r="C54" s="6"/>
      <c r="D54" s="6"/>
      <c r="E54" s="6"/>
      <c r="F54" s="4"/>
      <c r="G54" s="4"/>
      <c r="H54" s="4"/>
      <c r="I54" s="4"/>
      <c r="J54" s="4"/>
      <c r="K54" s="15" t="s">
        <v>20</v>
      </c>
      <c r="L54" s="4"/>
      <c r="M54" s="4"/>
      <c r="N54" s="14">
        <f>Tabella134567[[#This Row],[QTà. CONSEGNATA]]-Tabella134567[[#This Row],[QTà. UTILIZZATA]]</f>
        <v>0</v>
      </c>
    </row>
  </sheetData>
  <mergeCells count="7">
    <mergeCell ref="B6:N6"/>
    <mergeCell ref="B1:E2"/>
    <mergeCell ref="F1:L2"/>
    <mergeCell ref="M1:N2"/>
    <mergeCell ref="B3:N3"/>
    <mergeCell ref="B4:N4"/>
    <mergeCell ref="B5:N5"/>
  </mergeCells>
  <pageMargins left="0.7" right="0.7" top="0.75" bottom="0.75" header="0.3" footer="0.3"/>
  <pageSetup paperSize="9" scale="64" fitToHeight="0" orientation="landscape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828A8-AD12-400B-BCBC-F003856AD1C1}">
  <sheetPr>
    <pageSetUpPr fitToPage="1"/>
  </sheetPr>
  <dimension ref="B1:N54"/>
  <sheetViews>
    <sheetView workbookViewId="0">
      <selection activeCell="M43" sqref="M43"/>
    </sheetView>
  </sheetViews>
  <sheetFormatPr defaultRowHeight="15" x14ac:dyDescent="0.25"/>
  <cols>
    <col min="2" max="3" width="14.7109375" customWidth="1"/>
    <col min="4" max="5" width="12.28515625" customWidth="1"/>
    <col min="6" max="6" width="15.5703125" bestFit="1" customWidth="1"/>
    <col min="7" max="8" width="15.5703125" customWidth="1"/>
    <col min="9" max="9" width="16.42578125" bestFit="1" customWidth="1"/>
    <col min="10" max="10" width="20" bestFit="1" customWidth="1"/>
    <col min="11" max="11" width="27.28515625" bestFit="1" customWidth="1"/>
    <col min="12" max="12" width="20" customWidth="1"/>
    <col min="13" max="13" width="15.5703125" bestFit="1" customWidth="1"/>
    <col min="14" max="14" width="14.42578125" style="1" bestFit="1" customWidth="1"/>
  </cols>
  <sheetData>
    <row r="1" spans="2:14" ht="15" customHeight="1" x14ac:dyDescent="0.25">
      <c r="B1" s="26" t="s">
        <v>13</v>
      </c>
      <c r="C1" s="27"/>
      <c r="D1" s="27"/>
      <c r="E1" s="28"/>
      <c r="F1" s="32" t="s">
        <v>18</v>
      </c>
      <c r="G1" s="27"/>
      <c r="H1" s="27"/>
      <c r="I1" s="27"/>
      <c r="J1" s="27"/>
      <c r="K1" s="27"/>
      <c r="L1" s="27"/>
      <c r="M1" s="22" t="s">
        <v>16</v>
      </c>
      <c r="N1" s="23"/>
    </row>
    <row r="2" spans="2:14" ht="15.75" customHeight="1" thickBot="1" x14ac:dyDescent="0.3">
      <c r="B2" s="29"/>
      <c r="C2" s="30"/>
      <c r="D2" s="30"/>
      <c r="E2" s="31"/>
      <c r="F2" s="33"/>
      <c r="G2" s="30"/>
      <c r="H2" s="30"/>
      <c r="I2" s="30"/>
      <c r="J2" s="30"/>
      <c r="K2" s="30"/>
      <c r="L2" s="30"/>
      <c r="M2" s="24"/>
      <c r="N2" s="25"/>
    </row>
    <row r="3" spans="2:14" ht="15.75" x14ac:dyDescent="0.25">
      <c r="B3" s="34" t="s">
        <v>19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6"/>
    </row>
    <row r="4" spans="2:14" ht="15.75" x14ac:dyDescent="0.25">
      <c r="B4" s="16" t="s">
        <v>9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8"/>
    </row>
    <row r="5" spans="2:14" ht="15.75" x14ac:dyDescent="0.25">
      <c r="B5" s="16" t="s">
        <v>0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</row>
    <row r="6" spans="2:14" ht="16.5" thickBot="1" x14ac:dyDescent="0.3">
      <c r="B6" s="19" t="s">
        <v>1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1"/>
    </row>
    <row r="9" spans="2:14" s="2" customFormat="1" ht="45" x14ac:dyDescent="0.25">
      <c r="B9" s="5" t="s">
        <v>15</v>
      </c>
      <c r="C9" s="5" t="s">
        <v>14</v>
      </c>
      <c r="D9" s="5" t="s">
        <v>10</v>
      </c>
      <c r="E9" s="5" t="s">
        <v>3</v>
      </c>
      <c r="F9" s="3" t="s">
        <v>2</v>
      </c>
      <c r="G9" s="3" t="s">
        <v>4</v>
      </c>
      <c r="H9" s="3" t="s">
        <v>12</v>
      </c>
      <c r="I9" s="3" t="s">
        <v>5</v>
      </c>
      <c r="J9" s="3" t="s">
        <v>11</v>
      </c>
      <c r="K9" s="3" t="s">
        <v>21</v>
      </c>
      <c r="L9" s="3" t="s">
        <v>6</v>
      </c>
      <c r="M9" s="3" t="s">
        <v>7</v>
      </c>
      <c r="N9" s="7" t="s">
        <v>8</v>
      </c>
    </row>
    <row r="10" spans="2:14" x14ac:dyDescent="0.25">
      <c r="B10" s="10"/>
      <c r="C10" s="10"/>
      <c r="D10" s="10"/>
      <c r="E10" s="10"/>
      <c r="F10" s="11"/>
      <c r="G10" s="11"/>
      <c r="H10" s="11"/>
      <c r="I10" s="11"/>
      <c r="J10" s="11"/>
      <c r="K10" s="15" t="s">
        <v>20</v>
      </c>
      <c r="L10" s="11"/>
      <c r="M10" s="11"/>
      <c r="N10" s="12">
        <f>Tabella1345678[[#This Row],[QTà. CONSEGNATA]]-Tabella1345678[[#This Row],[QTà. UTILIZZATA]]</f>
        <v>0</v>
      </c>
    </row>
    <row r="11" spans="2:14" x14ac:dyDescent="0.25">
      <c r="B11" s="6"/>
      <c r="C11" s="6"/>
      <c r="D11" s="6"/>
      <c r="E11" s="6"/>
      <c r="F11" s="4"/>
      <c r="G11" s="4"/>
      <c r="H11" s="4"/>
      <c r="I11" s="4"/>
      <c r="J11" s="4"/>
      <c r="K11" s="15" t="s">
        <v>20</v>
      </c>
      <c r="L11" s="4"/>
      <c r="M11" s="4"/>
      <c r="N11" s="13">
        <f>Tabella1345678[[#This Row],[QTà. CONSEGNATA]]-Tabella1345678[[#This Row],[QTà. UTILIZZATA]]</f>
        <v>0</v>
      </c>
    </row>
    <row r="12" spans="2:14" x14ac:dyDescent="0.25">
      <c r="B12" s="6"/>
      <c r="C12" s="6"/>
      <c r="D12" s="6"/>
      <c r="E12" s="6"/>
      <c r="F12" s="4"/>
      <c r="G12" s="4"/>
      <c r="H12" s="4"/>
      <c r="I12" s="4"/>
      <c r="J12" s="4"/>
      <c r="K12" s="15" t="s">
        <v>20</v>
      </c>
      <c r="L12" s="4"/>
      <c r="M12" s="4"/>
      <c r="N12" s="13">
        <f>Tabella1345678[[#This Row],[QTà. CONSEGNATA]]-Tabella1345678[[#This Row],[QTà. UTILIZZATA]]</f>
        <v>0</v>
      </c>
    </row>
    <row r="13" spans="2:14" x14ac:dyDescent="0.25">
      <c r="B13" s="6"/>
      <c r="C13" s="6"/>
      <c r="D13" s="6"/>
      <c r="E13" s="6"/>
      <c r="F13" s="4"/>
      <c r="G13" s="4"/>
      <c r="H13" s="4"/>
      <c r="I13" s="4"/>
      <c r="J13" s="4"/>
      <c r="K13" s="15" t="s">
        <v>20</v>
      </c>
      <c r="L13" s="4"/>
      <c r="M13" s="4"/>
      <c r="N13" s="13">
        <f>Tabella1345678[[#This Row],[QTà. CONSEGNATA]]-Tabella1345678[[#This Row],[QTà. UTILIZZATA]]</f>
        <v>0</v>
      </c>
    </row>
    <row r="14" spans="2:14" x14ac:dyDescent="0.25">
      <c r="B14" s="6"/>
      <c r="C14" s="6"/>
      <c r="D14" s="6"/>
      <c r="E14" s="6"/>
      <c r="F14" s="4"/>
      <c r="G14" s="4"/>
      <c r="H14" s="4"/>
      <c r="I14" s="4"/>
      <c r="J14" s="4"/>
      <c r="K14" s="15" t="s">
        <v>20</v>
      </c>
      <c r="L14" s="4"/>
      <c r="M14" s="4"/>
      <c r="N14" s="13">
        <f>Tabella1345678[[#This Row],[QTà. CONSEGNATA]]-Tabella1345678[[#This Row],[QTà. UTILIZZATA]]</f>
        <v>0</v>
      </c>
    </row>
    <row r="15" spans="2:14" x14ac:dyDescent="0.25">
      <c r="B15" s="6"/>
      <c r="C15" s="6"/>
      <c r="D15" s="6"/>
      <c r="E15" s="6"/>
      <c r="F15" s="4"/>
      <c r="G15" s="4"/>
      <c r="H15" s="4"/>
      <c r="I15" s="4"/>
      <c r="J15" s="4"/>
      <c r="K15" s="15" t="s">
        <v>20</v>
      </c>
      <c r="L15" s="4"/>
      <c r="M15" s="4"/>
      <c r="N15" s="13">
        <f>Tabella1345678[[#This Row],[QTà. CONSEGNATA]]-Tabella1345678[[#This Row],[QTà. UTILIZZATA]]</f>
        <v>0</v>
      </c>
    </row>
    <row r="16" spans="2:14" x14ac:dyDescent="0.25">
      <c r="B16" s="6"/>
      <c r="C16" s="6"/>
      <c r="D16" s="6"/>
      <c r="E16" s="6"/>
      <c r="F16" s="4"/>
      <c r="G16" s="4"/>
      <c r="H16" s="4"/>
      <c r="I16" s="4"/>
      <c r="J16" s="4"/>
      <c r="K16" s="15" t="s">
        <v>20</v>
      </c>
      <c r="L16" s="4"/>
      <c r="M16" s="4"/>
      <c r="N16" s="13">
        <f>Tabella1345678[[#This Row],[QTà. CONSEGNATA]]-Tabella1345678[[#This Row],[QTà. UTILIZZATA]]</f>
        <v>0</v>
      </c>
    </row>
    <row r="17" spans="2:14" x14ac:dyDescent="0.25">
      <c r="B17" s="6"/>
      <c r="C17" s="6"/>
      <c r="D17" s="6"/>
      <c r="E17" s="6"/>
      <c r="F17" s="4"/>
      <c r="G17" s="4"/>
      <c r="H17" s="4"/>
      <c r="I17" s="4"/>
      <c r="J17" s="4"/>
      <c r="K17" s="15" t="s">
        <v>20</v>
      </c>
      <c r="L17" s="4"/>
      <c r="M17" s="4"/>
      <c r="N17" s="13">
        <f>Tabella1345678[[#This Row],[QTà. CONSEGNATA]]-Tabella1345678[[#This Row],[QTà. UTILIZZATA]]</f>
        <v>0</v>
      </c>
    </row>
    <row r="18" spans="2:14" x14ac:dyDescent="0.25">
      <c r="B18" s="6"/>
      <c r="C18" s="6"/>
      <c r="D18" s="6"/>
      <c r="E18" s="6"/>
      <c r="F18" s="4"/>
      <c r="G18" s="4"/>
      <c r="H18" s="4"/>
      <c r="I18" s="4"/>
      <c r="J18" s="4"/>
      <c r="K18" s="15" t="s">
        <v>20</v>
      </c>
      <c r="L18" s="4"/>
      <c r="M18" s="4"/>
      <c r="N18" s="13">
        <f>Tabella1345678[[#This Row],[QTà. CONSEGNATA]]-Tabella1345678[[#This Row],[QTà. UTILIZZATA]]</f>
        <v>0</v>
      </c>
    </row>
    <row r="19" spans="2:14" x14ac:dyDescent="0.25">
      <c r="B19" s="6"/>
      <c r="C19" s="6"/>
      <c r="D19" s="6"/>
      <c r="E19" s="6"/>
      <c r="F19" s="4"/>
      <c r="G19" s="4"/>
      <c r="H19" s="4"/>
      <c r="I19" s="4"/>
      <c r="J19" s="4"/>
      <c r="K19" s="15" t="s">
        <v>20</v>
      </c>
      <c r="L19" s="4"/>
      <c r="M19" s="4"/>
      <c r="N19" s="13">
        <f>Tabella1345678[[#This Row],[QTà. CONSEGNATA]]-Tabella1345678[[#This Row],[QTà. UTILIZZATA]]</f>
        <v>0</v>
      </c>
    </row>
    <row r="20" spans="2:14" x14ac:dyDescent="0.25">
      <c r="B20" s="6"/>
      <c r="C20" s="6"/>
      <c r="D20" s="6"/>
      <c r="E20" s="6"/>
      <c r="F20" s="4"/>
      <c r="G20" s="4"/>
      <c r="H20" s="4"/>
      <c r="I20" s="4"/>
      <c r="J20" s="4"/>
      <c r="K20" s="15" t="s">
        <v>20</v>
      </c>
      <c r="L20" s="4"/>
      <c r="M20" s="4"/>
      <c r="N20" s="13">
        <f>Tabella1345678[[#This Row],[QTà. CONSEGNATA]]-Tabella1345678[[#This Row],[QTà. UTILIZZATA]]</f>
        <v>0</v>
      </c>
    </row>
    <row r="21" spans="2:14" x14ac:dyDescent="0.25">
      <c r="B21" s="6"/>
      <c r="C21" s="6"/>
      <c r="D21" s="6"/>
      <c r="E21" s="6"/>
      <c r="F21" s="4"/>
      <c r="G21" s="4"/>
      <c r="H21" s="4"/>
      <c r="I21" s="4"/>
      <c r="J21" s="4"/>
      <c r="K21" s="15" t="s">
        <v>20</v>
      </c>
      <c r="L21" s="4"/>
      <c r="M21" s="4"/>
      <c r="N21" s="13">
        <f>Tabella1345678[[#This Row],[QTà. CONSEGNATA]]-Tabella1345678[[#This Row],[QTà. UTILIZZATA]]</f>
        <v>0</v>
      </c>
    </row>
    <row r="22" spans="2:14" x14ac:dyDescent="0.25">
      <c r="B22" s="6"/>
      <c r="C22" s="6"/>
      <c r="D22" s="6"/>
      <c r="E22" s="6"/>
      <c r="F22" s="4"/>
      <c r="G22" s="4"/>
      <c r="H22" s="4"/>
      <c r="I22" s="4"/>
      <c r="J22" s="4"/>
      <c r="K22" s="15" t="s">
        <v>20</v>
      </c>
      <c r="L22" s="4"/>
      <c r="M22" s="4"/>
      <c r="N22" s="13">
        <f>Tabella1345678[[#This Row],[QTà. CONSEGNATA]]-Tabella1345678[[#This Row],[QTà. UTILIZZATA]]</f>
        <v>0</v>
      </c>
    </row>
    <row r="23" spans="2:14" x14ac:dyDescent="0.25">
      <c r="B23" s="6"/>
      <c r="C23" s="6"/>
      <c r="D23" s="6"/>
      <c r="E23" s="6"/>
      <c r="F23" s="4"/>
      <c r="G23" s="4"/>
      <c r="H23" s="4"/>
      <c r="I23" s="4"/>
      <c r="J23" s="4"/>
      <c r="K23" s="15" t="s">
        <v>20</v>
      </c>
      <c r="L23" s="4"/>
      <c r="M23" s="4"/>
      <c r="N23" s="13">
        <f>Tabella1345678[[#This Row],[QTà. CONSEGNATA]]-Tabella1345678[[#This Row],[QTà. UTILIZZATA]]</f>
        <v>0</v>
      </c>
    </row>
    <row r="24" spans="2:14" x14ac:dyDescent="0.25">
      <c r="B24" s="6"/>
      <c r="C24" s="6"/>
      <c r="D24" s="6"/>
      <c r="E24" s="6"/>
      <c r="F24" s="4"/>
      <c r="G24" s="4"/>
      <c r="H24" s="4"/>
      <c r="I24" s="4"/>
      <c r="J24" s="4"/>
      <c r="K24" s="15" t="s">
        <v>20</v>
      </c>
      <c r="L24" s="4"/>
      <c r="M24" s="4"/>
      <c r="N24" s="13">
        <f>Tabella1345678[[#This Row],[QTà. CONSEGNATA]]-Tabella1345678[[#This Row],[QTà. UTILIZZATA]]</f>
        <v>0</v>
      </c>
    </row>
    <row r="25" spans="2:14" x14ac:dyDescent="0.25">
      <c r="B25" s="6"/>
      <c r="C25" s="6"/>
      <c r="D25" s="6"/>
      <c r="E25" s="6"/>
      <c r="F25" s="4"/>
      <c r="G25" s="4"/>
      <c r="H25" s="4"/>
      <c r="I25" s="4"/>
      <c r="J25" s="4"/>
      <c r="K25" s="15" t="s">
        <v>20</v>
      </c>
      <c r="L25" s="4"/>
      <c r="M25" s="4"/>
      <c r="N25" s="13">
        <f>Tabella1345678[[#This Row],[QTà. CONSEGNATA]]-Tabella1345678[[#This Row],[QTà. UTILIZZATA]]</f>
        <v>0</v>
      </c>
    </row>
    <row r="26" spans="2:14" x14ac:dyDescent="0.25">
      <c r="B26" s="6"/>
      <c r="C26" s="6"/>
      <c r="D26" s="6"/>
      <c r="E26" s="6"/>
      <c r="F26" s="4"/>
      <c r="G26" s="4"/>
      <c r="H26" s="4"/>
      <c r="I26" s="4"/>
      <c r="J26" s="4"/>
      <c r="K26" s="15" t="s">
        <v>20</v>
      </c>
      <c r="L26" s="4"/>
      <c r="M26" s="4"/>
      <c r="N26" s="13">
        <f>Tabella1345678[[#This Row],[QTà. CONSEGNATA]]-Tabella1345678[[#This Row],[QTà. UTILIZZATA]]</f>
        <v>0</v>
      </c>
    </row>
    <row r="27" spans="2:14" x14ac:dyDescent="0.25">
      <c r="B27" s="6"/>
      <c r="C27" s="6"/>
      <c r="D27" s="6"/>
      <c r="E27" s="6"/>
      <c r="F27" s="4"/>
      <c r="G27" s="4"/>
      <c r="H27" s="4"/>
      <c r="I27" s="4"/>
      <c r="J27" s="4"/>
      <c r="K27" s="15" t="s">
        <v>20</v>
      </c>
      <c r="L27" s="4"/>
      <c r="M27" s="4"/>
      <c r="N27" s="13">
        <f>Tabella1345678[[#This Row],[QTà. CONSEGNATA]]-Tabella1345678[[#This Row],[QTà. UTILIZZATA]]</f>
        <v>0</v>
      </c>
    </row>
    <row r="28" spans="2:14" x14ac:dyDescent="0.25">
      <c r="B28" s="6"/>
      <c r="C28" s="6"/>
      <c r="D28" s="6"/>
      <c r="E28" s="6"/>
      <c r="F28" s="4"/>
      <c r="G28" s="4"/>
      <c r="H28" s="4"/>
      <c r="I28" s="4"/>
      <c r="J28" s="4"/>
      <c r="K28" s="15" t="s">
        <v>20</v>
      </c>
      <c r="L28" s="4"/>
      <c r="M28" s="4"/>
      <c r="N28" s="13">
        <f>Tabella1345678[[#This Row],[QTà. CONSEGNATA]]-Tabella1345678[[#This Row],[QTà. UTILIZZATA]]</f>
        <v>0</v>
      </c>
    </row>
    <row r="29" spans="2:14" x14ac:dyDescent="0.25">
      <c r="B29" s="6"/>
      <c r="C29" s="6"/>
      <c r="D29" s="6"/>
      <c r="E29" s="6"/>
      <c r="F29" s="4"/>
      <c r="G29" s="4"/>
      <c r="H29" s="4"/>
      <c r="I29" s="4"/>
      <c r="J29" s="4"/>
      <c r="K29" s="15" t="s">
        <v>20</v>
      </c>
      <c r="L29" s="4"/>
      <c r="M29" s="4"/>
      <c r="N29" s="13">
        <f>Tabella1345678[[#This Row],[QTà. CONSEGNATA]]-Tabella1345678[[#This Row],[QTà. UTILIZZATA]]</f>
        <v>0</v>
      </c>
    </row>
    <row r="30" spans="2:14" x14ac:dyDescent="0.25">
      <c r="B30" s="6"/>
      <c r="C30" s="6"/>
      <c r="D30" s="6"/>
      <c r="E30" s="6"/>
      <c r="F30" s="4"/>
      <c r="G30" s="4"/>
      <c r="H30" s="4"/>
      <c r="I30" s="4"/>
      <c r="J30" s="4"/>
      <c r="K30" s="15" t="s">
        <v>20</v>
      </c>
      <c r="L30" s="4"/>
      <c r="M30" s="4"/>
      <c r="N30" s="13">
        <f>Tabella1345678[[#This Row],[QTà. CONSEGNATA]]-Tabella1345678[[#This Row],[QTà. UTILIZZATA]]</f>
        <v>0</v>
      </c>
    </row>
    <row r="31" spans="2:14" x14ac:dyDescent="0.25">
      <c r="B31" s="6"/>
      <c r="C31" s="6"/>
      <c r="D31" s="6"/>
      <c r="E31" s="6"/>
      <c r="F31" s="4"/>
      <c r="G31" s="4"/>
      <c r="H31" s="4"/>
      <c r="I31" s="4"/>
      <c r="J31" s="4"/>
      <c r="K31" s="15" t="s">
        <v>20</v>
      </c>
      <c r="L31" s="4"/>
      <c r="M31" s="4"/>
      <c r="N31" s="13">
        <f>Tabella1345678[[#This Row],[QTà. CONSEGNATA]]-Tabella1345678[[#This Row],[QTà. UTILIZZATA]]</f>
        <v>0</v>
      </c>
    </row>
    <row r="32" spans="2:14" x14ac:dyDescent="0.25">
      <c r="B32" s="6"/>
      <c r="C32" s="6"/>
      <c r="D32" s="6"/>
      <c r="E32" s="6"/>
      <c r="F32" s="4"/>
      <c r="G32" s="4"/>
      <c r="H32" s="4"/>
      <c r="I32" s="4"/>
      <c r="J32" s="4"/>
      <c r="K32" s="15" t="s">
        <v>20</v>
      </c>
      <c r="L32" s="4"/>
      <c r="M32" s="4"/>
      <c r="N32" s="13">
        <f>Tabella1345678[[#This Row],[QTà. CONSEGNATA]]-Tabella1345678[[#This Row],[QTà. UTILIZZATA]]</f>
        <v>0</v>
      </c>
    </row>
    <row r="33" spans="2:14" x14ac:dyDescent="0.25">
      <c r="B33" s="8"/>
      <c r="C33" s="8"/>
      <c r="D33" s="8"/>
      <c r="E33" s="8"/>
      <c r="F33" s="9"/>
      <c r="G33" s="9"/>
      <c r="H33" s="9"/>
      <c r="I33" s="9"/>
      <c r="J33" s="9"/>
      <c r="K33" s="15" t="s">
        <v>20</v>
      </c>
      <c r="L33" s="9"/>
      <c r="M33" s="9"/>
      <c r="N33" s="14">
        <f>Tabella1345678[[#This Row],[QTà. CONSEGNATA]]-Tabella1345678[[#This Row],[QTà. UTILIZZATA]]</f>
        <v>0</v>
      </c>
    </row>
    <row r="34" spans="2:14" x14ac:dyDescent="0.25">
      <c r="B34" s="6"/>
      <c r="C34" s="6"/>
      <c r="D34" s="6"/>
      <c r="E34" s="6"/>
      <c r="F34" s="4"/>
      <c r="G34" s="4"/>
      <c r="H34" s="4"/>
      <c r="I34" s="4"/>
      <c r="J34" s="4"/>
      <c r="K34" s="15" t="s">
        <v>20</v>
      </c>
      <c r="L34" s="4"/>
      <c r="M34" s="4"/>
      <c r="N34" s="14">
        <f>Tabella1345678[[#This Row],[QTà. CONSEGNATA]]-Tabella1345678[[#This Row],[QTà. UTILIZZATA]]</f>
        <v>0</v>
      </c>
    </row>
    <row r="35" spans="2:14" x14ac:dyDescent="0.25">
      <c r="B35" s="6"/>
      <c r="C35" s="6"/>
      <c r="D35" s="6"/>
      <c r="E35" s="6"/>
      <c r="F35" s="4"/>
      <c r="G35" s="4"/>
      <c r="H35" s="4"/>
      <c r="I35" s="4"/>
      <c r="J35" s="4"/>
      <c r="K35" s="15" t="s">
        <v>20</v>
      </c>
      <c r="L35" s="4"/>
      <c r="M35" s="4"/>
      <c r="N35" s="14">
        <f>Tabella1345678[[#This Row],[QTà. CONSEGNATA]]-Tabella1345678[[#This Row],[QTà. UTILIZZATA]]</f>
        <v>0</v>
      </c>
    </row>
    <row r="36" spans="2:14" x14ac:dyDescent="0.25">
      <c r="B36" s="6"/>
      <c r="C36" s="6"/>
      <c r="D36" s="6"/>
      <c r="E36" s="6"/>
      <c r="F36" s="4"/>
      <c r="G36" s="4"/>
      <c r="H36" s="4"/>
      <c r="I36" s="4"/>
      <c r="J36" s="4"/>
      <c r="K36" s="15" t="s">
        <v>20</v>
      </c>
      <c r="L36" s="4"/>
      <c r="M36" s="4"/>
      <c r="N36" s="14">
        <f>Tabella1345678[[#This Row],[QTà. CONSEGNATA]]-Tabella1345678[[#This Row],[QTà. UTILIZZATA]]</f>
        <v>0</v>
      </c>
    </row>
    <row r="37" spans="2:14" x14ac:dyDescent="0.25">
      <c r="B37" s="6"/>
      <c r="C37" s="6"/>
      <c r="D37" s="6"/>
      <c r="E37" s="6"/>
      <c r="F37" s="4"/>
      <c r="G37" s="4"/>
      <c r="H37" s="4"/>
      <c r="I37" s="4"/>
      <c r="J37" s="4"/>
      <c r="K37" s="15" t="s">
        <v>20</v>
      </c>
      <c r="L37" s="4"/>
      <c r="M37" s="4"/>
      <c r="N37" s="14">
        <f>Tabella1345678[[#This Row],[QTà. CONSEGNATA]]-Tabella1345678[[#This Row],[QTà. UTILIZZATA]]</f>
        <v>0</v>
      </c>
    </row>
    <row r="38" spans="2:14" x14ac:dyDescent="0.25">
      <c r="B38" s="6"/>
      <c r="C38" s="6"/>
      <c r="D38" s="6"/>
      <c r="E38" s="6"/>
      <c r="F38" s="4"/>
      <c r="G38" s="4"/>
      <c r="H38" s="4"/>
      <c r="I38" s="4"/>
      <c r="J38" s="4"/>
      <c r="K38" s="15" t="s">
        <v>20</v>
      </c>
      <c r="L38" s="4"/>
      <c r="M38" s="4"/>
      <c r="N38" s="14">
        <f>Tabella1345678[[#This Row],[QTà. CONSEGNATA]]-Tabella1345678[[#This Row],[QTà. UTILIZZATA]]</f>
        <v>0</v>
      </c>
    </row>
    <row r="39" spans="2:14" x14ac:dyDescent="0.25">
      <c r="B39" s="6"/>
      <c r="C39" s="6"/>
      <c r="D39" s="6"/>
      <c r="E39" s="6"/>
      <c r="F39" s="4"/>
      <c r="G39" s="4"/>
      <c r="H39" s="4"/>
      <c r="I39" s="4"/>
      <c r="J39" s="4"/>
      <c r="K39" s="15" t="s">
        <v>20</v>
      </c>
      <c r="L39" s="4"/>
      <c r="M39" s="4"/>
      <c r="N39" s="14">
        <f>Tabella1345678[[#This Row],[QTà. CONSEGNATA]]-Tabella1345678[[#This Row],[QTà. UTILIZZATA]]</f>
        <v>0</v>
      </c>
    </row>
    <row r="40" spans="2:14" x14ac:dyDescent="0.25">
      <c r="B40" s="6"/>
      <c r="C40" s="6"/>
      <c r="D40" s="6"/>
      <c r="E40" s="6"/>
      <c r="F40" s="4"/>
      <c r="G40" s="4"/>
      <c r="H40" s="4"/>
      <c r="I40" s="4"/>
      <c r="J40" s="4"/>
      <c r="K40" s="15" t="s">
        <v>20</v>
      </c>
      <c r="L40" s="4"/>
      <c r="M40" s="4"/>
      <c r="N40" s="14">
        <f>Tabella1345678[[#This Row],[QTà. CONSEGNATA]]-Tabella1345678[[#This Row],[QTà. UTILIZZATA]]</f>
        <v>0</v>
      </c>
    </row>
    <row r="41" spans="2:14" x14ac:dyDescent="0.25">
      <c r="B41" s="6"/>
      <c r="C41" s="6"/>
      <c r="D41" s="6"/>
      <c r="E41" s="6"/>
      <c r="F41" s="4"/>
      <c r="G41" s="4"/>
      <c r="H41" s="4"/>
      <c r="I41" s="4"/>
      <c r="J41" s="4"/>
      <c r="K41" s="15" t="s">
        <v>20</v>
      </c>
      <c r="L41" s="4"/>
      <c r="M41" s="4"/>
      <c r="N41" s="14">
        <f>Tabella1345678[[#This Row],[QTà. CONSEGNATA]]-Tabella1345678[[#This Row],[QTà. UTILIZZATA]]</f>
        <v>0</v>
      </c>
    </row>
    <row r="42" spans="2:14" x14ac:dyDescent="0.25">
      <c r="B42" s="6"/>
      <c r="C42" s="6"/>
      <c r="D42" s="6"/>
      <c r="E42" s="6"/>
      <c r="F42" s="4"/>
      <c r="G42" s="4"/>
      <c r="H42" s="4"/>
      <c r="I42" s="4"/>
      <c r="J42" s="4"/>
      <c r="K42" s="15" t="s">
        <v>20</v>
      </c>
      <c r="L42" s="4"/>
      <c r="M42" s="4"/>
      <c r="N42" s="14">
        <f>Tabella1345678[[#This Row],[QTà. CONSEGNATA]]-Tabella1345678[[#This Row],[QTà. UTILIZZATA]]</f>
        <v>0</v>
      </c>
    </row>
    <row r="43" spans="2:14" x14ac:dyDescent="0.25">
      <c r="B43" s="6"/>
      <c r="C43" s="6"/>
      <c r="D43" s="6"/>
      <c r="E43" s="6"/>
      <c r="F43" s="4"/>
      <c r="G43" s="4"/>
      <c r="H43" s="4"/>
      <c r="I43" s="4"/>
      <c r="J43" s="4"/>
      <c r="K43" s="15" t="s">
        <v>20</v>
      </c>
      <c r="L43" s="4"/>
      <c r="M43" s="4"/>
      <c r="N43" s="14">
        <f>Tabella1345678[[#This Row],[QTà. CONSEGNATA]]-Tabella1345678[[#This Row],[QTà. UTILIZZATA]]</f>
        <v>0</v>
      </c>
    </row>
    <row r="44" spans="2:14" x14ac:dyDescent="0.25">
      <c r="B44" s="6"/>
      <c r="C44" s="6"/>
      <c r="D44" s="6"/>
      <c r="E44" s="6"/>
      <c r="F44" s="4"/>
      <c r="G44" s="4"/>
      <c r="H44" s="4"/>
      <c r="I44" s="4"/>
      <c r="J44" s="4"/>
      <c r="K44" s="15" t="s">
        <v>20</v>
      </c>
      <c r="L44" s="4"/>
      <c r="M44" s="4"/>
      <c r="N44" s="14">
        <f>Tabella1345678[[#This Row],[QTà. CONSEGNATA]]-Tabella1345678[[#This Row],[QTà. UTILIZZATA]]</f>
        <v>0</v>
      </c>
    </row>
    <row r="45" spans="2:14" x14ac:dyDescent="0.25">
      <c r="B45" s="6"/>
      <c r="C45" s="6"/>
      <c r="D45" s="6"/>
      <c r="E45" s="6"/>
      <c r="F45" s="4"/>
      <c r="G45" s="4"/>
      <c r="H45" s="4"/>
      <c r="I45" s="4"/>
      <c r="J45" s="4"/>
      <c r="K45" s="15" t="s">
        <v>20</v>
      </c>
      <c r="L45" s="4"/>
      <c r="M45" s="4"/>
      <c r="N45" s="14">
        <f>Tabella1345678[[#This Row],[QTà. CONSEGNATA]]-Tabella1345678[[#This Row],[QTà. UTILIZZATA]]</f>
        <v>0</v>
      </c>
    </row>
    <row r="46" spans="2:14" x14ac:dyDescent="0.25">
      <c r="B46" s="6"/>
      <c r="C46" s="6"/>
      <c r="D46" s="6"/>
      <c r="E46" s="6"/>
      <c r="F46" s="4"/>
      <c r="G46" s="4"/>
      <c r="H46" s="4"/>
      <c r="I46" s="4"/>
      <c r="J46" s="4"/>
      <c r="K46" s="15" t="s">
        <v>20</v>
      </c>
      <c r="L46" s="4"/>
      <c r="M46" s="4"/>
      <c r="N46" s="14">
        <f>Tabella1345678[[#This Row],[QTà. CONSEGNATA]]-Tabella1345678[[#This Row],[QTà. UTILIZZATA]]</f>
        <v>0</v>
      </c>
    </row>
    <row r="47" spans="2:14" x14ac:dyDescent="0.25">
      <c r="B47" s="6"/>
      <c r="C47" s="6"/>
      <c r="D47" s="6"/>
      <c r="E47" s="6"/>
      <c r="F47" s="4"/>
      <c r="G47" s="4"/>
      <c r="H47" s="4"/>
      <c r="I47" s="4"/>
      <c r="J47" s="4"/>
      <c r="K47" s="15" t="s">
        <v>20</v>
      </c>
      <c r="L47" s="4"/>
      <c r="M47" s="4"/>
      <c r="N47" s="14">
        <f>Tabella1345678[[#This Row],[QTà. CONSEGNATA]]-Tabella1345678[[#This Row],[QTà. UTILIZZATA]]</f>
        <v>0</v>
      </c>
    </row>
    <row r="48" spans="2:14" x14ac:dyDescent="0.25">
      <c r="B48" s="6"/>
      <c r="C48" s="6"/>
      <c r="D48" s="6"/>
      <c r="E48" s="6"/>
      <c r="F48" s="4"/>
      <c r="G48" s="4"/>
      <c r="H48" s="4"/>
      <c r="I48" s="4"/>
      <c r="J48" s="4"/>
      <c r="K48" s="15" t="s">
        <v>20</v>
      </c>
      <c r="L48" s="4"/>
      <c r="M48" s="4"/>
      <c r="N48" s="14">
        <f>Tabella1345678[[#This Row],[QTà. CONSEGNATA]]-Tabella1345678[[#This Row],[QTà. UTILIZZATA]]</f>
        <v>0</v>
      </c>
    </row>
    <row r="49" spans="2:14" x14ac:dyDescent="0.25">
      <c r="B49" s="6"/>
      <c r="C49" s="6"/>
      <c r="D49" s="6"/>
      <c r="E49" s="6"/>
      <c r="F49" s="4"/>
      <c r="G49" s="4"/>
      <c r="H49" s="4"/>
      <c r="I49" s="4"/>
      <c r="J49" s="4"/>
      <c r="K49" s="15" t="s">
        <v>20</v>
      </c>
      <c r="L49" s="4"/>
      <c r="M49" s="4"/>
      <c r="N49" s="14">
        <f>Tabella1345678[[#This Row],[QTà. CONSEGNATA]]-Tabella1345678[[#This Row],[QTà. UTILIZZATA]]</f>
        <v>0</v>
      </c>
    </row>
    <row r="50" spans="2:14" x14ac:dyDescent="0.25">
      <c r="B50" s="6"/>
      <c r="C50" s="6"/>
      <c r="D50" s="6"/>
      <c r="E50" s="6"/>
      <c r="F50" s="4"/>
      <c r="G50" s="4"/>
      <c r="H50" s="4"/>
      <c r="I50" s="4"/>
      <c r="J50" s="4"/>
      <c r="K50" s="15" t="s">
        <v>20</v>
      </c>
      <c r="L50" s="4"/>
      <c r="M50" s="4"/>
      <c r="N50" s="14">
        <f>Tabella1345678[[#This Row],[QTà. CONSEGNATA]]-Tabella1345678[[#This Row],[QTà. UTILIZZATA]]</f>
        <v>0</v>
      </c>
    </row>
    <row r="51" spans="2:14" x14ac:dyDescent="0.25">
      <c r="B51" s="6"/>
      <c r="C51" s="6"/>
      <c r="D51" s="6"/>
      <c r="E51" s="6"/>
      <c r="F51" s="4"/>
      <c r="G51" s="4"/>
      <c r="H51" s="4"/>
      <c r="I51" s="4"/>
      <c r="J51" s="4"/>
      <c r="K51" s="15" t="s">
        <v>20</v>
      </c>
      <c r="L51" s="4"/>
      <c r="M51" s="4"/>
      <c r="N51" s="14">
        <f>Tabella1345678[[#This Row],[QTà. CONSEGNATA]]-Tabella1345678[[#This Row],[QTà. UTILIZZATA]]</f>
        <v>0</v>
      </c>
    </row>
    <row r="52" spans="2:14" x14ac:dyDescent="0.25">
      <c r="B52" s="6"/>
      <c r="C52" s="6"/>
      <c r="D52" s="6"/>
      <c r="E52" s="6"/>
      <c r="F52" s="4"/>
      <c r="G52" s="4"/>
      <c r="H52" s="4"/>
      <c r="I52" s="4"/>
      <c r="J52" s="4"/>
      <c r="K52" s="15" t="s">
        <v>20</v>
      </c>
      <c r="L52" s="4"/>
      <c r="M52" s="4"/>
      <c r="N52" s="14">
        <f>Tabella1345678[[#This Row],[QTà. CONSEGNATA]]-Tabella1345678[[#This Row],[QTà. UTILIZZATA]]</f>
        <v>0</v>
      </c>
    </row>
    <row r="53" spans="2:14" x14ac:dyDescent="0.25">
      <c r="B53" s="6"/>
      <c r="C53" s="6"/>
      <c r="D53" s="6"/>
      <c r="E53" s="6"/>
      <c r="F53" s="4"/>
      <c r="G53" s="4"/>
      <c r="H53" s="4"/>
      <c r="I53" s="4"/>
      <c r="J53" s="4"/>
      <c r="K53" s="15" t="s">
        <v>20</v>
      </c>
      <c r="L53" s="4"/>
      <c r="M53" s="4"/>
      <c r="N53" s="14">
        <f>Tabella1345678[[#This Row],[QTà. CONSEGNATA]]-Tabella1345678[[#This Row],[QTà. UTILIZZATA]]</f>
        <v>0</v>
      </c>
    </row>
    <row r="54" spans="2:14" x14ac:dyDescent="0.25">
      <c r="B54" s="6"/>
      <c r="C54" s="6"/>
      <c r="D54" s="6"/>
      <c r="E54" s="6"/>
      <c r="F54" s="4"/>
      <c r="G54" s="4"/>
      <c r="H54" s="4"/>
      <c r="I54" s="4"/>
      <c r="J54" s="4"/>
      <c r="K54" s="15" t="s">
        <v>20</v>
      </c>
      <c r="L54" s="4"/>
      <c r="M54" s="4"/>
      <c r="N54" s="14">
        <f>Tabella1345678[[#This Row],[QTà. CONSEGNATA]]-Tabella1345678[[#This Row],[QTà. UTILIZZATA]]</f>
        <v>0</v>
      </c>
    </row>
  </sheetData>
  <mergeCells count="7">
    <mergeCell ref="B6:N6"/>
    <mergeCell ref="B1:E2"/>
    <mergeCell ref="F1:L2"/>
    <mergeCell ref="M1:N2"/>
    <mergeCell ref="B3:N3"/>
    <mergeCell ref="B4:N4"/>
    <mergeCell ref="B5:N5"/>
  </mergeCells>
  <pageMargins left="0.7" right="0.7" top="0.75" bottom="0.75" header="0.3" footer="0.3"/>
  <pageSetup paperSize="9" scale="64" fitToHeight="0" orientation="landscape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104EE-A5CD-48B7-8D52-9834887A0F83}">
  <sheetPr>
    <pageSetUpPr fitToPage="1"/>
  </sheetPr>
  <dimension ref="B1:N54"/>
  <sheetViews>
    <sheetView workbookViewId="0">
      <selection activeCell="J24" sqref="J24"/>
    </sheetView>
  </sheetViews>
  <sheetFormatPr defaultRowHeight="15" x14ac:dyDescent="0.25"/>
  <cols>
    <col min="2" max="3" width="14.7109375" customWidth="1"/>
    <col min="4" max="5" width="12.28515625" customWidth="1"/>
    <col min="6" max="6" width="15.5703125" bestFit="1" customWidth="1"/>
    <col min="7" max="8" width="15.5703125" customWidth="1"/>
    <col min="9" max="9" width="16.42578125" bestFit="1" customWidth="1"/>
    <col min="10" max="10" width="20" bestFit="1" customWidth="1"/>
    <col min="11" max="11" width="27.28515625" bestFit="1" customWidth="1"/>
    <col min="12" max="12" width="20" customWidth="1"/>
    <col min="13" max="13" width="15.5703125" bestFit="1" customWidth="1"/>
    <col min="14" max="14" width="14.42578125" style="1" bestFit="1" customWidth="1"/>
  </cols>
  <sheetData>
    <row r="1" spans="2:14" ht="15" customHeight="1" x14ac:dyDescent="0.25">
      <c r="B1" s="26" t="s">
        <v>13</v>
      </c>
      <c r="C1" s="27"/>
      <c r="D1" s="27"/>
      <c r="E1" s="28"/>
      <c r="F1" s="32" t="s">
        <v>17</v>
      </c>
      <c r="G1" s="27"/>
      <c r="H1" s="27"/>
      <c r="I1" s="27"/>
      <c r="J1" s="27"/>
      <c r="K1" s="27"/>
      <c r="L1" s="27"/>
      <c r="M1" s="22" t="s">
        <v>16</v>
      </c>
      <c r="N1" s="23"/>
    </row>
    <row r="2" spans="2:14" ht="15.75" customHeight="1" thickBot="1" x14ac:dyDescent="0.3">
      <c r="B2" s="29"/>
      <c r="C2" s="30"/>
      <c r="D2" s="30"/>
      <c r="E2" s="31"/>
      <c r="F2" s="33"/>
      <c r="G2" s="30"/>
      <c r="H2" s="30"/>
      <c r="I2" s="30"/>
      <c r="J2" s="30"/>
      <c r="K2" s="30"/>
      <c r="L2" s="30"/>
      <c r="M2" s="24"/>
      <c r="N2" s="25"/>
    </row>
    <row r="3" spans="2:14" ht="15.75" x14ac:dyDescent="0.25">
      <c r="B3" s="34" t="s">
        <v>19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6"/>
    </row>
    <row r="4" spans="2:14" ht="15.75" x14ac:dyDescent="0.25">
      <c r="B4" s="16" t="s">
        <v>9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8"/>
    </row>
    <row r="5" spans="2:14" ht="15.75" x14ac:dyDescent="0.25">
      <c r="B5" s="16" t="s">
        <v>0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</row>
    <row r="6" spans="2:14" ht="16.5" thickBot="1" x14ac:dyDescent="0.3">
      <c r="B6" s="19" t="s">
        <v>1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1"/>
    </row>
    <row r="9" spans="2:14" s="2" customFormat="1" ht="45" x14ac:dyDescent="0.25">
      <c r="B9" s="5" t="s">
        <v>15</v>
      </c>
      <c r="C9" s="5" t="s">
        <v>14</v>
      </c>
      <c r="D9" s="5" t="s">
        <v>10</v>
      </c>
      <c r="E9" s="5" t="s">
        <v>3</v>
      </c>
      <c r="F9" s="3" t="s">
        <v>2</v>
      </c>
      <c r="G9" s="3" t="s">
        <v>4</v>
      </c>
      <c r="H9" s="3" t="s">
        <v>12</v>
      </c>
      <c r="I9" s="3" t="s">
        <v>5</v>
      </c>
      <c r="J9" s="3" t="s">
        <v>11</v>
      </c>
      <c r="K9" s="3" t="s">
        <v>21</v>
      </c>
      <c r="L9" s="3" t="s">
        <v>6</v>
      </c>
      <c r="M9" s="3" t="s">
        <v>7</v>
      </c>
      <c r="N9" s="7" t="s">
        <v>8</v>
      </c>
    </row>
    <row r="10" spans="2:14" x14ac:dyDescent="0.25">
      <c r="B10" s="10"/>
      <c r="C10" s="10"/>
      <c r="D10" s="10"/>
      <c r="E10" s="10"/>
      <c r="F10" s="11"/>
      <c r="G10" s="11"/>
      <c r="H10" s="11"/>
      <c r="I10" s="11"/>
      <c r="J10" s="11"/>
      <c r="K10" s="15" t="s">
        <v>20</v>
      </c>
      <c r="L10" s="11"/>
      <c r="M10" s="11"/>
      <c r="N10" s="12">
        <f>Tabella13456789[[#This Row],[QTà. CONSEGNATA]]-Tabella13456789[[#This Row],[QTà. UTILIZZATA]]</f>
        <v>0</v>
      </c>
    </row>
    <row r="11" spans="2:14" x14ac:dyDescent="0.25">
      <c r="B11" s="6"/>
      <c r="C11" s="6"/>
      <c r="D11" s="6"/>
      <c r="E11" s="6"/>
      <c r="F11" s="4"/>
      <c r="G11" s="4"/>
      <c r="H11" s="4"/>
      <c r="I11" s="4"/>
      <c r="J11" s="4"/>
      <c r="K11" s="15" t="s">
        <v>20</v>
      </c>
      <c r="L11" s="4"/>
      <c r="M11" s="4"/>
      <c r="N11" s="13">
        <f>Tabella13456789[[#This Row],[QTà. CONSEGNATA]]-Tabella13456789[[#This Row],[QTà. UTILIZZATA]]</f>
        <v>0</v>
      </c>
    </row>
    <row r="12" spans="2:14" x14ac:dyDescent="0.25">
      <c r="B12" s="6"/>
      <c r="C12" s="6"/>
      <c r="D12" s="6"/>
      <c r="E12" s="6"/>
      <c r="F12" s="4"/>
      <c r="G12" s="4"/>
      <c r="H12" s="4"/>
      <c r="I12" s="4"/>
      <c r="J12" s="4"/>
      <c r="K12" s="15" t="s">
        <v>20</v>
      </c>
      <c r="L12" s="4"/>
      <c r="M12" s="4"/>
      <c r="N12" s="13">
        <f>Tabella13456789[[#This Row],[QTà. CONSEGNATA]]-Tabella13456789[[#This Row],[QTà. UTILIZZATA]]</f>
        <v>0</v>
      </c>
    </row>
    <row r="13" spans="2:14" x14ac:dyDescent="0.25">
      <c r="B13" s="6"/>
      <c r="C13" s="6"/>
      <c r="D13" s="6"/>
      <c r="E13" s="6"/>
      <c r="F13" s="4"/>
      <c r="G13" s="4"/>
      <c r="H13" s="4"/>
      <c r="I13" s="4"/>
      <c r="J13" s="4"/>
      <c r="K13" s="15" t="s">
        <v>20</v>
      </c>
      <c r="L13" s="4"/>
      <c r="M13" s="4"/>
      <c r="N13" s="13">
        <f>Tabella13456789[[#This Row],[QTà. CONSEGNATA]]-Tabella13456789[[#This Row],[QTà. UTILIZZATA]]</f>
        <v>0</v>
      </c>
    </row>
    <row r="14" spans="2:14" x14ac:dyDescent="0.25">
      <c r="B14" s="6"/>
      <c r="C14" s="6"/>
      <c r="D14" s="6"/>
      <c r="E14" s="6"/>
      <c r="F14" s="4"/>
      <c r="G14" s="4"/>
      <c r="H14" s="4"/>
      <c r="I14" s="4"/>
      <c r="J14" s="4"/>
      <c r="K14" s="15" t="s">
        <v>20</v>
      </c>
      <c r="L14" s="4"/>
      <c r="M14" s="4"/>
      <c r="N14" s="13">
        <f>Tabella13456789[[#This Row],[QTà. CONSEGNATA]]-Tabella13456789[[#This Row],[QTà. UTILIZZATA]]</f>
        <v>0</v>
      </c>
    </row>
    <row r="15" spans="2:14" x14ac:dyDescent="0.25">
      <c r="B15" s="6"/>
      <c r="C15" s="6"/>
      <c r="D15" s="6"/>
      <c r="E15" s="6"/>
      <c r="F15" s="4"/>
      <c r="G15" s="4"/>
      <c r="H15" s="4"/>
      <c r="I15" s="4"/>
      <c r="J15" s="4"/>
      <c r="K15" s="15" t="s">
        <v>20</v>
      </c>
      <c r="L15" s="4"/>
      <c r="M15" s="4"/>
      <c r="N15" s="13">
        <f>Tabella13456789[[#This Row],[QTà. CONSEGNATA]]-Tabella13456789[[#This Row],[QTà. UTILIZZATA]]</f>
        <v>0</v>
      </c>
    </row>
    <row r="16" spans="2:14" x14ac:dyDescent="0.25">
      <c r="B16" s="6"/>
      <c r="C16" s="6"/>
      <c r="D16" s="6"/>
      <c r="E16" s="6"/>
      <c r="F16" s="4"/>
      <c r="G16" s="4"/>
      <c r="H16" s="4"/>
      <c r="I16" s="4"/>
      <c r="J16" s="4"/>
      <c r="K16" s="15" t="s">
        <v>20</v>
      </c>
      <c r="L16" s="4"/>
      <c r="M16" s="4"/>
      <c r="N16" s="13">
        <f>Tabella13456789[[#This Row],[QTà. CONSEGNATA]]-Tabella13456789[[#This Row],[QTà. UTILIZZATA]]</f>
        <v>0</v>
      </c>
    </row>
    <row r="17" spans="2:14" x14ac:dyDescent="0.25">
      <c r="B17" s="6"/>
      <c r="C17" s="6"/>
      <c r="D17" s="6"/>
      <c r="E17" s="6"/>
      <c r="F17" s="4"/>
      <c r="G17" s="4"/>
      <c r="H17" s="4"/>
      <c r="I17" s="4"/>
      <c r="J17" s="4"/>
      <c r="K17" s="15" t="s">
        <v>20</v>
      </c>
      <c r="L17" s="4"/>
      <c r="M17" s="4"/>
      <c r="N17" s="13">
        <f>Tabella13456789[[#This Row],[QTà. CONSEGNATA]]-Tabella13456789[[#This Row],[QTà. UTILIZZATA]]</f>
        <v>0</v>
      </c>
    </row>
    <row r="18" spans="2:14" x14ac:dyDescent="0.25">
      <c r="B18" s="6"/>
      <c r="C18" s="6"/>
      <c r="D18" s="6"/>
      <c r="E18" s="6"/>
      <c r="F18" s="4"/>
      <c r="G18" s="4"/>
      <c r="H18" s="4"/>
      <c r="I18" s="4"/>
      <c r="J18" s="4"/>
      <c r="K18" s="15" t="s">
        <v>20</v>
      </c>
      <c r="L18" s="4"/>
      <c r="M18" s="4"/>
      <c r="N18" s="13">
        <f>Tabella13456789[[#This Row],[QTà. CONSEGNATA]]-Tabella13456789[[#This Row],[QTà. UTILIZZATA]]</f>
        <v>0</v>
      </c>
    </row>
    <row r="19" spans="2:14" x14ac:dyDescent="0.25">
      <c r="B19" s="6"/>
      <c r="C19" s="6"/>
      <c r="D19" s="6"/>
      <c r="E19" s="6"/>
      <c r="F19" s="4"/>
      <c r="G19" s="4"/>
      <c r="H19" s="4"/>
      <c r="I19" s="4"/>
      <c r="J19" s="4"/>
      <c r="K19" s="15" t="s">
        <v>20</v>
      </c>
      <c r="L19" s="4"/>
      <c r="M19" s="4"/>
      <c r="N19" s="13">
        <f>Tabella13456789[[#This Row],[QTà. CONSEGNATA]]-Tabella13456789[[#This Row],[QTà. UTILIZZATA]]</f>
        <v>0</v>
      </c>
    </row>
    <row r="20" spans="2:14" x14ac:dyDescent="0.25">
      <c r="B20" s="6"/>
      <c r="C20" s="6"/>
      <c r="D20" s="6"/>
      <c r="E20" s="6"/>
      <c r="F20" s="4"/>
      <c r="G20" s="4"/>
      <c r="H20" s="4"/>
      <c r="I20" s="4"/>
      <c r="J20" s="4"/>
      <c r="K20" s="15" t="s">
        <v>20</v>
      </c>
      <c r="L20" s="4"/>
      <c r="M20" s="4"/>
      <c r="N20" s="13">
        <f>Tabella13456789[[#This Row],[QTà. CONSEGNATA]]-Tabella13456789[[#This Row],[QTà. UTILIZZATA]]</f>
        <v>0</v>
      </c>
    </row>
    <row r="21" spans="2:14" x14ac:dyDescent="0.25">
      <c r="B21" s="6"/>
      <c r="C21" s="6"/>
      <c r="D21" s="6"/>
      <c r="E21" s="6"/>
      <c r="F21" s="4"/>
      <c r="G21" s="4"/>
      <c r="H21" s="4"/>
      <c r="I21" s="4"/>
      <c r="J21" s="4"/>
      <c r="K21" s="15" t="s">
        <v>20</v>
      </c>
      <c r="L21" s="4"/>
      <c r="M21" s="4"/>
      <c r="N21" s="13">
        <f>Tabella13456789[[#This Row],[QTà. CONSEGNATA]]-Tabella13456789[[#This Row],[QTà. UTILIZZATA]]</f>
        <v>0</v>
      </c>
    </row>
    <row r="22" spans="2:14" x14ac:dyDescent="0.25">
      <c r="B22" s="6"/>
      <c r="C22" s="6"/>
      <c r="D22" s="6"/>
      <c r="E22" s="6"/>
      <c r="F22" s="4"/>
      <c r="G22" s="4"/>
      <c r="H22" s="4"/>
      <c r="I22" s="4"/>
      <c r="J22" s="4"/>
      <c r="K22" s="15" t="s">
        <v>20</v>
      </c>
      <c r="L22" s="4"/>
      <c r="M22" s="4"/>
      <c r="N22" s="13">
        <f>Tabella13456789[[#This Row],[QTà. CONSEGNATA]]-Tabella13456789[[#This Row],[QTà. UTILIZZATA]]</f>
        <v>0</v>
      </c>
    </row>
    <row r="23" spans="2:14" x14ac:dyDescent="0.25">
      <c r="B23" s="6"/>
      <c r="C23" s="6"/>
      <c r="D23" s="6"/>
      <c r="E23" s="6"/>
      <c r="F23" s="4"/>
      <c r="G23" s="4"/>
      <c r="H23" s="4"/>
      <c r="I23" s="4"/>
      <c r="J23" s="4"/>
      <c r="K23" s="15" t="s">
        <v>20</v>
      </c>
      <c r="L23" s="4"/>
      <c r="M23" s="4"/>
      <c r="N23" s="13">
        <f>Tabella13456789[[#This Row],[QTà. CONSEGNATA]]-Tabella13456789[[#This Row],[QTà. UTILIZZATA]]</f>
        <v>0</v>
      </c>
    </row>
    <row r="24" spans="2:14" x14ac:dyDescent="0.25">
      <c r="B24" s="6"/>
      <c r="C24" s="6"/>
      <c r="D24" s="6"/>
      <c r="E24" s="6"/>
      <c r="F24" s="4"/>
      <c r="G24" s="4"/>
      <c r="H24" s="4"/>
      <c r="I24" s="4"/>
      <c r="J24" s="4"/>
      <c r="K24" s="15" t="s">
        <v>20</v>
      </c>
      <c r="L24" s="4"/>
      <c r="M24" s="4"/>
      <c r="N24" s="13">
        <f>Tabella13456789[[#This Row],[QTà. CONSEGNATA]]-Tabella13456789[[#This Row],[QTà. UTILIZZATA]]</f>
        <v>0</v>
      </c>
    </row>
    <row r="25" spans="2:14" x14ac:dyDescent="0.25">
      <c r="B25" s="6"/>
      <c r="C25" s="6"/>
      <c r="D25" s="6"/>
      <c r="E25" s="6"/>
      <c r="F25" s="4"/>
      <c r="G25" s="4"/>
      <c r="H25" s="4"/>
      <c r="I25" s="4"/>
      <c r="J25" s="4"/>
      <c r="K25" s="15" t="s">
        <v>20</v>
      </c>
      <c r="L25" s="4"/>
      <c r="M25" s="4"/>
      <c r="N25" s="13">
        <f>Tabella13456789[[#This Row],[QTà. CONSEGNATA]]-Tabella13456789[[#This Row],[QTà. UTILIZZATA]]</f>
        <v>0</v>
      </c>
    </row>
    <row r="26" spans="2:14" x14ac:dyDescent="0.25">
      <c r="B26" s="6"/>
      <c r="C26" s="6"/>
      <c r="D26" s="6"/>
      <c r="E26" s="6"/>
      <c r="F26" s="4"/>
      <c r="G26" s="4"/>
      <c r="H26" s="4"/>
      <c r="I26" s="4"/>
      <c r="J26" s="4"/>
      <c r="K26" s="15" t="s">
        <v>20</v>
      </c>
      <c r="L26" s="4"/>
      <c r="M26" s="4"/>
      <c r="N26" s="13">
        <f>Tabella13456789[[#This Row],[QTà. CONSEGNATA]]-Tabella13456789[[#This Row],[QTà. UTILIZZATA]]</f>
        <v>0</v>
      </c>
    </row>
    <row r="27" spans="2:14" x14ac:dyDescent="0.25">
      <c r="B27" s="6"/>
      <c r="C27" s="6"/>
      <c r="D27" s="6"/>
      <c r="E27" s="6"/>
      <c r="F27" s="4"/>
      <c r="G27" s="4"/>
      <c r="H27" s="4"/>
      <c r="I27" s="4"/>
      <c r="J27" s="4"/>
      <c r="K27" s="15" t="s">
        <v>20</v>
      </c>
      <c r="L27" s="4"/>
      <c r="M27" s="4"/>
      <c r="N27" s="13">
        <f>Tabella13456789[[#This Row],[QTà. CONSEGNATA]]-Tabella13456789[[#This Row],[QTà. UTILIZZATA]]</f>
        <v>0</v>
      </c>
    </row>
    <row r="28" spans="2:14" x14ac:dyDescent="0.25">
      <c r="B28" s="6"/>
      <c r="C28" s="6"/>
      <c r="D28" s="6"/>
      <c r="E28" s="6"/>
      <c r="F28" s="4"/>
      <c r="G28" s="4"/>
      <c r="H28" s="4"/>
      <c r="I28" s="4"/>
      <c r="J28" s="4"/>
      <c r="K28" s="15" t="s">
        <v>20</v>
      </c>
      <c r="L28" s="4"/>
      <c r="M28" s="4"/>
      <c r="N28" s="13">
        <f>Tabella13456789[[#This Row],[QTà. CONSEGNATA]]-Tabella13456789[[#This Row],[QTà. UTILIZZATA]]</f>
        <v>0</v>
      </c>
    </row>
    <row r="29" spans="2:14" x14ac:dyDescent="0.25">
      <c r="B29" s="6"/>
      <c r="C29" s="6"/>
      <c r="D29" s="6"/>
      <c r="E29" s="6"/>
      <c r="F29" s="4"/>
      <c r="G29" s="4"/>
      <c r="H29" s="4"/>
      <c r="I29" s="4"/>
      <c r="J29" s="4"/>
      <c r="K29" s="15" t="s">
        <v>20</v>
      </c>
      <c r="L29" s="4"/>
      <c r="M29" s="4"/>
      <c r="N29" s="13">
        <f>Tabella13456789[[#This Row],[QTà. CONSEGNATA]]-Tabella13456789[[#This Row],[QTà. UTILIZZATA]]</f>
        <v>0</v>
      </c>
    </row>
    <row r="30" spans="2:14" x14ac:dyDescent="0.25">
      <c r="B30" s="6"/>
      <c r="C30" s="6"/>
      <c r="D30" s="6"/>
      <c r="E30" s="6"/>
      <c r="F30" s="4"/>
      <c r="G30" s="4"/>
      <c r="H30" s="4"/>
      <c r="I30" s="4"/>
      <c r="J30" s="4"/>
      <c r="K30" s="15" t="s">
        <v>20</v>
      </c>
      <c r="L30" s="4"/>
      <c r="M30" s="4"/>
      <c r="N30" s="13">
        <f>Tabella13456789[[#This Row],[QTà. CONSEGNATA]]-Tabella13456789[[#This Row],[QTà. UTILIZZATA]]</f>
        <v>0</v>
      </c>
    </row>
    <row r="31" spans="2:14" x14ac:dyDescent="0.25">
      <c r="B31" s="6"/>
      <c r="C31" s="6"/>
      <c r="D31" s="6"/>
      <c r="E31" s="6"/>
      <c r="F31" s="4"/>
      <c r="G31" s="4"/>
      <c r="H31" s="4"/>
      <c r="I31" s="4"/>
      <c r="J31" s="4"/>
      <c r="K31" s="15" t="s">
        <v>20</v>
      </c>
      <c r="L31" s="4"/>
      <c r="M31" s="4"/>
      <c r="N31" s="13">
        <f>Tabella13456789[[#This Row],[QTà. CONSEGNATA]]-Tabella13456789[[#This Row],[QTà. UTILIZZATA]]</f>
        <v>0</v>
      </c>
    </row>
    <row r="32" spans="2:14" x14ac:dyDescent="0.25">
      <c r="B32" s="6"/>
      <c r="C32" s="6"/>
      <c r="D32" s="6"/>
      <c r="E32" s="6"/>
      <c r="F32" s="4"/>
      <c r="G32" s="4"/>
      <c r="H32" s="4"/>
      <c r="I32" s="4"/>
      <c r="J32" s="4"/>
      <c r="K32" s="15" t="s">
        <v>20</v>
      </c>
      <c r="L32" s="4"/>
      <c r="M32" s="4"/>
      <c r="N32" s="13">
        <f>Tabella13456789[[#This Row],[QTà. CONSEGNATA]]-Tabella13456789[[#This Row],[QTà. UTILIZZATA]]</f>
        <v>0</v>
      </c>
    </row>
    <row r="33" spans="2:14" x14ac:dyDescent="0.25">
      <c r="B33" s="8"/>
      <c r="C33" s="8"/>
      <c r="D33" s="8"/>
      <c r="E33" s="8"/>
      <c r="F33" s="9"/>
      <c r="G33" s="9"/>
      <c r="H33" s="9"/>
      <c r="I33" s="9"/>
      <c r="J33" s="9"/>
      <c r="K33" s="15" t="s">
        <v>20</v>
      </c>
      <c r="L33" s="9"/>
      <c r="M33" s="9"/>
      <c r="N33" s="14">
        <f>Tabella13456789[[#This Row],[QTà. CONSEGNATA]]-Tabella13456789[[#This Row],[QTà. UTILIZZATA]]</f>
        <v>0</v>
      </c>
    </row>
    <row r="34" spans="2:14" x14ac:dyDescent="0.25">
      <c r="B34" s="6"/>
      <c r="C34" s="6"/>
      <c r="D34" s="6"/>
      <c r="E34" s="6"/>
      <c r="F34" s="4"/>
      <c r="G34" s="4"/>
      <c r="H34" s="4"/>
      <c r="I34" s="4"/>
      <c r="J34" s="4"/>
      <c r="K34" s="15" t="s">
        <v>20</v>
      </c>
      <c r="L34" s="4"/>
      <c r="M34" s="4"/>
      <c r="N34" s="14">
        <f>Tabella13456789[[#This Row],[QTà. CONSEGNATA]]-Tabella13456789[[#This Row],[QTà. UTILIZZATA]]</f>
        <v>0</v>
      </c>
    </row>
    <row r="35" spans="2:14" x14ac:dyDescent="0.25">
      <c r="B35" s="6"/>
      <c r="C35" s="6"/>
      <c r="D35" s="6"/>
      <c r="E35" s="6"/>
      <c r="F35" s="4"/>
      <c r="G35" s="4"/>
      <c r="H35" s="4"/>
      <c r="I35" s="4"/>
      <c r="J35" s="4"/>
      <c r="K35" s="15" t="s">
        <v>20</v>
      </c>
      <c r="L35" s="4"/>
      <c r="M35" s="4"/>
      <c r="N35" s="14">
        <f>Tabella13456789[[#This Row],[QTà. CONSEGNATA]]-Tabella13456789[[#This Row],[QTà. UTILIZZATA]]</f>
        <v>0</v>
      </c>
    </row>
    <row r="36" spans="2:14" x14ac:dyDescent="0.25">
      <c r="B36" s="6"/>
      <c r="C36" s="6"/>
      <c r="D36" s="6"/>
      <c r="E36" s="6"/>
      <c r="F36" s="4"/>
      <c r="G36" s="4"/>
      <c r="H36" s="4"/>
      <c r="I36" s="4"/>
      <c r="J36" s="4"/>
      <c r="K36" s="15" t="s">
        <v>20</v>
      </c>
      <c r="L36" s="4"/>
      <c r="M36" s="4"/>
      <c r="N36" s="14">
        <f>Tabella13456789[[#This Row],[QTà. CONSEGNATA]]-Tabella13456789[[#This Row],[QTà. UTILIZZATA]]</f>
        <v>0</v>
      </c>
    </row>
    <row r="37" spans="2:14" x14ac:dyDescent="0.25">
      <c r="B37" s="6"/>
      <c r="C37" s="6"/>
      <c r="D37" s="6"/>
      <c r="E37" s="6"/>
      <c r="F37" s="4"/>
      <c r="G37" s="4"/>
      <c r="H37" s="4"/>
      <c r="I37" s="4"/>
      <c r="J37" s="4"/>
      <c r="K37" s="15" t="s">
        <v>20</v>
      </c>
      <c r="L37" s="4"/>
      <c r="M37" s="4"/>
      <c r="N37" s="14">
        <f>Tabella13456789[[#This Row],[QTà. CONSEGNATA]]-Tabella13456789[[#This Row],[QTà. UTILIZZATA]]</f>
        <v>0</v>
      </c>
    </row>
    <row r="38" spans="2:14" x14ac:dyDescent="0.25">
      <c r="B38" s="6"/>
      <c r="C38" s="6"/>
      <c r="D38" s="6"/>
      <c r="E38" s="6"/>
      <c r="F38" s="4"/>
      <c r="G38" s="4"/>
      <c r="H38" s="4"/>
      <c r="I38" s="4"/>
      <c r="J38" s="4"/>
      <c r="K38" s="15" t="s">
        <v>20</v>
      </c>
      <c r="L38" s="4"/>
      <c r="M38" s="4"/>
      <c r="N38" s="14">
        <f>Tabella13456789[[#This Row],[QTà. CONSEGNATA]]-Tabella13456789[[#This Row],[QTà. UTILIZZATA]]</f>
        <v>0</v>
      </c>
    </row>
    <row r="39" spans="2:14" x14ac:dyDescent="0.25">
      <c r="B39" s="6"/>
      <c r="C39" s="6"/>
      <c r="D39" s="6"/>
      <c r="E39" s="6"/>
      <c r="F39" s="4"/>
      <c r="G39" s="4"/>
      <c r="H39" s="4"/>
      <c r="I39" s="4"/>
      <c r="J39" s="4"/>
      <c r="K39" s="15" t="s">
        <v>20</v>
      </c>
      <c r="L39" s="4"/>
      <c r="M39" s="4"/>
      <c r="N39" s="14">
        <f>Tabella13456789[[#This Row],[QTà. CONSEGNATA]]-Tabella13456789[[#This Row],[QTà. UTILIZZATA]]</f>
        <v>0</v>
      </c>
    </row>
    <row r="40" spans="2:14" x14ac:dyDescent="0.25">
      <c r="B40" s="6"/>
      <c r="C40" s="6"/>
      <c r="D40" s="6"/>
      <c r="E40" s="6"/>
      <c r="F40" s="4"/>
      <c r="G40" s="4"/>
      <c r="H40" s="4"/>
      <c r="I40" s="4"/>
      <c r="J40" s="4"/>
      <c r="K40" s="15" t="s">
        <v>20</v>
      </c>
      <c r="L40" s="4"/>
      <c r="M40" s="4"/>
      <c r="N40" s="14">
        <f>Tabella13456789[[#This Row],[QTà. CONSEGNATA]]-Tabella13456789[[#This Row],[QTà. UTILIZZATA]]</f>
        <v>0</v>
      </c>
    </row>
    <row r="41" spans="2:14" x14ac:dyDescent="0.25">
      <c r="B41" s="6"/>
      <c r="C41" s="6"/>
      <c r="D41" s="6"/>
      <c r="E41" s="6"/>
      <c r="F41" s="4"/>
      <c r="G41" s="4"/>
      <c r="H41" s="4"/>
      <c r="I41" s="4"/>
      <c r="J41" s="4"/>
      <c r="K41" s="15" t="s">
        <v>20</v>
      </c>
      <c r="L41" s="4"/>
      <c r="M41" s="4"/>
      <c r="N41" s="14">
        <f>Tabella13456789[[#This Row],[QTà. CONSEGNATA]]-Tabella13456789[[#This Row],[QTà. UTILIZZATA]]</f>
        <v>0</v>
      </c>
    </row>
    <row r="42" spans="2:14" x14ac:dyDescent="0.25">
      <c r="B42" s="6"/>
      <c r="C42" s="6"/>
      <c r="D42" s="6"/>
      <c r="E42" s="6"/>
      <c r="F42" s="4"/>
      <c r="G42" s="4"/>
      <c r="H42" s="4"/>
      <c r="I42" s="4"/>
      <c r="J42" s="4"/>
      <c r="K42" s="15" t="s">
        <v>20</v>
      </c>
      <c r="L42" s="4"/>
      <c r="M42" s="4"/>
      <c r="N42" s="14">
        <f>Tabella13456789[[#This Row],[QTà. CONSEGNATA]]-Tabella13456789[[#This Row],[QTà. UTILIZZATA]]</f>
        <v>0</v>
      </c>
    </row>
    <row r="43" spans="2:14" x14ac:dyDescent="0.25">
      <c r="B43" s="6"/>
      <c r="C43" s="6"/>
      <c r="D43" s="6"/>
      <c r="E43" s="6"/>
      <c r="F43" s="4"/>
      <c r="G43" s="4"/>
      <c r="H43" s="4"/>
      <c r="I43" s="4"/>
      <c r="J43" s="4"/>
      <c r="K43" s="15" t="s">
        <v>20</v>
      </c>
      <c r="L43" s="4"/>
      <c r="M43" s="4"/>
      <c r="N43" s="14">
        <f>Tabella13456789[[#This Row],[QTà. CONSEGNATA]]-Tabella13456789[[#This Row],[QTà. UTILIZZATA]]</f>
        <v>0</v>
      </c>
    </row>
    <row r="44" spans="2:14" x14ac:dyDescent="0.25">
      <c r="B44" s="6"/>
      <c r="C44" s="6"/>
      <c r="D44" s="6"/>
      <c r="E44" s="6"/>
      <c r="F44" s="4"/>
      <c r="G44" s="4"/>
      <c r="H44" s="4"/>
      <c r="I44" s="4"/>
      <c r="J44" s="4"/>
      <c r="K44" s="15" t="s">
        <v>20</v>
      </c>
      <c r="L44" s="4"/>
      <c r="M44" s="4"/>
      <c r="N44" s="14">
        <f>Tabella13456789[[#This Row],[QTà. CONSEGNATA]]-Tabella13456789[[#This Row],[QTà. UTILIZZATA]]</f>
        <v>0</v>
      </c>
    </row>
    <row r="45" spans="2:14" x14ac:dyDescent="0.25">
      <c r="B45" s="6"/>
      <c r="C45" s="6"/>
      <c r="D45" s="6"/>
      <c r="E45" s="6"/>
      <c r="F45" s="4"/>
      <c r="G45" s="4"/>
      <c r="H45" s="4"/>
      <c r="I45" s="4"/>
      <c r="J45" s="4"/>
      <c r="K45" s="15" t="s">
        <v>20</v>
      </c>
      <c r="L45" s="4"/>
      <c r="M45" s="4"/>
      <c r="N45" s="14">
        <f>Tabella13456789[[#This Row],[QTà. CONSEGNATA]]-Tabella13456789[[#This Row],[QTà. UTILIZZATA]]</f>
        <v>0</v>
      </c>
    </row>
    <row r="46" spans="2:14" x14ac:dyDescent="0.25">
      <c r="B46" s="6"/>
      <c r="C46" s="6"/>
      <c r="D46" s="6"/>
      <c r="E46" s="6"/>
      <c r="F46" s="4"/>
      <c r="G46" s="4"/>
      <c r="H46" s="4"/>
      <c r="I46" s="4"/>
      <c r="J46" s="4"/>
      <c r="K46" s="15" t="s">
        <v>20</v>
      </c>
      <c r="L46" s="4"/>
      <c r="M46" s="4"/>
      <c r="N46" s="14">
        <f>Tabella13456789[[#This Row],[QTà. CONSEGNATA]]-Tabella13456789[[#This Row],[QTà. UTILIZZATA]]</f>
        <v>0</v>
      </c>
    </row>
    <row r="47" spans="2:14" x14ac:dyDescent="0.25">
      <c r="B47" s="6"/>
      <c r="C47" s="6"/>
      <c r="D47" s="6"/>
      <c r="E47" s="6"/>
      <c r="F47" s="4"/>
      <c r="G47" s="4"/>
      <c r="H47" s="4"/>
      <c r="I47" s="4"/>
      <c r="J47" s="4"/>
      <c r="K47" s="15" t="s">
        <v>20</v>
      </c>
      <c r="L47" s="4"/>
      <c r="M47" s="4"/>
      <c r="N47" s="14">
        <f>Tabella13456789[[#This Row],[QTà. CONSEGNATA]]-Tabella13456789[[#This Row],[QTà. UTILIZZATA]]</f>
        <v>0</v>
      </c>
    </row>
    <row r="48" spans="2:14" x14ac:dyDescent="0.25">
      <c r="B48" s="6"/>
      <c r="C48" s="6"/>
      <c r="D48" s="6"/>
      <c r="E48" s="6"/>
      <c r="F48" s="4"/>
      <c r="G48" s="4"/>
      <c r="H48" s="4"/>
      <c r="I48" s="4"/>
      <c r="J48" s="4"/>
      <c r="K48" s="15" t="s">
        <v>20</v>
      </c>
      <c r="L48" s="4"/>
      <c r="M48" s="4"/>
      <c r="N48" s="14">
        <f>Tabella13456789[[#This Row],[QTà. CONSEGNATA]]-Tabella13456789[[#This Row],[QTà. UTILIZZATA]]</f>
        <v>0</v>
      </c>
    </row>
    <row r="49" spans="2:14" x14ac:dyDescent="0.25">
      <c r="B49" s="6"/>
      <c r="C49" s="6"/>
      <c r="D49" s="6"/>
      <c r="E49" s="6"/>
      <c r="F49" s="4"/>
      <c r="G49" s="4"/>
      <c r="H49" s="4"/>
      <c r="I49" s="4"/>
      <c r="J49" s="4"/>
      <c r="K49" s="15" t="s">
        <v>20</v>
      </c>
      <c r="L49" s="4"/>
      <c r="M49" s="4"/>
      <c r="N49" s="14">
        <f>Tabella13456789[[#This Row],[QTà. CONSEGNATA]]-Tabella13456789[[#This Row],[QTà. UTILIZZATA]]</f>
        <v>0</v>
      </c>
    </row>
    <row r="50" spans="2:14" x14ac:dyDescent="0.25">
      <c r="B50" s="6"/>
      <c r="C50" s="6"/>
      <c r="D50" s="6"/>
      <c r="E50" s="6"/>
      <c r="F50" s="4"/>
      <c r="G50" s="4"/>
      <c r="H50" s="4"/>
      <c r="I50" s="4"/>
      <c r="J50" s="4"/>
      <c r="K50" s="15" t="s">
        <v>20</v>
      </c>
      <c r="L50" s="4"/>
      <c r="M50" s="4"/>
      <c r="N50" s="14">
        <f>Tabella13456789[[#This Row],[QTà. CONSEGNATA]]-Tabella13456789[[#This Row],[QTà. UTILIZZATA]]</f>
        <v>0</v>
      </c>
    </row>
    <row r="51" spans="2:14" x14ac:dyDescent="0.25">
      <c r="B51" s="6"/>
      <c r="C51" s="6"/>
      <c r="D51" s="6"/>
      <c r="E51" s="6"/>
      <c r="F51" s="4"/>
      <c r="G51" s="4"/>
      <c r="H51" s="4"/>
      <c r="I51" s="4"/>
      <c r="J51" s="4"/>
      <c r="K51" s="15" t="s">
        <v>20</v>
      </c>
      <c r="L51" s="4"/>
      <c r="M51" s="4"/>
      <c r="N51" s="14">
        <f>Tabella13456789[[#This Row],[QTà. CONSEGNATA]]-Tabella13456789[[#This Row],[QTà. UTILIZZATA]]</f>
        <v>0</v>
      </c>
    </row>
    <row r="52" spans="2:14" x14ac:dyDescent="0.25">
      <c r="B52" s="6"/>
      <c r="C52" s="6"/>
      <c r="D52" s="6"/>
      <c r="E52" s="6"/>
      <c r="F52" s="4"/>
      <c r="G52" s="4"/>
      <c r="H52" s="4"/>
      <c r="I52" s="4"/>
      <c r="J52" s="4"/>
      <c r="K52" s="15" t="s">
        <v>20</v>
      </c>
      <c r="L52" s="4"/>
      <c r="M52" s="4"/>
      <c r="N52" s="14">
        <f>Tabella13456789[[#This Row],[QTà. CONSEGNATA]]-Tabella13456789[[#This Row],[QTà. UTILIZZATA]]</f>
        <v>0</v>
      </c>
    </row>
    <row r="53" spans="2:14" x14ac:dyDescent="0.25">
      <c r="B53" s="6"/>
      <c r="C53" s="6"/>
      <c r="D53" s="6"/>
      <c r="E53" s="6"/>
      <c r="F53" s="4"/>
      <c r="G53" s="4"/>
      <c r="H53" s="4"/>
      <c r="I53" s="4"/>
      <c r="J53" s="4"/>
      <c r="K53" s="15" t="s">
        <v>20</v>
      </c>
      <c r="L53" s="4"/>
      <c r="M53" s="4"/>
      <c r="N53" s="14">
        <f>Tabella13456789[[#This Row],[QTà. CONSEGNATA]]-Tabella13456789[[#This Row],[QTà. UTILIZZATA]]</f>
        <v>0</v>
      </c>
    </row>
    <row r="54" spans="2:14" x14ac:dyDescent="0.25">
      <c r="B54" s="6"/>
      <c r="C54" s="6"/>
      <c r="D54" s="6"/>
      <c r="E54" s="6"/>
      <c r="F54" s="4"/>
      <c r="G54" s="4"/>
      <c r="H54" s="4"/>
      <c r="I54" s="4"/>
      <c r="J54" s="4"/>
      <c r="K54" s="15" t="s">
        <v>20</v>
      </c>
      <c r="L54" s="4"/>
      <c r="M54" s="4"/>
      <c r="N54" s="14">
        <f>Tabella13456789[[#This Row],[QTà. CONSEGNATA]]-Tabella13456789[[#This Row],[QTà. UTILIZZATA]]</f>
        <v>0</v>
      </c>
    </row>
  </sheetData>
  <mergeCells count="7">
    <mergeCell ref="B6:N6"/>
    <mergeCell ref="B1:E2"/>
    <mergeCell ref="F1:L2"/>
    <mergeCell ref="M1:N2"/>
    <mergeCell ref="B3:N3"/>
    <mergeCell ref="B4:N4"/>
    <mergeCell ref="B5:N5"/>
  </mergeCells>
  <pageMargins left="0.7" right="0.7" top="0.75" bottom="0.75" header="0.3" footer="0.3"/>
  <pageSetup paperSize="9" scale="64" fitToHeight="0" orientation="landscape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FAA0-A13C-4CB2-BB63-09EFD0F54DAA}">
  <sheetPr>
    <pageSetUpPr fitToPage="1"/>
  </sheetPr>
  <dimension ref="B1:N54"/>
  <sheetViews>
    <sheetView tabSelected="1" workbookViewId="0">
      <selection activeCell="N42" sqref="B1:N42"/>
    </sheetView>
  </sheetViews>
  <sheetFormatPr defaultRowHeight="15" x14ac:dyDescent="0.25"/>
  <cols>
    <col min="2" max="3" width="14.7109375" customWidth="1"/>
    <col min="4" max="5" width="12.28515625" customWidth="1"/>
    <col min="6" max="6" width="15.5703125" bestFit="1" customWidth="1"/>
    <col min="7" max="8" width="15.5703125" customWidth="1"/>
    <col min="9" max="9" width="16.42578125" bestFit="1" customWidth="1"/>
    <col min="10" max="10" width="20" bestFit="1" customWidth="1"/>
    <col min="11" max="11" width="27.28515625" bestFit="1" customWidth="1"/>
    <col min="12" max="12" width="20" customWidth="1"/>
    <col min="13" max="13" width="15.5703125" bestFit="1" customWidth="1"/>
    <col min="14" max="14" width="14.42578125" style="1" bestFit="1" customWidth="1"/>
  </cols>
  <sheetData>
    <row r="1" spans="2:14" ht="15" customHeight="1" x14ac:dyDescent="0.25">
      <c r="B1" s="26" t="s">
        <v>13</v>
      </c>
      <c r="C1" s="27"/>
      <c r="D1" s="27"/>
      <c r="E1" s="28"/>
      <c r="F1" s="32" t="s">
        <v>17</v>
      </c>
      <c r="G1" s="27"/>
      <c r="H1" s="27"/>
      <c r="I1" s="27"/>
      <c r="J1" s="27"/>
      <c r="K1" s="27"/>
      <c r="L1" s="27"/>
      <c r="M1" s="22" t="s">
        <v>16</v>
      </c>
      <c r="N1" s="23"/>
    </row>
    <row r="2" spans="2:14" ht="15.75" customHeight="1" thickBot="1" x14ac:dyDescent="0.3">
      <c r="B2" s="29"/>
      <c r="C2" s="30"/>
      <c r="D2" s="30"/>
      <c r="E2" s="31"/>
      <c r="F2" s="33"/>
      <c r="G2" s="30"/>
      <c r="H2" s="30"/>
      <c r="I2" s="30"/>
      <c r="J2" s="30"/>
      <c r="K2" s="30"/>
      <c r="L2" s="30"/>
      <c r="M2" s="24"/>
      <c r="N2" s="25"/>
    </row>
    <row r="3" spans="2:14" ht="15.75" x14ac:dyDescent="0.25">
      <c r="B3" s="34" t="s">
        <v>23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6"/>
    </row>
    <row r="4" spans="2:14" ht="15.75" x14ac:dyDescent="0.25">
      <c r="B4" s="16" t="s">
        <v>9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8"/>
    </row>
    <row r="5" spans="2:14" ht="15.75" x14ac:dyDescent="0.25">
      <c r="B5" s="16" t="s">
        <v>24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</row>
    <row r="6" spans="2:14" ht="16.5" thickBot="1" x14ac:dyDescent="0.3">
      <c r="B6" s="19" t="s">
        <v>1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1"/>
    </row>
    <row r="9" spans="2:14" s="2" customFormat="1" ht="45" x14ac:dyDescent="0.25">
      <c r="B9" s="5" t="s">
        <v>15</v>
      </c>
      <c r="C9" s="5" t="s">
        <v>14</v>
      </c>
      <c r="D9" s="5" t="s">
        <v>10</v>
      </c>
      <c r="E9" s="5" t="s">
        <v>3</v>
      </c>
      <c r="F9" s="3" t="s">
        <v>2</v>
      </c>
      <c r="G9" s="3" t="s">
        <v>4</v>
      </c>
      <c r="H9" s="3" t="s">
        <v>12</v>
      </c>
      <c r="I9" s="3" t="s">
        <v>5</v>
      </c>
      <c r="J9" s="3" t="s">
        <v>11</v>
      </c>
      <c r="K9" s="3" t="s">
        <v>21</v>
      </c>
      <c r="L9" s="3" t="s">
        <v>6</v>
      </c>
      <c r="M9" s="3" t="s">
        <v>7</v>
      </c>
      <c r="N9" s="7" t="s">
        <v>8</v>
      </c>
    </row>
    <row r="10" spans="2:14" x14ac:dyDescent="0.25">
      <c r="B10" s="10"/>
      <c r="C10" s="10"/>
      <c r="D10" s="10"/>
      <c r="E10" s="10"/>
      <c r="F10" s="11"/>
      <c r="G10" s="11"/>
      <c r="H10" s="11"/>
      <c r="I10" s="11"/>
      <c r="J10" s="11"/>
      <c r="K10" s="15" t="s">
        <v>20</v>
      </c>
      <c r="L10" s="11"/>
      <c r="M10" s="11"/>
      <c r="N10" s="12">
        <f>Tabella1345678910[[#This Row],[QTà. CONSEGNATA]]-Tabella1345678910[[#This Row],[QTà. UTILIZZATA]]</f>
        <v>0</v>
      </c>
    </row>
    <row r="11" spans="2:14" x14ac:dyDescent="0.25">
      <c r="B11" s="6"/>
      <c r="C11" s="6"/>
      <c r="D11" s="6"/>
      <c r="E11" s="6"/>
      <c r="F11" s="4"/>
      <c r="G11" s="4"/>
      <c r="H11" s="4"/>
      <c r="I11" s="4"/>
      <c r="J11" s="4"/>
      <c r="K11" s="15" t="s">
        <v>20</v>
      </c>
      <c r="L11" s="4"/>
      <c r="M11" s="4"/>
      <c r="N11" s="13">
        <f>Tabella1345678910[[#This Row],[QTà. CONSEGNATA]]-Tabella1345678910[[#This Row],[QTà. UTILIZZATA]]</f>
        <v>0</v>
      </c>
    </row>
    <row r="12" spans="2:14" x14ac:dyDescent="0.25">
      <c r="B12" s="6"/>
      <c r="C12" s="6"/>
      <c r="D12" s="6"/>
      <c r="E12" s="6"/>
      <c r="F12" s="4"/>
      <c r="G12" s="4"/>
      <c r="H12" s="4"/>
      <c r="I12" s="4"/>
      <c r="J12" s="4"/>
      <c r="K12" s="15" t="s">
        <v>20</v>
      </c>
      <c r="L12" s="4"/>
      <c r="M12" s="4"/>
      <c r="N12" s="13">
        <f>Tabella1345678910[[#This Row],[QTà. CONSEGNATA]]-Tabella1345678910[[#This Row],[QTà. UTILIZZATA]]</f>
        <v>0</v>
      </c>
    </row>
    <row r="13" spans="2:14" x14ac:dyDescent="0.25">
      <c r="B13" s="6"/>
      <c r="C13" s="6"/>
      <c r="D13" s="6"/>
      <c r="E13" s="6"/>
      <c r="F13" s="4"/>
      <c r="G13" s="4"/>
      <c r="H13" s="4"/>
      <c r="I13" s="4"/>
      <c r="J13" s="4"/>
      <c r="K13" s="15" t="s">
        <v>20</v>
      </c>
      <c r="L13" s="4"/>
      <c r="M13" s="4"/>
      <c r="N13" s="13">
        <f>Tabella1345678910[[#This Row],[QTà. CONSEGNATA]]-Tabella1345678910[[#This Row],[QTà. UTILIZZATA]]</f>
        <v>0</v>
      </c>
    </row>
    <row r="14" spans="2:14" x14ac:dyDescent="0.25">
      <c r="B14" s="6"/>
      <c r="C14" s="6"/>
      <c r="D14" s="6"/>
      <c r="E14" s="6"/>
      <c r="F14" s="4"/>
      <c r="G14" s="4"/>
      <c r="H14" s="4"/>
      <c r="I14" s="4"/>
      <c r="J14" s="4"/>
      <c r="K14" s="15" t="s">
        <v>20</v>
      </c>
      <c r="L14" s="4"/>
      <c r="M14" s="4"/>
      <c r="N14" s="13">
        <f>Tabella1345678910[[#This Row],[QTà. CONSEGNATA]]-Tabella1345678910[[#This Row],[QTà. UTILIZZATA]]</f>
        <v>0</v>
      </c>
    </row>
    <row r="15" spans="2:14" x14ac:dyDescent="0.25">
      <c r="B15" s="6"/>
      <c r="C15" s="6"/>
      <c r="D15" s="6"/>
      <c r="E15" s="6"/>
      <c r="F15" s="4"/>
      <c r="G15" s="4"/>
      <c r="H15" s="4"/>
      <c r="I15" s="4"/>
      <c r="J15" s="4"/>
      <c r="K15" s="15" t="s">
        <v>20</v>
      </c>
      <c r="L15" s="4"/>
      <c r="M15" s="4"/>
      <c r="N15" s="13">
        <f>Tabella1345678910[[#This Row],[QTà. CONSEGNATA]]-Tabella1345678910[[#This Row],[QTà. UTILIZZATA]]</f>
        <v>0</v>
      </c>
    </row>
    <row r="16" spans="2:14" x14ac:dyDescent="0.25">
      <c r="B16" s="6"/>
      <c r="C16" s="6"/>
      <c r="D16" s="6"/>
      <c r="E16" s="6"/>
      <c r="F16" s="4"/>
      <c r="G16" s="4"/>
      <c r="H16" s="4"/>
      <c r="I16" s="4"/>
      <c r="J16" s="4"/>
      <c r="K16" s="15" t="s">
        <v>20</v>
      </c>
      <c r="L16" s="4"/>
      <c r="M16" s="4"/>
      <c r="N16" s="13">
        <f>Tabella1345678910[[#This Row],[QTà. CONSEGNATA]]-Tabella1345678910[[#This Row],[QTà. UTILIZZATA]]</f>
        <v>0</v>
      </c>
    </row>
    <row r="17" spans="2:14" x14ac:dyDescent="0.25">
      <c r="B17" s="6"/>
      <c r="C17" s="6"/>
      <c r="D17" s="6"/>
      <c r="E17" s="6"/>
      <c r="F17" s="4"/>
      <c r="G17" s="4"/>
      <c r="H17" s="4"/>
      <c r="I17" s="4"/>
      <c r="J17" s="4"/>
      <c r="K17" s="15" t="s">
        <v>20</v>
      </c>
      <c r="L17" s="4"/>
      <c r="M17" s="4"/>
      <c r="N17" s="13">
        <f>Tabella1345678910[[#This Row],[QTà. CONSEGNATA]]-Tabella1345678910[[#This Row],[QTà. UTILIZZATA]]</f>
        <v>0</v>
      </c>
    </row>
    <row r="18" spans="2:14" x14ac:dyDescent="0.25">
      <c r="B18" s="6"/>
      <c r="C18" s="6"/>
      <c r="D18" s="6"/>
      <c r="E18" s="6"/>
      <c r="F18" s="4"/>
      <c r="G18" s="4"/>
      <c r="H18" s="4"/>
      <c r="I18" s="4"/>
      <c r="J18" s="4"/>
      <c r="K18" s="15" t="s">
        <v>20</v>
      </c>
      <c r="L18" s="4"/>
      <c r="M18" s="4"/>
      <c r="N18" s="13">
        <f>Tabella1345678910[[#This Row],[QTà. CONSEGNATA]]-Tabella1345678910[[#This Row],[QTà. UTILIZZATA]]</f>
        <v>0</v>
      </c>
    </row>
    <row r="19" spans="2:14" x14ac:dyDescent="0.25">
      <c r="B19" s="6"/>
      <c r="C19" s="6"/>
      <c r="D19" s="6"/>
      <c r="E19" s="6"/>
      <c r="F19" s="4"/>
      <c r="G19" s="4"/>
      <c r="H19" s="4"/>
      <c r="I19" s="4"/>
      <c r="J19" s="4"/>
      <c r="K19" s="15" t="s">
        <v>20</v>
      </c>
      <c r="L19" s="4"/>
      <c r="M19" s="4"/>
      <c r="N19" s="13">
        <f>Tabella1345678910[[#This Row],[QTà. CONSEGNATA]]-Tabella1345678910[[#This Row],[QTà. UTILIZZATA]]</f>
        <v>0</v>
      </c>
    </row>
    <row r="20" spans="2:14" x14ac:dyDescent="0.25">
      <c r="B20" s="6"/>
      <c r="C20" s="6"/>
      <c r="D20" s="6"/>
      <c r="E20" s="6"/>
      <c r="F20" s="4"/>
      <c r="G20" s="4"/>
      <c r="H20" s="4"/>
      <c r="I20" s="4"/>
      <c r="J20" s="4"/>
      <c r="K20" s="15" t="s">
        <v>20</v>
      </c>
      <c r="L20" s="4"/>
      <c r="M20" s="4"/>
      <c r="N20" s="13">
        <f>Tabella1345678910[[#This Row],[QTà. CONSEGNATA]]-Tabella1345678910[[#This Row],[QTà. UTILIZZATA]]</f>
        <v>0</v>
      </c>
    </row>
    <row r="21" spans="2:14" x14ac:dyDescent="0.25">
      <c r="B21" s="6"/>
      <c r="C21" s="6"/>
      <c r="D21" s="6"/>
      <c r="E21" s="6"/>
      <c r="F21" s="4"/>
      <c r="G21" s="4"/>
      <c r="H21" s="4"/>
      <c r="I21" s="4"/>
      <c r="J21" s="4"/>
      <c r="K21" s="15" t="s">
        <v>20</v>
      </c>
      <c r="L21" s="4"/>
      <c r="M21" s="4"/>
      <c r="N21" s="13">
        <f>Tabella1345678910[[#This Row],[QTà. CONSEGNATA]]-Tabella1345678910[[#This Row],[QTà. UTILIZZATA]]</f>
        <v>0</v>
      </c>
    </row>
    <row r="22" spans="2:14" x14ac:dyDescent="0.25">
      <c r="B22" s="6"/>
      <c r="C22" s="6"/>
      <c r="D22" s="6"/>
      <c r="E22" s="6"/>
      <c r="F22" s="4"/>
      <c r="G22" s="4"/>
      <c r="H22" s="4"/>
      <c r="I22" s="4"/>
      <c r="J22" s="4"/>
      <c r="K22" s="15" t="s">
        <v>20</v>
      </c>
      <c r="L22" s="4"/>
      <c r="M22" s="4"/>
      <c r="N22" s="13">
        <f>Tabella1345678910[[#This Row],[QTà. CONSEGNATA]]-Tabella1345678910[[#This Row],[QTà. UTILIZZATA]]</f>
        <v>0</v>
      </c>
    </row>
    <row r="23" spans="2:14" x14ac:dyDescent="0.25">
      <c r="B23" s="6"/>
      <c r="C23" s="6"/>
      <c r="D23" s="6"/>
      <c r="E23" s="6"/>
      <c r="F23" s="4"/>
      <c r="G23" s="4"/>
      <c r="H23" s="4"/>
      <c r="I23" s="4"/>
      <c r="J23" s="4"/>
      <c r="K23" s="15" t="s">
        <v>20</v>
      </c>
      <c r="L23" s="4"/>
      <c r="M23" s="4"/>
      <c r="N23" s="13">
        <f>Tabella1345678910[[#This Row],[QTà. CONSEGNATA]]-Tabella1345678910[[#This Row],[QTà. UTILIZZATA]]</f>
        <v>0</v>
      </c>
    </row>
    <row r="24" spans="2:14" x14ac:dyDescent="0.25">
      <c r="B24" s="6"/>
      <c r="C24" s="6"/>
      <c r="D24" s="6"/>
      <c r="E24" s="6"/>
      <c r="F24" s="4"/>
      <c r="G24" s="4"/>
      <c r="H24" s="4"/>
      <c r="I24" s="4"/>
      <c r="J24" s="4"/>
      <c r="K24" s="15" t="s">
        <v>20</v>
      </c>
      <c r="L24" s="4"/>
      <c r="M24" s="4"/>
      <c r="N24" s="13">
        <f>Tabella1345678910[[#This Row],[QTà. CONSEGNATA]]-Tabella1345678910[[#This Row],[QTà. UTILIZZATA]]</f>
        <v>0</v>
      </c>
    </row>
    <row r="25" spans="2:14" x14ac:dyDescent="0.25">
      <c r="B25" s="6"/>
      <c r="C25" s="6"/>
      <c r="D25" s="6"/>
      <c r="E25" s="6"/>
      <c r="F25" s="4"/>
      <c r="G25" s="4"/>
      <c r="H25" s="4"/>
      <c r="I25" s="4"/>
      <c r="J25" s="4"/>
      <c r="K25" s="15" t="s">
        <v>20</v>
      </c>
      <c r="L25" s="4"/>
      <c r="M25" s="4"/>
      <c r="N25" s="13">
        <f>Tabella1345678910[[#This Row],[QTà. CONSEGNATA]]-Tabella1345678910[[#This Row],[QTà. UTILIZZATA]]</f>
        <v>0</v>
      </c>
    </row>
    <row r="26" spans="2:14" x14ac:dyDescent="0.25">
      <c r="B26" s="6"/>
      <c r="C26" s="6"/>
      <c r="D26" s="6"/>
      <c r="E26" s="6"/>
      <c r="F26" s="4"/>
      <c r="G26" s="4"/>
      <c r="H26" s="4"/>
      <c r="I26" s="4"/>
      <c r="J26" s="4"/>
      <c r="K26" s="15" t="s">
        <v>20</v>
      </c>
      <c r="L26" s="4"/>
      <c r="M26" s="4"/>
      <c r="N26" s="13">
        <f>Tabella1345678910[[#This Row],[QTà. CONSEGNATA]]-Tabella1345678910[[#This Row],[QTà. UTILIZZATA]]</f>
        <v>0</v>
      </c>
    </row>
    <row r="27" spans="2:14" x14ac:dyDescent="0.25">
      <c r="B27" s="6"/>
      <c r="C27" s="6"/>
      <c r="D27" s="6"/>
      <c r="E27" s="6"/>
      <c r="F27" s="4"/>
      <c r="G27" s="4"/>
      <c r="H27" s="4"/>
      <c r="I27" s="4"/>
      <c r="J27" s="4"/>
      <c r="K27" s="15" t="s">
        <v>20</v>
      </c>
      <c r="L27" s="4"/>
      <c r="M27" s="4"/>
      <c r="N27" s="13">
        <f>Tabella1345678910[[#This Row],[QTà. CONSEGNATA]]-Tabella1345678910[[#This Row],[QTà. UTILIZZATA]]</f>
        <v>0</v>
      </c>
    </row>
    <row r="28" spans="2:14" x14ac:dyDescent="0.25">
      <c r="B28" s="6"/>
      <c r="C28" s="6"/>
      <c r="D28" s="6"/>
      <c r="E28" s="6"/>
      <c r="F28" s="4"/>
      <c r="G28" s="4"/>
      <c r="H28" s="4"/>
      <c r="I28" s="4"/>
      <c r="J28" s="4"/>
      <c r="K28" s="15" t="s">
        <v>20</v>
      </c>
      <c r="L28" s="4"/>
      <c r="M28" s="4"/>
      <c r="N28" s="13">
        <f>Tabella1345678910[[#This Row],[QTà. CONSEGNATA]]-Tabella1345678910[[#This Row],[QTà. UTILIZZATA]]</f>
        <v>0</v>
      </c>
    </row>
    <row r="29" spans="2:14" x14ac:dyDescent="0.25">
      <c r="B29" s="6"/>
      <c r="C29" s="6"/>
      <c r="D29" s="6"/>
      <c r="E29" s="6"/>
      <c r="F29" s="4"/>
      <c r="G29" s="4"/>
      <c r="H29" s="4"/>
      <c r="I29" s="4"/>
      <c r="J29" s="4"/>
      <c r="K29" s="15" t="s">
        <v>20</v>
      </c>
      <c r="L29" s="4"/>
      <c r="M29" s="4"/>
      <c r="N29" s="13">
        <f>Tabella1345678910[[#This Row],[QTà. CONSEGNATA]]-Tabella1345678910[[#This Row],[QTà. UTILIZZATA]]</f>
        <v>0</v>
      </c>
    </row>
    <row r="30" spans="2:14" x14ac:dyDescent="0.25">
      <c r="B30" s="6"/>
      <c r="C30" s="6"/>
      <c r="D30" s="6"/>
      <c r="E30" s="6"/>
      <c r="F30" s="4"/>
      <c r="G30" s="4"/>
      <c r="H30" s="4"/>
      <c r="I30" s="4"/>
      <c r="J30" s="4"/>
      <c r="K30" s="15" t="s">
        <v>20</v>
      </c>
      <c r="L30" s="4"/>
      <c r="M30" s="4"/>
      <c r="N30" s="13">
        <f>Tabella1345678910[[#This Row],[QTà. CONSEGNATA]]-Tabella1345678910[[#This Row],[QTà. UTILIZZATA]]</f>
        <v>0</v>
      </c>
    </row>
    <row r="31" spans="2:14" x14ac:dyDescent="0.25">
      <c r="B31" s="6"/>
      <c r="C31" s="6"/>
      <c r="D31" s="6"/>
      <c r="E31" s="6"/>
      <c r="F31" s="4"/>
      <c r="G31" s="4"/>
      <c r="H31" s="4"/>
      <c r="I31" s="4"/>
      <c r="J31" s="4"/>
      <c r="K31" s="15" t="s">
        <v>20</v>
      </c>
      <c r="L31" s="4"/>
      <c r="M31" s="4"/>
      <c r="N31" s="13">
        <f>Tabella1345678910[[#This Row],[QTà. CONSEGNATA]]-Tabella1345678910[[#This Row],[QTà. UTILIZZATA]]</f>
        <v>0</v>
      </c>
    </row>
    <row r="32" spans="2:14" x14ac:dyDescent="0.25">
      <c r="B32" s="6"/>
      <c r="C32" s="6"/>
      <c r="D32" s="6"/>
      <c r="E32" s="6"/>
      <c r="F32" s="4"/>
      <c r="G32" s="4"/>
      <c r="H32" s="4"/>
      <c r="I32" s="4"/>
      <c r="J32" s="4"/>
      <c r="K32" s="15" t="s">
        <v>20</v>
      </c>
      <c r="L32" s="4"/>
      <c r="M32" s="4"/>
      <c r="N32" s="13">
        <f>Tabella1345678910[[#This Row],[QTà. CONSEGNATA]]-Tabella1345678910[[#This Row],[QTà. UTILIZZATA]]</f>
        <v>0</v>
      </c>
    </row>
    <row r="33" spans="2:14" x14ac:dyDescent="0.25">
      <c r="B33" s="8"/>
      <c r="C33" s="8"/>
      <c r="D33" s="8"/>
      <c r="E33" s="8"/>
      <c r="F33" s="9"/>
      <c r="G33" s="9"/>
      <c r="H33" s="9"/>
      <c r="I33" s="9"/>
      <c r="J33" s="9"/>
      <c r="K33" s="15" t="s">
        <v>20</v>
      </c>
      <c r="L33" s="9"/>
      <c r="M33" s="9"/>
      <c r="N33" s="14">
        <f>Tabella1345678910[[#This Row],[QTà. CONSEGNATA]]-Tabella1345678910[[#This Row],[QTà. UTILIZZATA]]</f>
        <v>0</v>
      </c>
    </row>
    <row r="34" spans="2:14" x14ac:dyDescent="0.25">
      <c r="B34" s="6"/>
      <c r="C34" s="6"/>
      <c r="D34" s="6"/>
      <c r="E34" s="6"/>
      <c r="F34" s="4"/>
      <c r="G34" s="4"/>
      <c r="H34" s="4"/>
      <c r="I34" s="4"/>
      <c r="J34" s="4"/>
      <c r="K34" s="15" t="s">
        <v>20</v>
      </c>
      <c r="L34" s="4"/>
      <c r="M34" s="4"/>
      <c r="N34" s="14">
        <f>Tabella1345678910[[#This Row],[QTà. CONSEGNATA]]-Tabella1345678910[[#This Row],[QTà. UTILIZZATA]]</f>
        <v>0</v>
      </c>
    </row>
    <row r="35" spans="2:14" x14ac:dyDescent="0.25">
      <c r="B35" s="6"/>
      <c r="C35" s="6"/>
      <c r="D35" s="6"/>
      <c r="E35" s="6"/>
      <c r="F35" s="4"/>
      <c r="G35" s="4"/>
      <c r="H35" s="4"/>
      <c r="I35" s="4"/>
      <c r="J35" s="4"/>
      <c r="K35" s="15" t="s">
        <v>20</v>
      </c>
      <c r="L35" s="4"/>
      <c r="M35" s="4"/>
      <c r="N35" s="14">
        <f>Tabella1345678910[[#This Row],[QTà. CONSEGNATA]]-Tabella1345678910[[#This Row],[QTà. UTILIZZATA]]</f>
        <v>0</v>
      </c>
    </row>
    <row r="36" spans="2:14" x14ac:dyDescent="0.25">
      <c r="B36" s="6"/>
      <c r="C36" s="6"/>
      <c r="D36" s="6"/>
      <c r="E36" s="6"/>
      <c r="F36" s="4"/>
      <c r="G36" s="4"/>
      <c r="H36" s="4"/>
      <c r="I36" s="4"/>
      <c r="J36" s="4"/>
      <c r="K36" s="15" t="s">
        <v>20</v>
      </c>
      <c r="L36" s="4"/>
      <c r="M36" s="4"/>
      <c r="N36" s="14">
        <f>Tabella1345678910[[#This Row],[QTà. CONSEGNATA]]-Tabella1345678910[[#This Row],[QTà. UTILIZZATA]]</f>
        <v>0</v>
      </c>
    </row>
    <row r="37" spans="2:14" x14ac:dyDescent="0.25">
      <c r="B37" s="6"/>
      <c r="C37" s="6"/>
      <c r="D37" s="6"/>
      <c r="E37" s="6"/>
      <c r="F37" s="4"/>
      <c r="G37" s="4"/>
      <c r="H37" s="4"/>
      <c r="I37" s="4"/>
      <c r="J37" s="4"/>
      <c r="K37" s="15" t="s">
        <v>20</v>
      </c>
      <c r="L37" s="4"/>
      <c r="M37" s="4"/>
      <c r="N37" s="14">
        <f>Tabella1345678910[[#This Row],[QTà. CONSEGNATA]]-Tabella1345678910[[#This Row],[QTà. UTILIZZATA]]</f>
        <v>0</v>
      </c>
    </row>
    <row r="38" spans="2:14" x14ac:dyDescent="0.25">
      <c r="B38" s="6"/>
      <c r="C38" s="6"/>
      <c r="D38" s="6"/>
      <c r="E38" s="6"/>
      <c r="F38" s="4"/>
      <c r="G38" s="4"/>
      <c r="H38" s="4"/>
      <c r="I38" s="4"/>
      <c r="J38" s="4"/>
      <c r="K38" s="15" t="s">
        <v>20</v>
      </c>
      <c r="L38" s="4"/>
      <c r="M38" s="4"/>
      <c r="N38" s="14">
        <f>Tabella1345678910[[#This Row],[QTà. CONSEGNATA]]-Tabella1345678910[[#This Row],[QTà. UTILIZZATA]]</f>
        <v>0</v>
      </c>
    </row>
    <row r="39" spans="2:14" x14ac:dyDescent="0.25">
      <c r="B39" s="6"/>
      <c r="C39" s="6"/>
      <c r="D39" s="6"/>
      <c r="E39" s="6"/>
      <c r="F39" s="4"/>
      <c r="G39" s="4"/>
      <c r="H39" s="4"/>
      <c r="I39" s="4"/>
      <c r="J39" s="4"/>
      <c r="K39" s="15" t="s">
        <v>20</v>
      </c>
      <c r="L39" s="4"/>
      <c r="M39" s="4"/>
      <c r="N39" s="14">
        <f>Tabella1345678910[[#This Row],[QTà. CONSEGNATA]]-Tabella1345678910[[#This Row],[QTà. UTILIZZATA]]</f>
        <v>0</v>
      </c>
    </row>
    <row r="40" spans="2:14" x14ac:dyDescent="0.25">
      <c r="B40" s="6"/>
      <c r="C40" s="6"/>
      <c r="D40" s="6"/>
      <c r="E40" s="6"/>
      <c r="F40" s="4"/>
      <c r="G40" s="4"/>
      <c r="H40" s="4"/>
      <c r="I40" s="4"/>
      <c r="J40" s="4"/>
      <c r="K40" s="15" t="s">
        <v>20</v>
      </c>
      <c r="L40" s="4"/>
      <c r="M40" s="4"/>
      <c r="N40" s="14">
        <f>Tabella1345678910[[#This Row],[QTà. CONSEGNATA]]-Tabella1345678910[[#This Row],[QTà. UTILIZZATA]]</f>
        <v>0</v>
      </c>
    </row>
    <row r="41" spans="2:14" x14ac:dyDescent="0.25">
      <c r="B41" s="6"/>
      <c r="C41" s="6"/>
      <c r="D41" s="6"/>
      <c r="E41" s="6"/>
      <c r="F41" s="4"/>
      <c r="G41" s="4"/>
      <c r="H41" s="4"/>
      <c r="I41" s="4"/>
      <c r="J41" s="4"/>
      <c r="K41" s="15" t="s">
        <v>20</v>
      </c>
      <c r="L41" s="4"/>
      <c r="M41" s="4"/>
      <c r="N41" s="14">
        <f>Tabella1345678910[[#This Row],[QTà. CONSEGNATA]]-Tabella1345678910[[#This Row],[QTà. UTILIZZATA]]</f>
        <v>0</v>
      </c>
    </row>
    <row r="42" spans="2:14" x14ac:dyDescent="0.25">
      <c r="B42" s="6"/>
      <c r="C42" s="6"/>
      <c r="D42" s="6"/>
      <c r="E42" s="6"/>
      <c r="F42" s="4"/>
      <c r="G42" s="4"/>
      <c r="H42" s="4"/>
      <c r="I42" s="4"/>
      <c r="J42" s="4"/>
      <c r="K42" s="15" t="s">
        <v>20</v>
      </c>
      <c r="L42" s="4"/>
      <c r="M42" s="4"/>
      <c r="N42" s="14">
        <f>Tabella1345678910[[#This Row],[QTà. CONSEGNATA]]-Tabella1345678910[[#This Row],[QTà. UTILIZZATA]]</f>
        <v>0</v>
      </c>
    </row>
    <row r="43" spans="2:14" x14ac:dyDescent="0.25">
      <c r="B43" s="6"/>
      <c r="C43" s="6"/>
      <c r="D43" s="6"/>
      <c r="E43" s="6"/>
      <c r="F43" s="4"/>
      <c r="G43" s="4"/>
      <c r="H43" s="4"/>
      <c r="I43" s="4"/>
      <c r="J43" s="4"/>
      <c r="K43" s="15" t="s">
        <v>20</v>
      </c>
      <c r="L43" s="4"/>
      <c r="M43" s="4"/>
      <c r="N43" s="14">
        <f>Tabella1345678910[[#This Row],[QTà. CONSEGNATA]]-Tabella1345678910[[#This Row],[QTà. UTILIZZATA]]</f>
        <v>0</v>
      </c>
    </row>
    <row r="44" spans="2:14" x14ac:dyDescent="0.25">
      <c r="B44" s="6"/>
      <c r="C44" s="6"/>
      <c r="D44" s="6"/>
      <c r="E44" s="6"/>
      <c r="F44" s="4"/>
      <c r="G44" s="4"/>
      <c r="H44" s="4"/>
      <c r="I44" s="4"/>
      <c r="J44" s="4"/>
      <c r="K44" s="15" t="s">
        <v>20</v>
      </c>
      <c r="L44" s="4"/>
      <c r="M44" s="4"/>
      <c r="N44" s="14">
        <f>Tabella1345678910[[#This Row],[QTà. CONSEGNATA]]-Tabella1345678910[[#This Row],[QTà. UTILIZZATA]]</f>
        <v>0</v>
      </c>
    </row>
    <row r="45" spans="2:14" x14ac:dyDescent="0.25">
      <c r="B45" s="6"/>
      <c r="C45" s="6"/>
      <c r="D45" s="6"/>
      <c r="E45" s="6"/>
      <c r="F45" s="4"/>
      <c r="G45" s="4"/>
      <c r="H45" s="4"/>
      <c r="I45" s="4"/>
      <c r="J45" s="4"/>
      <c r="K45" s="15" t="s">
        <v>20</v>
      </c>
      <c r="L45" s="4"/>
      <c r="M45" s="4"/>
      <c r="N45" s="14">
        <f>Tabella1345678910[[#This Row],[QTà. CONSEGNATA]]-Tabella1345678910[[#This Row],[QTà. UTILIZZATA]]</f>
        <v>0</v>
      </c>
    </row>
    <row r="46" spans="2:14" x14ac:dyDescent="0.25">
      <c r="B46" s="6"/>
      <c r="C46" s="6"/>
      <c r="D46" s="6"/>
      <c r="E46" s="6"/>
      <c r="F46" s="4"/>
      <c r="G46" s="4"/>
      <c r="H46" s="4"/>
      <c r="I46" s="4"/>
      <c r="J46" s="4"/>
      <c r="K46" s="15" t="s">
        <v>20</v>
      </c>
      <c r="L46" s="4"/>
      <c r="M46" s="4"/>
      <c r="N46" s="14">
        <f>Tabella1345678910[[#This Row],[QTà. CONSEGNATA]]-Tabella1345678910[[#This Row],[QTà. UTILIZZATA]]</f>
        <v>0</v>
      </c>
    </row>
    <row r="47" spans="2:14" x14ac:dyDescent="0.25">
      <c r="B47" s="6"/>
      <c r="C47" s="6"/>
      <c r="D47" s="6"/>
      <c r="E47" s="6"/>
      <c r="F47" s="4"/>
      <c r="G47" s="4"/>
      <c r="H47" s="4"/>
      <c r="I47" s="4"/>
      <c r="J47" s="4"/>
      <c r="K47" s="15" t="s">
        <v>20</v>
      </c>
      <c r="L47" s="4"/>
      <c r="M47" s="4"/>
      <c r="N47" s="14">
        <f>Tabella1345678910[[#This Row],[QTà. CONSEGNATA]]-Tabella1345678910[[#This Row],[QTà. UTILIZZATA]]</f>
        <v>0</v>
      </c>
    </row>
    <row r="48" spans="2:14" x14ac:dyDescent="0.25">
      <c r="B48" s="6"/>
      <c r="C48" s="6"/>
      <c r="D48" s="6"/>
      <c r="E48" s="6"/>
      <c r="F48" s="4"/>
      <c r="G48" s="4"/>
      <c r="H48" s="4"/>
      <c r="I48" s="4"/>
      <c r="J48" s="4"/>
      <c r="K48" s="15" t="s">
        <v>20</v>
      </c>
      <c r="L48" s="4"/>
      <c r="M48" s="4"/>
      <c r="N48" s="14">
        <f>Tabella1345678910[[#This Row],[QTà. CONSEGNATA]]-Tabella1345678910[[#This Row],[QTà. UTILIZZATA]]</f>
        <v>0</v>
      </c>
    </row>
    <row r="49" spans="2:14" x14ac:dyDescent="0.25">
      <c r="B49" s="6"/>
      <c r="C49" s="6"/>
      <c r="D49" s="6"/>
      <c r="E49" s="6"/>
      <c r="F49" s="4"/>
      <c r="G49" s="4"/>
      <c r="H49" s="4"/>
      <c r="I49" s="4"/>
      <c r="J49" s="4"/>
      <c r="K49" s="15" t="s">
        <v>20</v>
      </c>
      <c r="L49" s="4"/>
      <c r="M49" s="4"/>
      <c r="N49" s="14">
        <f>Tabella1345678910[[#This Row],[QTà. CONSEGNATA]]-Tabella1345678910[[#This Row],[QTà. UTILIZZATA]]</f>
        <v>0</v>
      </c>
    </row>
    <row r="50" spans="2:14" x14ac:dyDescent="0.25">
      <c r="B50" s="6"/>
      <c r="C50" s="6"/>
      <c r="D50" s="6"/>
      <c r="E50" s="6"/>
      <c r="F50" s="4"/>
      <c r="G50" s="4"/>
      <c r="H50" s="4"/>
      <c r="I50" s="4"/>
      <c r="J50" s="4"/>
      <c r="K50" s="15" t="s">
        <v>20</v>
      </c>
      <c r="L50" s="4"/>
      <c r="M50" s="4"/>
      <c r="N50" s="14">
        <f>Tabella1345678910[[#This Row],[QTà. CONSEGNATA]]-Tabella1345678910[[#This Row],[QTà. UTILIZZATA]]</f>
        <v>0</v>
      </c>
    </row>
    <row r="51" spans="2:14" x14ac:dyDescent="0.25">
      <c r="B51" s="6"/>
      <c r="C51" s="6"/>
      <c r="D51" s="6"/>
      <c r="E51" s="6"/>
      <c r="F51" s="4"/>
      <c r="G51" s="4"/>
      <c r="H51" s="4"/>
      <c r="I51" s="4"/>
      <c r="J51" s="4"/>
      <c r="K51" s="15" t="s">
        <v>20</v>
      </c>
      <c r="L51" s="4"/>
      <c r="M51" s="4"/>
      <c r="N51" s="14">
        <f>Tabella1345678910[[#This Row],[QTà. CONSEGNATA]]-Tabella1345678910[[#This Row],[QTà. UTILIZZATA]]</f>
        <v>0</v>
      </c>
    </row>
    <row r="52" spans="2:14" x14ac:dyDescent="0.25">
      <c r="B52" s="6"/>
      <c r="C52" s="6"/>
      <c r="D52" s="6"/>
      <c r="E52" s="6"/>
      <c r="F52" s="4"/>
      <c r="G52" s="4"/>
      <c r="H52" s="4"/>
      <c r="I52" s="4"/>
      <c r="J52" s="4"/>
      <c r="K52" s="15" t="s">
        <v>20</v>
      </c>
      <c r="L52" s="4"/>
      <c r="M52" s="4"/>
      <c r="N52" s="14">
        <f>Tabella1345678910[[#This Row],[QTà. CONSEGNATA]]-Tabella1345678910[[#This Row],[QTà. UTILIZZATA]]</f>
        <v>0</v>
      </c>
    </row>
    <row r="53" spans="2:14" x14ac:dyDescent="0.25">
      <c r="B53" s="6"/>
      <c r="C53" s="6"/>
      <c r="D53" s="6"/>
      <c r="E53" s="6"/>
      <c r="F53" s="4"/>
      <c r="G53" s="4"/>
      <c r="H53" s="4"/>
      <c r="I53" s="4"/>
      <c r="J53" s="4"/>
      <c r="K53" s="15" t="s">
        <v>20</v>
      </c>
      <c r="L53" s="4"/>
      <c r="M53" s="4"/>
      <c r="N53" s="14">
        <f>Tabella1345678910[[#This Row],[QTà. CONSEGNATA]]-Tabella1345678910[[#This Row],[QTà. UTILIZZATA]]</f>
        <v>0</v>
      </c>
    </row>
    <row r="54" spans="2:14" x14ac:dyDescent="0.25">
      <c r="B54" s="6"/>
      <c r="C54" s="6"/>
      <c r="D54" s="6"/>
      <c r="E54" s="6"/>
      <c r="F54" s="4"/>
      <c r="G54" s="4"/>
      <c r="H54" s="4"/>
      <c r="I54" s="4"/>
      <c r="J54" s="4"/>
      <c r="K54" s="15" t="s">
        <v>20</v>
      </c>
      <c r="L54" s="4"/>
      <c r="M54" s="4"/>
      <c r="N54" s="14">
        <f>Tabella1345678910[[#This Row],[QTà. CONSEGNATA]]-Tabella1345678910[[#This Row],[QTà. UTILIZZATA]]</f>
        <v>0</v>
      </c>
    </row>
  </sheetData>
  <mergeCells count="7">
    <mergeCell ref="B6:N6"/>
    <mergeCell ref="B1:E2"/>
    <mergeCell ref="F1:L2"/>
    <mergeCell ref="M1:N2"/>
    <mergeCell ref="B3:N3"/>
    <mergeCell ref="B4:N4"/>
    <mergeCell ref="B5:N5"/>
  </mergeCells>
  <pageMargins left="0.7" right="0.7" top="0.75" bottom="0.75" header="0.3" footer="0.3"/>
  <pageSetup paperSize="9" scale="58" fitToHeight="0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M 05.02</vt:lpstr>
      <vt:lpstr>SACCHI</vt:lpstr>
      <vt:lpstr>FUSTI</vt:lpstr>
      <vt:lpstr>SECCHIELLI</vt:lpstr>
      <vt:lpstr>OCTABINS</vt:lpstr>
      <vt:lpstr>TANICHE</vt:lpstr>
      <vt:lpstr>TINETTO</vt:lpstr>
      <vt:lpstr>METABISOLFITO</vt:lpstr>
      <vt:lpstr>ENZIMA RAPIDASE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Qualita</dc:creator>
  <cp:lastModifiedBy>Ufficio Qualità</cp:lastModifiedBy>
  <cp:lastPrinted>2024-11-14T07:36:45Z</cp:lastPrinted>
  <dcterms:created xsi:type="dcterms:W3CDTF">2015-06-05T18:19:34Z</dcterms:created>
  <dcterms:modified xsi:type="dcterms:W3CDTF">2024-11-14T07:37:19Z</dcterms:modified>
</cp:coreProperties>
</file>