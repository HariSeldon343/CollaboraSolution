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glio1" sheetId="1" state="visible" r:id="rId1"/>
  </sheets>
  <definedNames>
    <definedName name="_xlnm._FilterDatabase" localSheetId="0" hidden="1">Foglio1!$B$6:$X$29</definedName>
    <definedName name="_xlnm._FilterDatabase" localSheetId="0" hidden="1">Foglio1!$B$6:$X$29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<sst xmlns="http://schemas.openxmlformats.org/spreadsheetml/2006/main" count="47" uniqueCount="47">
  <si>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 xml:space="preserve">In data 12/12/2025  si è riunito il Team Qualita/HACCP per eseguire analisi del rischio per analisi multiresiduali per le materie prime da sottoporrre ad estrazione di succo. 
Sono esclusi i prodotti BIO in quanto per i prodotti BIO finiti viene sempre eseguita l'analisi multiresiduale</t>
  </si>
  <si>
    <t xml:space="preserve">CONFERIMENTO FRUTTA CAMPAGNA 2024/2025</t>
  </si>
  <si>
    <t>COLLERONI</t>
  </si>
  <si>
    <t xml:space="preserve">FRUTTA DOC</t>
  </si>
  <si>
    <t xml:space="preserve">O.P UNO SICILIA</t>
  </si>
  <si>
    <t>EUROAGRUMI</t>
  </si>
  <si>
    <t>JOSEPHINE</t>
  </si>
  <si>
    <t>FRUTTOSA</t>
  </si>
  <si>
    <t>PARADISO</t>
  </si>
  <si>
    <t>APAM</t>
  </si>
  <si>
    <t xml:space="preserve">ASSO FRUIT</t>
  </si>
  <si>
    <t xml:space="preserve">TOT. PER TIPOLOGIA</t>
  </si>
  <si>
    <t>MELAGRANA</t>
  </si>
  <si>
    <t>BIO</t>
  </si>
  <si>
    <t>CONV.</t>
  </si>
  <si>
    <t xml:space="preserve">ARANCIA ROSSA IGP</t>
  </si>
  <si>
    <t xml:space="preserve">ARANCIA BIONDA </t>
  </si>
  <si>
    <t xml:space="preserve">ARANCIA BIONDA</t>
  </si>
  <si>
    <t>LIMONE</t>
  </si>
  <si>
    <t xml:space="preserve">ARANCIA ROSSA TAROCCO</t>
  </si>
  <si>
    <t xml:space="preserve">ARANCIA ROSSA MORO</t>
  </si>
  <si>
    <t>CLEMENTINE</t>
  </si>
  <si>
    <t xml:space="preserve">POMPELMO BIANCO</t>
  </si>
  <si>
    <t xml:space="preserve">POMPELMO ROSA</t>
  </si>
  <si>
    <t xml:space="preserve">TOT. PER FORNITORE (KG)</t>
  </si>
  <si>
    <t xml:space="preserve">TOT CONVENZIONALE</t>
  </si>
  <si>
    <t xml:space="preserve">TOT BIO</t>
  </si>
  <si>
    <t xml:space="preserve">TOT MELAGRANA CONV</t>
  </si>
  <si>
    <t xml:space="preserve">TOT ARANCIA CONV</t>
  </si>
  <si>
    <t xml:space="preserve">TOT LIMONE CONV</t>
  </si>
  <si>
    <t xml:space="preserve">TOT CLEMENTINE CONV</t>
  </si>
  <si>
    <t xml:space="preserve">TOT POMPELMO CONV</t>
  </si>
  <si>
    <t xml:space="preserve">N. campioni in base a rischio quantità consegnata materie prime convenzionali</t>
  </si>
  <si>
    <t xml:space="preserve">NB su BIO analisi ogni prodotto finito, per cui non si eseguono analisi
 delle materie prime BIO</t>
  </si>
  <si>
    <t xml:space="preserve">N. campioni / anno</t>
  </si>
  <si>
    <t>TOT</t>
  </si>
  <si>
    <t>Melagrana</t>
  </si>
  <si>
    <t xml:space="preserve">da 20.000 a 100.000 kg = 1 campione</t>
  </si>
  <si>
    <t xml:space="preserve">da 100.000 a 200.000 kg = 2 campioni</t>
  </si>
  <si>
    <t xml:space="preserve">oltre 200.000 kg = 3 campioni</t>
  </si>
  <si>
    <t>Arancia</t>
  </si>
  <si>
    <t xml:space="preserve">da 100.000 a 500.000 kg = 2 campioni</t>
  </si>
  <si>
    <t xml:space="preserve">oltre 500.000 kg = 3 campioni</t>
  </si>
  <si>
    <t>Limone</t>
  </si>
  <si>
    <t>Pompelmo</t>
  </si>
  <si>
    <t xml:space="preserve">da 10.000 a 100.000 kg = 1 campione</t>
  </si>
  <si>
    <t xml:space="preserve">oltre 100.000 kg = 2 campioni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</si>
</sst>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20.000000"/>
      <color theme="1"/>
      <name val="Calibri"/>
      <scheme val="minor"/>
    </font>
    <font>
      <sz val="20.000000"/>
      <color theme="1"/>
      <name val="Calibri"/>
      <scheme val="minor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</patternFill>
    </fill>
    <fill>
      <patternFill patternType="solid">
        <fgColor indexed="5"/>
        <bgColor indexed="5"/>
      </patternFill>
    </fill>
  </fills>
  <borders count="14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1">
    <xf fontId="0" fillId="0" borderId="0" numFmtId="0" xfId="0"/>
    <xf fontId="0" fillId="0" borderId="0" numFmtId="0" xfId="0" applyAlignment="1">
      <alignment horizontal="left" wrapText="1"/>
    </xf>
    <xf fontId="1" fillId="0" borderId="1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center" vertical="center"/>
    </xf>
    <xf fontId="2" fillId="0" borderId="3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2" fillId="0" borderId="5" numFmtId="0" xfId="0" applyFont="1" applyBorder="1" applyAlignment="1">
      <alignment horizontal="center" vertical="center"/>
    </xf>
    <xf fontId="2" fillId="0" borderId="6" numFmtId="0" xfId="0" applyFont="1" applyBorder="1" applyAlignment="1">
      <alignment horizontal="center" vertical="center"/>
    </xf>
    <xf fontId="0" fillId="0" borderId="7" numFmtId="0" xfId="0" applyBorder="1" applyAlignment="1">
      <alignment horizontal="center"/>
    </xf>
    <xf fontId="0" fillId="0" borderId="8" numFmtId="0" xfId="0" applyBorder="1" applyAlignment="1">
      <alignment horizontal="center"/>
    </xf>
    <xf fontId="0" fillId="0" borderId="9" numFmtId="0" xfId="0" applyBorder="1" applyAlignment="1">
      <alignment horizontal="center"/>
    </xf>
    <xf fontId="3" fillId="0" borderId="7" numFmtId="0" xfId="0" applyFont="1" applyBorder="1" applyAlignment="1">
      <alignment horizontal="center"/>
    </xf>
    <xf fontId="3" fillId="2" borderId="10" numFmtId="0" xfId="0" applyFont="1" applyFill="1" applyBorder="1" applyAlignment="1">
      <alignment horizontal="left"/>
    </xf>
    <xf fontId="0" fillId="2" borderId="11" numFmtId="0" xfId="0" applyFill="1" applyBorder="1" applyAlignment="1">
      <alignment horizontal="left"/>
    </xf>
    <xf fontId="3" fillId="2" borderId="0" numFmtId="0" xfId="0" applyFont="1" applyFill="1" applyAlignment="1">
      <alignment horizontal="center"/>
    </xf>
    <xf fontId="3" fillId="2" borderId="10" numFmtId="0" xfId="0" applyFont="1" applyFill="1" applyBorder="1" applyAlignment="1">
      <alignment horizontal="center"/>
    </xf>
    <xf fontId="3" fillId="2" borderId="11" numFmtId="0" xfId="0" applyFont="1" applyFill="1" applyBorder="1" applyAlignment="1">
      <alignment horizontal="center"/>
    </xf>
    <xf fontId="0" fillId="2" borderId="10" numFmtId="0" xfId="0" applyFill="1" applyBorder="1" applyAlignment="1">
      <alignment horizontal="center"/>
    </xf>
    <xf fontId="0" fillId="2" borderId="11" numFmtId="0" xfId="0" applyFill="1" applyBorder="1" applyAlignment="1">
      <alignment horizontal="center"/>
    </xf>
    <xf fontId="0" fillId="2" borderId="10" numFmtId="3" xfId="0" applyNumberFormat="1" applyFill="1" applyBorder="1" applyAlignment="1">
      <alignment horizontal="center"/>
    </xf>
    <xf fontId="0" fillId="2" borderId="11" numFmtId="3" xfId="0" applyNumberFormat="1" applyFill="1" applyBorder="1" applyAlignment="1">
      <alignment horizontal="center"/>
    </xf>
    <xf fontId="3" fillId="0" borderId="10" numFmtId="0" xfId="0" applyFont="1" applyBorder="1" applyAlignment="1">
      <alignment horizontal="left"/>
    </xf>
    <xf fontId="3" fillId="0" borderId="11" numFmtId="0" xfId="0" applyFont="1" applyBorder="1" applyAlignment="1">
      <alignment horizontal="left"/>
    </xf>
    <xf fontId="3" fillId="0" borderId="0" numFmtId="0" xfId="0" applyFont="1" applyAlignment="1">
      <alignment horizontal="center"/>
    </xf>
    <xf fontId="0" fillId="0" borderId="10" numFmtId="3" xfId="0" applyNumberFormat="1" applyBorder="1" applyAlignment="1">
      <alignment horizontal="center"/>
    </xf>
    <xf fontId="0" fillId="0" borderId="11" numFmtId="0" xfId="0" applyBorder="1" applyAlignment="1">
      <alignment horizontal="center"/>
    </xf>
    <xf fontId="0" fillId="0" borderId="10" numFmtId="0" xfId="0" applyBorder="1" applyAlignment="1">
      <alignment horizontal="center"/>
    </xf>
    <xf fontId="0" fillId="0" borderId="11" numFmtId="3" xfId="0" applyNumberFormat="1" applyBorder="1" applyAlignment="1">
      <alignment horizontal="center"/>
    </xf>
    <xf fontId="3" fillId="2" borderId="11" numFmtId="0" xfId="0" applyFont="1" applyFill="1" applyBorder="1" applyAlignment="1">
      <alignment horizontal="left"/>
    </xf>
    <xf fontId="3" fillId="0" borderId="10" numFmtId="0" xfId="0" applyFont="1" applyBorder="1" applyAlignment="1">
      <alignment horizontal="center"/>
    </xf>
    <xf fontId="3" fillId="0" borderId="11" numFmtId="0" xfId="0" applyFont="1" applyBorder="1" applyAlignment="1">
      <alignment horizontal="center"/>
    </xf>
    <xf fontId="3" fillId="0" borderId="7" numFmtId="0" xfId="0" applyFont="1" applyBorder="1" applyAlignment="1">
      <alignment horizontal="left"/>
    </xf>
    <xf fontId="0" fillId="0" borderId="8" numFmtId="0" xfId="0" applyBorder="1" applyAlignment="1">
      <alignment horizontal="left"/>
    </xf>
    <xf fontId="0" fillId="0" borderId="9" numFmtId="0" xfId="0" applyBorder="1" applyAlignment="1">
      <alignment horizontal="left"/>
    </xf>
    <xf fontId="0" fillId="0" borderId="7" numFmtId="3" xfId="0" applyNumberFormat="1" applyBorder="1" applyAlignment="1">
      <alignment horizontal="center"/>
    </xf>
    <xf fontId="0" fillId="0" borderId="8" numFmtId="3" xfId="0" applyNumberFormat="1" applyBorder="1" applyAlignment="1">
      <alignment horizontal="center"/>
    </xf>
    <xf fontId="0" fillId="0" borderId="2" numFmtId="3" xfId="0" applyNumberFormat="1" applyBorder="1" applyAlignment="1">
      <alignment horizontal="center"/>
    </xf>
    <xf fontId="0" fillId="0" borderId="12" numFmtId="3" xfId="0" applyNumberFormat="1" applyBorder="1" applyAlignment="1">
      <alignment horizontal="center"/>
    </xf>
    <xf fontId="0" fillId="0" borderId="0" numFmtId="3" xfId="0" applyNumberFormat="1"/>
    <xf fontId="0" fillId="0" borderId="2" numFmtId="0" xfId="0" applyBorder="1" applyAlignment="1">
      <alignment horizontal="center"/>
    </xf>
    <xf fontId="3" fillId="0" borderId="0" numFmtId="0" xfId="0" applyFont="1"/>
    <xf fontId="0" fillId="0" borderId="0" numFmtId="0" xfId="0" applyAlignment="1">
      <alignment horizontal="center"/>
    </xf>
    <xf fontId="0" fillId="0" borderId="0" numFmtId="3" xfId="0" applyNumberFormat="1" applyAlignment="1">
      <alignment horizontal="center"/>
    </xf>
    <xf fontId="0" fillId="0" borderId="0" numFmtId="0" xfId="0" applyAlignment="1">
      <alignment horizontal="left" wrapText="1"/>
    </xf>
    <xf fontId="0" fillId="0" borderId="13" numFmtId="0" xfId="0" applyBorder="1" applyAlignment="1">
      <alignment wrapText="1"/>
    </xf>
    <xf fontId="0" fillId="3" borderId="0" numFmtId="0" xfId="0" applyFill="1"/>
    <xf fontId="0" fillId="0" borderId="13" numFmtId="0" xfId="0" applyBorder="1"/>
    <xf fontId="0" fillId="3" borderId="13" numFmtId="3" xfId="0" applyNumberFormat="1" applyFill="1" applyBorder="1"/>
    <xf fontId="0" fillId="0" borderId="13" numFmtId="0" xfId="0" applyBorder="1">
      <protection hidden="0" locked="1"/>
    </xf>
    <xf fontId="0" fillId="3" borderId="13" numFmtId="0" xfId="0" applyFill="1" applyBorder="1"/>
    <xf fontId="0" fillId="0" borderId="0" numFmtId="0" xfId="0">
      <protection hidden="0" locked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3" zoomScale="100" workbookViewId="0">
      <selection activeCell="Z16" activeCellId="0" sqref="Z16"/>
    </sheetView>
  </sheetViews>
  <sheetFormatPr defaultRowHeight="14.25"/>
  <cols>
    <col customWidth="1" min="2" max="2" width="16"/>
    <col customWidth="1" min="3" max="3" width="9.140625"/>
    <col customWidth="1" min="4" max="4" width="8.28515625"/>
    <col customWidth="1" min="6" max="6" width="7.5703125"/>
    <col customWidth="1" min="9" max="9" width="11.57421875"/>
  </cols>
  <sheetData>
    <row r="1" ht="30" customHeigh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4">
      <c r="B4" s="2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4"/>
    </row>
    <row r="5" ht="15.7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7"/>
    </row>
    <row r="6" ht="15.75">
      <c r="B6" s="8"/>
      <c r="C6" s="9"/>
      <c r="D6" s="10"/>
      <c r="E6" s="11" t="s">
        <v>2</v>
      </c>
      <c r="F6" s="9"/>
      <c r="G6" s="11" t="s">
        <v>3</v>
      </c>
      <c r="H6" s="9"/>
      <c r="I6" s="11" t="s">
        <v>4</v>
      </c>
      <c r="J6" s="9"/>
      <c r="K6" s="11" t="s">
        <v>5</v>
      </c>
      <c r="L6" s="9"/>
      <c r="M6" s="11" t="s">
        <v>6</v>
      </c>
      <c r="N6" s="9"/>
      <c r="O6" s="11" t="s">
        <v>7</v>
      </c>
      <c r="P6" s="9"/>
      <c r="Q6" s="11" t="s">
        <v>8</v>
      </c>
      <c r="R6" s="9"/>
      <c r="S6" s="11" t="s">
        <v>9</v>
      </c>
      <c r="T6" s="9"/>
      <c r="U6" s="11" t="s">
        <v>10</v>
      </c>
      <c r="V6" s="9"/>
      <c r="W6" s="11" t="s">
        <v>11</v>
      </c>
      <c r="X6" s="9"/>
    </row>
    <row r="7">
      <c r="B7" s="12" t="s">
        <v>12</v>
      </c>
      <c r="C7" s="13"/>
      <c r="D7" s="14" t="s">
        <v>13</v>
      </c>
      <c r="E7" s="15"/>
      <c r="F7" s="16"/>
      <c r="G7" s="17"/>
      <c r="H7" s="18"/>
      <c r="I7" s="19">
        <v>20920</v>
      </c>
      <c r="J7" s="18"/>
      <c r="K7" s="17"/>
      <c r="L7" s="18"/>
      <c r="M7" s="17"/>
      <c r="N7" s="18"/>
      <c r="O7" s="17"/>
      <c r="P7" s="18"/>
      <c r="Q7" s="17"/>
      <c r="R7" s="18"/>
      <c r="S7" s="17"/>
      <c r="T7" s="18"/>
      <c r="U7" s="17"/>
      <c r="V7" s="18"/>
      <c r="W7" s="19">
        <f t="shared" ref="W7:W21" si="0">SUM(E7:U7)</f>
        <v>20920</v>
      </c>
      <c r="X7" s="20"/>
    </row>
    <row r="8">
      <c r="B8" s="21" t="s">
        <v>12</v>
      </c>
      <c r="C8" s="22"/>
      <c r="D8" s="23" t="s">
        <v>14</v>
      </c>
      <c r="E8" s="24">
        <v>194880</v>
      </c>
      <c r="F8" s="25"/>
      <c r="G8" s="26"/>
      <c r="H8" s="25"/>
      <c r="I8" s="26"/>
      <c r="J8" s="25"/>
      <c r="K8" s="26"/>
      <c r="L8" s="25"/>
      <c r="M8" s="26"/>
      <c r="N8" s="25"/>
      <c r="O8" s="24">
        <v>48590</v>
      </c>
      <c r="P8" s="25"/>
      <c r="Q8" s="26"/>
      <c r="R8" s="25"/>
      <c r="S8" s="26"/>
      <c r="T8" s="25"/>
      <c r="U8" s="26"/>
      <c r="V8" s="25"/>
      <c r="W8" s="24">
        <f t="shared" si="0"/>
        <v>243470</v>
      </c>
      <c r="X8" s="27"/>
    </row>
    <row r="9">
      <c r="B9" s="12" t="s">
        <v>15</v>
      </c>
      <c r="C9" s="28"/>
      <c r="D9" s="14" t="s">
        <v>14</v>
      </c>
      <c r="E9" s="19">
        <v>2629320</v>
      </c>
      <c r="F9" s="18"/>
      <c r="G9" s="17"/>
      <c r="H9" s="18"/>
      <c r="I9" s="17"/>
      <c r="J9" s="18"/>
      <c r="K9" s="17"/>
      <c r="L9" s="18"/>
      <c r="M9" s="17"/>
      <c r="N9" s="18"/>
      <c r="O9" s="17"/>
      <c r="P9" s="18"/>
      <c r="Q9" s="17"/>
      <c r="R9" s="18"/>
      <c r="S9" s="17"/>
      <c r="T9" s="18"/>
      <c r="U9" s="17"/>
      <c r="V9" s="18"/>
      <c r="W9" s="19">
        <f t="shared" si="0"/>
        <v>2629320</v>
      </c>
      <c r="X9" s="20"/>
    </row>
    <row r="10">
      <c r="B10" s="21" t="s">
        <v>16</v>
      </c>
      <c r="C10" s="22"/>
      <c r="D10" s="23" t="s">
        <v>13</v>
      </c>
      <c r="E10" s="24"/>
      <c r="F10" s="27"/>
      <c r="G10" s="26"/>
      <c r="H10" s="25"/>
      <c r="I10" s="24">
        <v>44080</v>
      </c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>
        <f t="shared" si="0"/>
        <v>44080</v>
      </c>
      <c r="X10" s="25"/>
    </row>
    <row r="11">
      <c r="B11" s="12" t="s">
        <v>17</v>
      </c>
      <c r="C11" s="28"/>
      <c r="D11" s="14" t="s">
        <v>14</v>
      </c>
      <c r="E11" s="19">
        <v>907500</v>
      </c>
      <c r="F11" s="18"/>
      <c r="G11" s="17"/>
      <c r="H11" s="18"/>
      <c r="I11" s="17"/>
      <c r="J11" s="18"/>
      <c r="K11" s="19">
        <v>80050</v>
      </c>
      <c r="L11" s="18"/>
      <c r="M11" s="19">
        <v>131630</v>
      </c>
      <c r="N11" s="18"/>
      <c r="O11" s="17"/>
      <c r="P11" s="18"/>
      <c r="Q11" s="17"/>
      <c r="R11" s="18"/>
      <c r="S11" s="17"/>
      <c r="T11" s="18"/>
      <c r="U11" s="17"/>
      <c r="V11" s="18"/>
      <c r="W11" s="19">
        <f t="shared" si="0"/>
        <v>1119180</v>
      </c>
      <c r="X11" s="20"/>
    </row>
    <row r="12">
      <c r="B12" s="21" t="s">
        <v>18</v>
      </c>
      <c r="C12" s="22"/>
      <c r="D12" s="23" t="s">
        <v>13</v>
      </c>
      <c r="E12" s="24"/>
      <c r="F12" s="27"/>
      <c r="G12" s="24">
        <v>309600</v>
      </c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>
        <f t="shared" si="0"/>
        <v>309600</v>
      </c>
      <c r="X12" s="25"/>
    </row>
    <row r="13">
      <c r="B13" s="12" t="s">
        <v>18</v>
      </c>
      <c r="C13" s="28"/>
      <c r="D13" s="14" t="s">
        <v>14</v>
      </c>
      <c r="E13" s="19">
        <v>391860</v>
      </c>
      <c r="F13" s="18"/>
      <c r="G13" s="19">
        <v>413485</v>
      </c>
      <c r="H13" s="18"/>
      <c r="I13" s="17"/>
      <c r="J13" s="18"/>
      <c r="K13" s="19">
        <v>204450</v>
      </c>
      <c r="L13" s="18"/>
      <c r="M13" s="19">
        <v>58560</v>
      </c>
      <c r="N13" s="18"/>
      <c r="O13" s="17"/>
      <c r="P13" s="18"/>
      <c r="Q13" s="17">
        <v>7150</v>
      </c>
      <c r="R13" s="18"/>
      <c r="S13" s="17"/>
      <c r="T13" s="18"/>
      <c r="U13" s="17"/>
      <c r="V13" s="18"/>
      <c r="W13" s="19">
        <f t="shared" si="0"/>
        <v>1075505</v>
      </c>
      <c r="X13" s="20"/>
    </row>
    <row r="14">
      <c r="B14" s="21" t="s">
        <v>19</v>
      </c>
      <c r="C14" s="22"/>
      <c r="D14" s="23" t="s">
        <v>14</v>
      </c>
      <c r="E14" s="24">
        <v>178010</v>
      </c>
      <c r="F14" s="25"/>
      <c r="G14" s="24">
        <v>38060</v>
      </c>
      <c r="H14" s="25"/>
      <c r="I14" s="26"/>
      <c r="J14" s="25"/>
      <c r="K14" s="24">
        <v>268030</v>
      </c>
      <c r="L14" s="25"/>
      <c r="M14" s="24">
        <v>658200</v>
      </c>
      <c r="N14" s="25"/>
      <c r="O14" s="26"/>
      <c r="P14" s="25"/>
      <c r="Q14" s="24">
        <v>66690</v>
      </c>
      <c r="R14" s="25"/>
      <c r="S14" s="26"/>
      <c r="T14" s="25"/>
      <c r="U14" s="24">
        <v>78650</v>
      </c>
      <c r="V14" s="25"/>
      <c r="W14" s="24">
        <f t="shared" si="0"/>
        <v>1287640</v>
      </c>
      <c r="X14" s="27"/>
    </row>
    <row r="15">
      <c r="B15" s="12" t="s">
        <v>19</v>
      </c>
      <c r="C15" s="28"/>
      <c r="D15" s="14" t="s">
        <v>13</v>
      </c>
      <c r="E15" s="17"/>
      <c r="F15" s="18"/>
      <c r="G15" s="19">
        <v>30150</v>
      </c>
      <c r="H15" s="18"/>
      <c r="I15" s="19">
        <v>42270</v>
      </c>
      <c r="J15" s="18"/>
      <c r="K15" s="17"/>
      <c r="L15" s="18"/>
      <c r="M15" s="17"/>
      <c r="N15" s="18"/>
      <c r="O15" s="17"/>
      <c r="P15" s="18"/>
      <c r="Q15" s="17"/>
      <c r="R15" s="18"/>
      <c r="S15" s="17"/>
      <c r="T15" s="18"/>
      <c r="U15" s="19">
        <v>162410</v>
      </c>
      <c r="V15" s="18"/>
      <c r="W15" s="17">
        <f t="shared" si="0"/>
        <v>234830</v>
      </c>
      <c r="X15" s="18"/>
    </row>
    <row r="16">
      <c r="B16" s="21" t="s">
        <v>20</v>
      </c>
      <c r="C16" s="22"/>
      <c r="D16" s="23" t="s">
        <v>14</v>
      </c>
      <c r="E16" s="29"/>
      <c r="F16" s="30"/>
      <c r="G16" s="26">
        <v>7320</v>
      </c>
      <c r="H16" s="25"/>
      <c r="I16" s="26"/>
      <c r="J16" s="25"/>
      <c r="K16" s="26"/>
      <c r="L16" s="25"/>
      <c r="M16" s="24">
        <v>223950</v>
      </c>
      <c r="N16" s="25"/>
      <c r="O16" s="26"/>
      <c r="P16" s="25"/>
      <c r="Q16" s="24">
        <v>21040</v>
      </c>
      <c r="R16" s="25"/>
      <c r="S16" s="26"/>
      <c r="T16" s="25"/>
      <c r="U16" s="26"/>
      <c r="V16" s="25"/>
      <c r="W16" s="24">
        <f t="shared" si="0"/>
        <v>252310</v>
      </c>
      <c r="X16" s="27"/>
    </row>
    <row r="17">
      <c r="B17" s="12" t="s">
        <v>20</v>
      </c>
      <c r="C17" s="28"/>
      <c r="D17" s="14" t="s">
        <v>13</v>
      </c>
      <c r="E17" s="15"/>
      <c r="F17" s="16"/>
      <c r="G17" s="17">
        <v>3250</v>
      </c>
      <c r="H17" s="18"/>
      <c r="I17" s="19">
        <v>24880</v>
      </c>
      <c r="J17" s="18"/>
      <c r="K17" s="17"/>
      <c r="L17" s="18"/>
      <c r="M17" s="17"/>
      <c r="N17" s="18"/>
      <c r="O17" s="17"/>
      <c r="P17" s="18"/>
      <c r="Q17" s="17"/>
      <c r="R17" s="18"/>
      <c r="S17" s="17"/>
      <c r="T17" s="18"/>
      <c r="U17" s="19">
        <v>94540</v>
      </c>
      <c r="V17" s="18"/>
      <c r="W17" s="17">
        <f t="shared" si="0"/>
        <v>122670</v>
      </c>
      <c r="X17" s="18"/>
    </row>
    <row r="18">
      <c r="B18" s="21" t="s">
        <v>21</v>
      </c>
      <c r="C18" s="22"/>
      <c r="D18" s="23" t="s">
        <v>13</v>
      </c>
      <c r="E18" s="29"/>
      <c r="F18" s="30"/>
      <c r="G18" s="26"/>
      <c r="H18" s="25"/>
      <c r="I18" s="24"/>
      <c r="J18" s="27"/>
      <c r="K18" s="26"/>
      <c r="L18" s="25"/>
      <c r="M18" s="26"/>
      <c r="N18" s="25"/>
      <c r="O18" s="26"/>
      <c r="P18" s="25"/>
      <c r="Q18" s="26"/>
      <c r="R18" s="25"/>
      <c r="S18" s="26"/>
      <c r="T18" s="25"/>
      <c r="U18" s="24">
        <v>1910</v>
      </c>
      <c r="V18" s="27"/>
      <c r="W18" s="26">
        <f t="shared" si="0"/>
        <v>1910</v>
      </c>
      <c r="X18" s="25"/>
    </row>
    <row r="19">
      <c r="B19" s="12" t="s">
        <v>21</v>
      </c>
      <c r="C19" s="28"/>
      <c r="D19" s="14" t="s">
        <v>14</v>
      </c>
      <c r="E19" s="15"/>
      <c r="F19" s="16"/>
      <c r="G19" s="19">
        <v>19520</v>
      </c>
      <c r="H19" s="18"/>
      <c r="I19" s="17"/>
      <c r="J19" s="18"/>
      <c r="K19" s="17"/>
      <c r="L19" s="18"/>
      <c r="M19" s="17"/>
      <c r="N19" s="18"/>
      <c r="O19" s="17"/>
      <c r="P19" s="18"/>
      <c r="Q19" s="17"/>
      <c r="R19" s="18"/>
      <c r="S19" s="17"/>
      <c r="T19" s="18"/>
      <c r="U19" s="19">
        <v>15820</v>
      </c>
      <c r="V19" s="18"/>
      <c r="W19" s="19">
        <f t="shared" si="0"/>
        <v>35340</v>
      </c>
      <c r="X19" s="20"/>
    </row>
    <row r="20">
      <c r="B20" s="21" t="s">
        <v>22</v>
      </c>
      <c r="C20" s="22"/>
      <c r="D20" s="23" t="s">
        <v>14</v>
      </c>
      <c r="E20" s="29"/>
      <c r="F20" s="30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4">
        <v>21600</v>
      </c>
      <c r="T20" s="25"/>
      <c r="U20" s="26"/>
      <c r="V20" s="25"/>
      <c r="W20" s="24">
        <f t="shared" si="0"/>
        <v>21600</v>
      </c>
      <c r="X20" s="27"/>
    </row>
    <row r="21" ht="15.75">
      <c r="B21" s="12" t="s">
        <v>23</v>
      </c>
      <c r="C21" s="28"/>
      <c r="D21" s="14" t="s">
        <v>14</v>
      </c>
      <c r="E21" s="15"/>
      <c r="F21" s="16"/>
      <c r="G21" s="19">
        <v>11550</v>
      </c>
      <c r="H21" s="18"/>
      <c r="I21" s="17"/>
      <c r="J21" s="18"/>
      <c r="K21" s="17"/>
      <c r="L21" s="18"/>
      <c r="M21" s="17"/>
      <c r="N21" s="18"/>
      <c r="O21" s="17"/>
      <c r="P21" s="18"/>
      <c r="Q21" s="17"/>
      <c r="R21" s="18"/>
      <c r="S21" s="17"/>
      <c r="T21" s="18"/>
      <c r="U21" s="17"/>
      <c r="V21" s="18"/>
      <c r="W21" s="19">
        <f t="shared" si="0"/>
        <v>11550</v>
      </c>
      <c r="X21" s="20"/>
    </row>
    <row r="22" ht="15.75">
      <c r="B22" s="31" t="s">
        <v>24</v>
      </c>
      <c r="C22" s="32"/>
      <c r="D22" s="33"/>
      <c r="E22" s="34">
        <f>SUM(E7:F21)</f>
        <v>4301570</v>
      </c>
      <c r="F22" s="35"/>
      <c r="G22" s="34">
        <f>SUM(G7:H21)</f>
        <v>832935</v>
      </c>
      <c r="H22" s="35"/>
      <c r="I22" s="34">
        <f>SUM(I7:J21)</f>
        <v>132150</v>
      </c>
      <c r="J22" s="35"/>
      <c r="K22" s="34">
        <f>SUM(K7:L21)</f>
        <v>552530</v>
      </c>
      <c r="L22" s="35"/>
      <c r="M22" s="34">
        <f>SUM(M7:N21)</f>
        <v>1072340</v>
      </c>
      <c r="N22" s="35"/>
      <c r="O22" s="34">
        <f>SUM(O7:P21)</f>
        <v>48590</v>
      </c>
      <c r="P22" s="35"/>
      <c r="Q22" s="34">
        <f>SUM(Q7:R21)</f>
        <v>94880</v>
      </c>
      <c r="R22" s="35"/>
      <c r="S22" s="34">
        <f>SUM(S7:T21)</f>
        <v>21600</v>
      </c>
      <c r="T22" s="35"/>
      <c r="U22" s="34">
        <f>SUM(U7:V21)</f>
        <v>353330</v>
      </c>
      <c r="V22" s="35"/>
      <c r="W22" s="34">
        <f>SUM(E22:V22)</f>
        <v>7409925</v>
      </c>
      <c r="X22" s="35"/>
    </row>
    <row r="23" ht="15.75">
      <c r="B23" t="s">
        <v>25</v>
      </c>
      <c r="E23" s="36">
        <f>SUM(E8+E9+E11+E13+E14+E16+E19+E20+E21)</f>
        <v>4301570</v>
      </c>
      <c r="F23" s="36"/>
      <c r="G23" s="36">
        <f>SUM(G8+G9+G11+G13+G14+G16+G19+G20+G21)</f>
        <v>489935</v>
      </c>
      <c r="H23" s="36"/>
      <c r="I23" s="36">
        <f>SUM(I8+I9+I11+I13+I14+I16+I19+I20+I21)</f>
        <v>0</v>
      </c>
      <c r="J23" s="36"/>
      <c r="K23" s="36">
        <f>SUM(K8+K9+K11+K13+K14+K16+K19+K20+K21)</f>
        <v>552530</v>
      </c>
      <c r="L23" s="36"/>
      <c r="M23" s="36">
        <f>SUM(M8+M9+M11+M13+M14+M16+M19+M20+M21)</f>
        <v>1072340</v>
      </c>
      <c r="N23" s="36"/>
      <c r="O23" s="36">
        <f>SUM(O8+O9+O11+O13+O14+O16+O19+O20+O21)</f>
        <v>48590</v>
      </c>
      <c r="P23" s="36"/>
      <c r="Q23" s="36">
        <f>SUM(Q8+Q9+Q11+Q13+Q14+Q16+Q19+Q20+Q21)</f>
        <v>94880</v>
      </c>
      <c r="R23" s="36"/>
      <c r="S23" s="36">
        <f>SUM(S8+S9+S11+S13+S14+S16+S19+S20+S21)</f>
        <v>21600</v>
      </c>
      <c r="T23" s="36"/>
      <c r="U23" s="36">
        <f>SUM(U8+U9+U11+U13+U14+U16+U19+U20+U21)</f>
        <v>94470</v>
      </c>
      <c r="V23" s="36"/>
      <c r="W23" s="36">
        <f>SUM(W8+W9+W11+W13+W14+W16+W19+W20+W21)</f>
        <v>6675915</v>
      </c>
      <c r="X23" s="36"/>
    </row>
    <row r="24">
      <c r="B24" t="s">
        <v>26</v>
      </c>
      <c r="E24" s="37">
        <f>SUM(E7+E10+E12+E15+E17+E18)</f>
        <v>0</v>
      </c>
      <c r="F24" s="37"/>
      <c r="G24" s="37">
        <f>SUM(G7+G10+G12+G15+G17+G18)</f>
        <v>343000</v>
      </c>
      <c r="H24" s="37"/>
      <c r="I24" s="37">
        <f>SUM(I7+I10+I12+I15+I17+I18)</f>
        <v>132150</v>
      </c>
      <c r="J24" s="37"/>
      <c r="K24" s="37">
        <f>SUM(K7+K10+K12+K15+K17+K18)</f>
        <v>0</v>
      </c>
      <c r="L24" s="37"/>
      <c r="M24" s="37">
        <f>SUM(M7+M10+M12+M15+M17+M18)</f>
        <v>0</v>
      </c>
      <c r="N24" s="37"/>
      <c r="O24" s="37">
        <f>SUM(O7+O10+O12+O15+O17+O18)</f>
        <v>0</v>
      </c>
      <c r="P24" s="37"/>
      <c r="Q24" s="37">
        <f>SUM(Q7+Q10+Q12+Q15+Q17+Q18)</f>
        <v>0</v>
      </c>
      <c r="R24" s="37"/>
      <c r="S24" s="37">
        <f>SUM(S7+S10+S12+S15+S17+S18)</f>
        <v>0</v>
      </c>
      <c r="T24" s="37"/>
      <c r="U24" s="37">
        <f>SUM(U7+U10+U12+U15+U17+U18)</f>
        <v>258860</v>
      </c>
      <c r="V24" s="37"/>
      <c r="W24" s="37">
        <f>SUM(W7+W10+W12+W15+W17+W18)</f>
        <v>734010</v>
      </c>
      <c r="X24" s="37"/>
    </row>
    <row r="25" ht="15.75"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ht="15.75">
      <c r="B26" t="s">
        <v>27</v>
      </c>
      <c r="E26" s="36">
        <f>SUBTOTAL(9,E8)</f>
        <v>194880</v>
      </c>
      <c r="F26" s="36"/>
      <c r="G26" s="36">
        <f>SUBTOTAL(9,G8)</f>
        <v>0</v>
      </c>
      <c r="H26" s="36"/>
      <c r="I26" s="36">
        <f>SUBTOTAL(9,I8)</f>
        <v>0</v>
      </c>
      <c r="J26" s="36"/>
      <c r="K26" s="36">
        <f>SUBTOTAL(9,K8)</f>
        <v>0</v>
      </c>
      <c r="L26" s="36"/>
      <c r="M26" s="36">
        <f>SUBTOTAL(9,M8)</f>
        <v>0</v>
      </c>
      <c r="N26" s="36"/>
      <c r="O26" s="36">
        <f>SUBTOTAL(9,O8)</f>
        <v>48590</v>
      </c>
      <c r="P26" s="36"/>
      <c r="Q26" s="36">
        <f>SUBTOTAL(9,Q8)</f>
        <v>0</v>
      </c>
      <c r="R26" s="36"/>
      <c r="S26" s="36">
        <f>SUBTOTAL(9,S8)</f>
        <v>0</v>
      </c>
      <c r="T26" s="36"/>
      <c r="U26" s="36">
        <f>SUBTOTAL(9,U8)</f>
        <v>0</v>
      </c>
      <c r="V26" s="36"/>
      <c r="W26" s="36">
        <f>SUBTOTAL(9,W8)</f>
        <v>243470</v>
      </c>
      <c r="X26" s="36"/>
    </row>
    <row r="27" s="0" customFormat="1" ht="15.75">
      <c r="B27" t="s">
        <v>28</v>
      </c>
      <c r="E27" s="36">
        <f>SUM(E9+E11+E14+E16)</f>
        <v>3714830</v>
      </c>
      <c r="F27" s="36"/>
      <c r="G27" s="36">
        <f>SUM(G9+G11+G14+G16)</f>
        <v>45380</v>
      </c>
      <c r="H27" s="36"/>
      <c r="I27" s="36">
        <f>SUM(I9+I11+I14+I16)</f>
        <v>0</v>
      </c>
      <c r="J27" s="36"/>
      <c r="K27" s="36">
        <f>SUM(K9+K11+K14+K16)</f>
        <v>348080</v>
      </c>
      <c r="L27" s="36"/>
      <c r="M27" s="36">
        <f>SUM(M9+M11+M14+M16)</f>
        <v>1013780</v>
      </c>
      <c r="N27" s="36"/>
      <c r="O27" s="36">
        <f>SUM(O9+O11+O14+O16)</f>
        <v>0</v>
      </c>
      <c r="P27" s="36"/>
      <c r="Q27" s="36">
        <f>SUM(Q9+Q11+Q14+Q16)</f>
        <v>87730</v>
      </c>
      <c r="R27" s="36"/>
      <c r="S27" s="36">
        <f>SUM(S9+S11+S14+S16)</f>
        <v>0</v>
      </c>
      <c r="T27" s="36"/>
      <c r="U27" s="36">
        <f>SUM(U9+U11+U14+U16)</f>
        <v>78650</v>
      </c>
      <c r="V27" s="36"/>
      <c r="W27" s="36">
        <f>SUM(W9+W11+W14+W16)</f>
        <v>5288450</v>
      </c>
      <c r="X27" s="36"/>
    </row>
    <row r="28" s="0" customFormat="1" ht="15.75">
      <c r="B28" t="s">
        <v>29</v>
      </c>
      <c r="E28" s="36">
        <f>SUBTOTAL(9,E13)</f>
        <v>391860</v>
      </c>
      <c r="F28" s="36"/>
      <c r="G28" s="36">
        <f>SUBTOTAL(9,G13)</f>
        <v>413485</v>
      </c>
      <c r="H28" s="36"/>
      <c r="I28" s="36">
        <f>SUBTOTAL(9,I13)</f>
        <v>0</v>
      </c>
      <c r="J28" s="36"/>
      <c r="K28" s="36">
        <f>SUBTOTAL(9,K13)</f>
        <v>204450</v>
      </c>
      <c r="L28" s="36"/>
      <c r="M28" s="36">
        <f>SUBTOTAL(9,M13)</f>
        <v>58560</v>
      </c>
      <c r="N28" s="36"/>
      <c r="O28" s="36">
        <f>SUBTOTAL(9,O13)</f>
        <v>0</v>
      </c>
      <c r="P28" s="36"/>
      <c r="Q28" s="36">
        <f>SUBTOTAL(9,Q13)</f>
        <v>7150</v>
      </c>
      <c r="R28" s="36"/>
      <c r="S28" s="36">
        <f>SUBTOTAL(9,S13)</f>
        <v>0</v>
      </c>
      <c r="T28" s="36"/>
      <c r="U28" s="36">
        <f>SUBTOTAL(9,U13)</f>
        <v>0</v>
      </c>
      <c r="V28" s="36"/>
      <c r="W28" s="36">
        <f>SUBTOTAL(9,W13)</f>
        <v>1075505</v>
      </c>
      <c r="X28" s="36"/>
    </row>
    <row r="29" ht="15.75">
      <c r="B29" t="s">
        <v>30</v>
      </c>
      <c r="E29" s="36">
        <f>SUBTOTAL(9,E19)</f>
        <v>0</v>
      </c>
      <c r="F29" s="36"/>
      <c r="G29" s="36">
        <f>SUBTOTAL(9,G19)</f>
        <v>19520</v>
      </c>
      <c r="H29" s="36"/>
      <c r="I29" s="36">
        <f>SUBTOTAL(9,I19)</f>
        <v>0</v>
      </c>
      <c r="J29" s="36"/>
      <c r="K29" s="36">
        <f>SUBTOTAL(9,K19)</f>
        <v>0</v>
      </c>
      <c r="L29" s="36"/>
      <c r="M29" s="36">
        <f>SUBTOTAL(9,M19)</f>
        <v>0</v>
      </c>
      <c r="N29" s="36"/>
      <c r="O29" s="36">
        <f>SUBTOTAL(9,O19)</f>
        <v>0</v>
      </c>
      <c r="P29" s="36"/>
      <c r="Q29" s="36">
        <f>SUBTOTAL(9,Q19)</f>
        <v>0</v>
      </c>
      <c r="R29" s="36"/>
      <c r="S29" s="36">
        <f>SUBTOTAL(9,S19)</f>
        <v>0</v>
      </c>
      <c r="T29" s="36"/>
      <c r="U29" s="36">
        <f>SUBTOTAL(9,U19)</f>
        <v>15820</v>
      </c>
      <c r="V29" s="36"/>
      <c r="W29" s="36">
        <f>SUBTOTAL(9,W19)</f>
        <v>35340</v>
      </c>
      <c r="X29" s="36"/>
    </row>
    <row r="30" ht="15.75">
      <c r="B30" t="s">
        <v>31</v>
      </c>
      <c r="E30" s="36">
        <f>SUBTOTAL(9,E20:F21)</f>
        <v>0</v>
      </c>
      <c r="F30" s="36"/>
      <c r="G30" s="36">
        <f>SUBTOTAL(9,G20:H21)</f>
        <v>11550</v>
      </c>
      <c r="H30" s="36"/>
      <c r="I30" s="36">
        <f>SUBTOTAL(9,I20:J21)</f>
        <v>0</v>
      </c>
      <c r="J30" s="36"/>
      <c r="K30" s="36">
        <f>SUBTOTAL(9,K20:L21)</f>
        <v>0</v>
      </c>
      <c r="L30" s="36"/>
      <c r="M30" s="36">
        <f>SUBTOTAL(9,M20:N21)</f>
        <v>0</v>
      </c>
      <c r="N30" s="36"/>
      <c r="O30" s="36">
        <f>SUBTOTAL(9,O20:P21)</f>
        <v>0</v>
      </c>
      <c r="P30" s="36"/>
      <c r="Q30" s="36">
        <f>SUBTOTAL(9,Q20:R21)</f>
        <v>0</v>
      </c>
      <c r="R30" s="36"/>
      <c r="S30" s="36">
        <f>SUBTOTAL(9,S20:T21)</f>
        <v>21600</v>
      </c>
      <c r="T30" s="36"/>
      <c r="U30" s="36">
        <f>SUBTOTAL(9,U20:V21)</f>
        <v>0</v>
      </c>
      <c r="V30" s="36"/>
      <c r="W30" s="36">
        <f>SUBTOTAL(9,W20:X21)</f>
        <v>33150</v>
      </c>
      <c r="X30" s="36"/>
    </row>
    <row r="31"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6"/>
      <c r="X31" s="39"/>
    </row>
    <row r="32">
      <c r="B32" s="40" t="s">
        <v>32</v>
      </c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2"/>
      <c r="X32" s="41"/>
    </row>
    <row r="33" ht="28.5">
      <c r="B33" s="43" t="s">
        <v>33</v>
      </c>
      <c r="C33" s="43"/>
      <c r="D33" s="43"/>
      <c r="E33" s="43"/>
      <c r="F33" s="43"/>
      <c r="G33" s="43"/>
      <c r="H33" s="43"/>
      <c r="I33" s="44" t="s">
        <v>34</v>
      </c>
      <c r="J33" s="45" t="s">
        <v>35</v>
      </c>
    </row>
    <row r="34" ht="14.25">
      <c r="B34" s="46" t="s">
        <v>36</v>
      </c>
      <c r="C34" s="46"/>
      <c r="D34" s="46" t="s">
        <v>37</v>
      </c>
      <c r="E34" s="46"/>
      <c r="F34" s="46"/>
      <c r="G34" s="46"/>
      <c r="H34" s="46"/>
      <c r="I34" s="46">
        <v>1</v>
      </c>
    </row>
    <row r="35" ht="14.25">
      <c r="B35" s="46"/>
      <c r="C35" s="46"/>
      <c r="D35" s="46" t="s">
        <v>38</v>
      </c>
      <c r="E35" s="46"/>
      <c r="F35" s="46"/>
      <c r="G35" s="46"/>
      <c r="H35" s="46"/>
      <c r="I35" s="46">
        <v>2</v>
      </c>
    </row>
    <row r="36" ht="14.25">
      <c r="B36" s="46"/>
      <c r="C36" s="46"/>
      <c r="D36" s="46" t="s">
        <v>39</v>
      </c>
      <c r="E36" s="46"/>
      <c r="F36" s="46"/>
      <c r="G36" s="46"/>
      <c r="H36" s="46"/>
      <c r="I36" s="46"/>
      <c r="J36" s="47">
        <f>SUM(I34:I36)</f>
        <v>3</v>
      </c>
    </row>
    <row r="37" ht="14.25">
      <c r="B37" s="46" t="s">
        <v>40</v>
      </c>
      <c r="C37" s="46"/>
      <c r="D37" s="46" t="s">
        <v>37</v>
      </c>
      <c r="E37" s="46"/>
      <c r="F37" s="46"/>
      <c r="G37" s="46"/>
      <c r="H37" s="46"/>
      <c r="I37" s="46">
        <v>3</v>
      </c>
    </row>
    <row r="38" ht="14.25">
      <c r="B38" s="46"/>
      <c r="C38" s="46"/>
      <c r="D38" s="46" t="s">
        <v>41</v>
      </c>
      <c r="E38" s="46"/>
      <c r="F38" s="46"/>
      <c r="G38" s="46"/>
      <c r="H38" s="46"/>
      <c r="I38" s="46">
        <v>2</v>
      </c>
    </row>
    <row r="39" ht="14.25">
      <c r="B39" s="46"/>
      <c r="C39" s="46"/>
      <c r="D39" s="46" t="s">
        <v>42</v>
      </c>
      <c r="E39" s="46"/>
      <c r="F39" s="46"/>
      <c r="G39" s="46"/>
      <c r="H39" s="46"/>
      <c r="I39" s="46">
        <v>6</v>
      </c>
      <c r="J39" s="47">
        <f>SUM(I37:I39)</f>
        <v>11</v>
      </c>
    </row>
    <row r="40" ht="14.25">
      <c r="B40" s="46" t="s">
        <v>43</v>
      </c>
      <c r="C40" s="46"/>
      <c r="D40" s="48" t="s">
        <v>37</v>
      </c>
      <c r="E40" s="46"/>
      <c r="F40" s="46"/>
      <c r="G40" s="46"/>
      <c r="H40" s="46"/>
      <c r="I40" s="46">
        <v>1</v>
      </c>
    </row>
    <row r="41" ht="14.25">
      <c r="B41" s="46"/>
      <c r="C41" s="46"/>
      <c r="D41" s="46" t="s">
        <v>41</v>
      </c>
      <c r="E41" s="46"/>
      <c r="F41" s="46"/>
      <c r="G41" s="46"/>
      <c r="H41" s="46"/>
      <c r="I41" s="46">
        <v>6</v>
      </c>
    </row>
    <row r="42" ht="14.25">
      <c r="B42" s="46"/>
      <c r="C42" s="46"/>
      <c r="D42" s="46" t="s">
        <v>42</v>
      </c>
      <c r="E42" s="46"/>
      <c r="F42" s="46"/>
      <c r="G42" s="46"/>
      <c r="H42" s="46"/>
      <c r="I42" s="46"/>
      <c r="J42" s="49">
        <f>SUM(I40:I42)</f>
        <v>7</v>
      </c>
    </row>
    <row r="43" ht="14.25">
      <c r="B43" s="46" t="s">
        <v>44</v>
      </c>
      <c r="C43" s="46"/>
      <c r="D43" s="48" t="s">
        <v>45</v>
      </c>
      <c r="E43" s="46"/>
      <c r="F43" s="46"/>
      <c r="G43" s="46"/>
      <c r="H43" s="46"/>
      <c r="I43" s="46">
        <v>2</v>
      </c>
    </row>
    <row r="44" ht="14.25">
      <c r="B44" s="46"/>
      <c r="C44" s="46"/>
      <c r="D44" s="48" t="s">
        <v>46</v>
      </c>
      <c r="E44" s="46"/>
      <c r="F44" s="46"/>
      <c r="G44" s="46"/>
      <c r="H44" s="46"/>
      <c r="I44" s="46"/>
      <c r="J44" s="49">
        <f>SUM(I43:I44)</f>
        <v>2</v>
      </c>
    </row>
    <row r="45" ht="14.25">
      <c r="D45" s="50"/>
    </row>
  </sheetData>
  <autoFilter ref="B6:X29">
    <filterColumn colId="0" showButton="0"/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</autoFilter>
  <mergeCells count="270">
    <mergeCell ref="B1:W1"/>
    <mergeCell ref="B4:X5"/>
    <mergeCell ref="B6:C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B33:H3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Ufficio Qualità</dc:creator>
  <cp:lastModifiedBy>Massimo Parisi</cp:lastModifiedBy>
  <cp:revision>2</cp:revision>
  <dcterms:created xsi:type="dcterms:W3CDTF">2025-12-10T07:44:33Z</dcterms:created>
  <dcterms:modified xsi:type="dcterms:W3CDTF">2025-12-14T22:57:47Z</dcterms:modified>
</cp:coreProperties>
</file>