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\\SERVER5\Arc\AGRUMIGEL 2023-2024\CdG QUALITA' (2023-2024)\1. ISO 9001\"/>
    </mc:Choice>
  </mc:AlternateContent>
  <xr:revisionPtr revIDLastSave="0" documentId="13_ncr:1_{7F86363D-8ED8-4BAF-9B54-42A8DFAB01E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NALISI DEL CONTESTO" sheetId="4" r:id="rId1"/>
    <sheet name="MATRICE DEI RISCHI" sheetId="1" r:id="rId2"/>
    <sheet name="(NO)_INDICATORI" sheetId="2" r:id="rId3"/>
    <sheet name="(NO)_MIGLIORAMENTO" sheetId="3" r:id="rId4"/>
  </sheets>
  <definedNames>
    <definedName name="_xlnm.Print_Area" localSheetId="1">'MATRICE DEI RISCHI'!$C$2:$K$17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2" i="1" l="1"/>
  <c r="K17" i="1" l="1"/>
  <c r="K16" i="1"/>
  <c r="O11" i="1" l="1"/>
  <c r="K11" i="1"/>
  <c r="O10" i="1" l="1"/>
  <c r="K10" i="1"/>
  <c r="O9" i="1"/>
  <c r="K9" i="1"/>
  <c r="O8" i="1"/>
  <c r="O7" i="1"/>
  <c r="K7" i="1"/>
</calcChain>
</file>

<file path=xl/sharedStrings.xml><?xml version="1.0" encoding="utf-8"?>
<sst xmlns="http://schemas.openxmlformats.org/spreadsheetml/2006/main" count="283" uniqueCount="232">
  <si>
    <t xml:space="preserve">FATTORE DEL CONTESTO INTERNO </t>
  </si>
  <si>
    <t xml:space="preserve">FATTORE DEL CONTESTO ESTERNO </t>
  </si>
  <si>
    <t>PARTI INTERESSATE</t>
  </si>
  <si>
    <t>AREA DI INCERTEZZA RILEVATA</t>
  </si>
  <si>
    <t xml:space="preserve"> TARGET
FUNZIONE/OBIETTIVO </t>
  </si>
  <si>
    <t>PROCESSO  COINVOLTO</t>
  </si>
  <si>
    <t>PONDERAZIONE DEL RISCHIO</t>
  </si>
  <si>
    <t>RISCHIO RESIDUO (ATTESO)</t>
  </si>
  <si>
    <t>ACTION PLAN</t>
  </si>
  <si>
    <t>Rilevabilità</t>
  </si>
  <si>
    <t>Impatto</t>
  </si>
  <si>
    <t>Indice di Rischio</t>
  </si>
  <si>
    <t>Responsabilità</t>
  </si>
  <si>
    <t>Risorse</t>
  </si>
  <si>
    <t>Priorità</t>
  </si>
  <si>
    <t>Data Inizio</t>
  </si>
  <si>
    <t>Monitoraggio</t>
  </si>
  <si>
    <t>Data fine</t>
  </si>
  <si>
    <t>CRESCITA DEL VALORE AZIENDALE</t>
  </si>
  <si>
    <t>Perdita di competitività</t>
  </si>
  <si>
    <t>media</t>
  </si>
  <si>
    <t>cliente</t>
  </si>
  <si>
    <t>individuare correttamente le richieste del cliente</t>
  </si>
  <si>
    <t>alta</t>
  </si>
  <si>
    <t>manutenzione</t>
  </si>
  <si>
    <t>bassa</t>
  </si>
  <si>
    <t>Indice del rischio</t>
  </si>
  <si>
    <t>livello di Rischio</t>
  </si>
  <si>
    <t>1 – 4</t>
  </si>
  <si>
    <t>LOW</t>
  </si>
  <si>
    <t>4: Critico: espone a rischio il business dell’intera Organizzazione</t>
  </si>
  <si>
    <t>4: Si manifesta solo dopo che l’evento è avvenuto</t>
  </si>
  <si>
    <t>3: Severo: compromette gli obiettivi di business dell’Organizzazione</t>
  </si>
  <si>
    <t>3: si manifesta in concomitanza dell’evento indesiderato</t>
  </si>
  <si>
    <t>MEDIUM</t>
  </si>
  <si>
    <t>2: Moderato: può ritardare il raggiungimento degli obiettivi di business dell’organizzazione</t>
  </si>
  <si>
    <t>2: si manifesta immediatamente prima dell’evento indesiderato; può essere mitigato se monitorato sistematicamente</t>
  </si>
  <si>
    <t>1: Minimo: nessun impatto sul business, ma può aumentare i costi e i tempi</t>
  </si>
  <si>
    <t>1: Si manifesta con adeguato anticipo dall’evento. Determinabile.</t>
  </si>
  <si>
    <t>HIGH</t>
  </si>
  <si>
    <t>Competenza del personale</t>
  </si>
  <si>
    <t>dipendenti</t>
  </si>
  <si>
    <t>fornitori</t>
  </si>
  <si>
    <t>GESTION DEL PROCESSO</t>
  </si>
  <si>
    <t>Definire una modalità di gestione delle competenze del personale ed un piano di crescita professionale individualizzato</t>
  </si>
  <si>
    <t>reclami</t>
  </si>
  <si>
    <t>ottemperare ai requisiti dei servizi</t>
  </si>
  <si>
    <t xml:space="preserve">FINALITA ED OBIETTIVI STRATEGICI DELL'ORGANIZZAZIONE </t>
  </si>
  <si>
    <t>SODDISFAZIONE DEL CLIENTE</t>
  </si>
  <si>
    <t>impatto</t>
  </si>
  <si>
    <t>Gestione delle risorse umane</t>
  </si>
  <si>
    <t>norme compotamentali</t>
  </si>
  <si>
    <t>innovazioni tecnologiche</t>
  </si>
  <si>
    <t>Proprietà</t>
  </si>
  <si>
    <t>Valori e comportamenti</t>
  </si>
  <si>
    <t>Sistemi di ascolto del cliente</t>
  </si>
  <si>
    <t>essere conformi alla normativa</t>
  </si>
  <si>
    <t>opportunità Item</t>
  </si>
  <si>
    <t>crescita in termini di fatturato</t>
  </si>
  <si>
    <t>Offerte sul territorio di interesse</t>
  </si>
  <si>
    <t>essere presenti con le proposte competitive</t>
  </si>
  <si>
    <t>RISCHIO
Item</t>
  </si>
  <si>
    <t>OPPORTUNITA'</t>
  </si>
  <si>
    <t xml:space="preserve">STRATEGIA PER COGLIERE LE OPPORTUNITA'
 </t>
  </si>
  <si>
    <t>PONDERAZIONE DELL'OPPORTUNITA'</t>
  </si>
  <si>
    <t>Indice opportunità</t>
  </si>
  <si>
    <t>livello di opportunità</t>
  </si>
  <si>
    <t>strategico</t>
  </si>
  <si>
    <t>1: Non strategico</t>
  </si>
  <si>
    <t>3: strategico; va monitorato</t>
  </si>
  <si>
    <t>2: poco strategico; non monitorato</t>
  </si>
  <si>
    <t>4:molto importante; da monitorare sistematicamente</t>
  </si>
  <si>
    <t>4: Alto: opportunità per il business dell’intera Organizzazione</t>
  </si>
  <si>
    <t>3: importante: permette di raggiungere gli obiettivi di business dell’Organizzazione</t>
  </si>
  <si>
    <t>2: Moderato: incide poco sul raggiungimento degli obiettivi di business dell’organizzazione</t>
  </si>
  <si>
    <t xml:space="preserve">1: Minimo: nessun impatto sul business, </t>
  </si>
  <si>
    <t>Indice di opportunità</t>
  </si>
  <si>
    <t xml:space="preserve">STRATEGIA PER AFFRONTARE IL RISCHIO
 </t>
  </si>
  <si>
    <t>diffondere la politica e i valori aziendali</t>
  </si>
  <si>
    <t>monitorare il livello di innovazione raggiunto</t>
  </si>
  <si>
    <t>definire un processo di gestione della compliance alle norme</t>
  </si>
  <si>
    <t>commerciale</t>
  </si>
  <si>
    <t>ore di formazione</t>
  </si>
  <si>
    <t>non previsto</t>
  </si>
  <si>
    <t>nc su requisiti</t>
  </si>
  <si>
    <t>ente preposto</t>
  </si>
  <si>
    <t>INDICATORE</t>
  </si>
  <si>
    <t>OBIETTIVO</t>
  </si>
  <si>
    <t>ACQUISTI</t>
  </si>
  <si>
    <t>MIGLIORAMENTO</t>
  </si>
  <si>
    <t>ATTIVITA'</t>
  </si>
  <si>
    <t>settembre</t>
  </si>
  <si>
    <t>ottobre</t>
  </si>
  <si>
    <t>novembre</t>
  </si>
  <si>
    <t>dicembre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</si>
  <si>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</si>
  <si>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</si>
  <si>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</si>
  <si>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</si>
  <si>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</si>
  <si>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</si>
  <si>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</si>
  <si>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</si>
  <si>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OBIETTIVO PREVISTO</t>
  </si>
  <si>
    <t>PIANO DI MIGLIORAMENTO AZIENDALE</t>
  </si>
  <si>
    <t>INDICATORI DI PROCESSO</t>
  </si>
  <si>
    <t>TABELLE DEI RISCHI ED OPPORTUNITA'</t>
  </si>
  <si>
    <t>Rev. 0 del 17.10.2018</t>
  </si>
  <si>
    <t>controllo magazzino e verifica funzionale delle attrezzature</t>
  </si>
  <si>
    <t>definire servizi qualitativi</t>
  </si>
  <si>
    <t>Direzione</t>
  </si>
  <si>
    <t>incremento fatturato</t>
  </si>
  <si>
    <t>N°</t>
  </si>
  <si>
    <t>PROCESSI</t>
  </si>
  <si>
    <t>ERRORI D'INSERIMENTO</t>
  </si>
  <si>
    <t>DISTRIBUZIONE QUESTIONARI</t>
  </si>
  <si>
    <t>MANUTENZIONE</t>
  </si>
  <si>
    <t>RISPETTO DELLE SCADENZE</t>
  </si>
  <si>
    <t>RIDUZIONE DEI COSTI</t>
  </si>
  <si>
    <t>TEMPI DI CONSEGNA</t>
  </si>
  <si>
    <t>RISPETTATI PER 80%</t>
  </si>
  <si>
    <t>ERRORI DI FORNITURA</t>
  </si>
  <si>
    <t>&lt; 10%</t>
  </si>
  <si>
    <t>incremento del fatturato</t>
  </si>
  <si>
    <t>4-6 mesi</t>
  </si>
  <si>
    <t>CONTESTO AZIENDALE</t>
  </si>
  <si>
    <t>DIMENSIONI DEL CONTESTO</t>
  </si>
  <si>
    <t>FATTORI DEL CONTESTO</t>
  </si>
  <si>
    <t>ISTITUZIONI</t>
  </si>
  <si>
    <t>BUSINESS PARTNER</t>
  </si>
  <si>
    <t>LAVORATORI</t>
  </si>
  <si>
    <t>FORNITORI</t>
  </si>
  <si>
    <t>VALUTAZIONI</t>
  </si>
  <si>
    <t>DIREZIONE</t>
  </si>
  <si>
    <t>ESTERNI</t>
  </si>
  <si>
    <t>Politica e Istituzioni</t>
  </si>
  <si>
    <t>1)Politiche del Governo, delle Regioni e azioni dei Partiti</t>
  </si>
  <si>
    <t>Norme e regolamentazione</t>
  </si>
  <si>
    <t>3) Regolazione Nazionale</t>
  </si>
  <si>
    <t>4) Regolazione Regionale</t>
  </si>
  <si>
    <t>Innovazioni tecnologiche</t>
  </si>
  <si>
    <t>8) Innovazioni tecnologiche</t>
  </si>
  <si>
    <t>Sistema della fornitura e Sistema socio economico</t>
  </si>
  <si>
    <t>11) concorrenza sul territorio di interesse</t>
  </si>
  <si>
    <t>15) Sistema produttivo</t>
  </si>
  <si>
    <t>INTERNI</t>
  </si>
  <si>
    <t>17) Valori e comportamenti auspicate</t>
  </si>
  <si>
    <t>18) Cultura aziendale radicata nelle prassi quotidiane</t>
  </si>
  <si>
    <t>Struttura Organizzativa, Processi, Servizi</t>
  </si>
  <si>
    <t>21) Relazioni tra i responsabili dell'organizzazione</t>
  </si>
  <si>
    <t>22) Erogazione del servizio</t>
  </si>
  <si>
    <t>Sistemi informativi</t>
  </si>
  <si>
    <t>23) Sistema HW, SW e reti di comunicazione</t>
  </si>
  <si>
    <t>24) Archivi e sicurezza</t>
  </si>
  <si>
    <t>Rapporti con il Cliente</t>
  </si>
  <si>
    <t>25) Sistemi di ascolto del cliente</t>
  </si>
  <si>
    <t>26) Comunicazione esterna</t>
  </si>
  <si>
    <t>Gestione Risorse umane</t>
  </si>
  <si>
    <t>27) Politiche di sicurezza e tutela</t>
  </si>
  <si>
    <t>28) Piani di reclutamento e formazione</t>
  </si>
  <si>
    <t>29) competenza del personale</t>
  </si>
  <si>
    <t>Impianti e strumentazioni</t>
  </si>
  <si>
    <t>30) Obsolescenza / manutenzione</t>
  </si>
  <si>
    <t>31) Tipologia</t>
  </si>
  <si>
    <t>Politiche di sicurezza e tutela</t>
  </si>
  <si>
    <t>garantire la sicurezza a utenti e personale</t>
  </si>
  <si>
    <t>verifica</t>
  </si>
  <si>
    <t>miglioramento dell'organizzazione</t>
  </si>
  <si>
    <t>Probabilità</t>
  </si>
  <si>
    <t>ORE DIFORMAZIONE</t>
  </si>
  <si>
    <t>RECLAMI</t>
  </si>
  <si>
    <t>&lt; 5</t>
  </si>
  <si>
    <t>N° NC</t>
  </si>
  <si>
    <t>&lt;10</t>
  </si>
  <si>
    <t xml:space="preserve">CLIENTI </t>
  </si>
  <si>
    <t>Come per ogni azienda le politiche del governo e dalla politica nazionale possono influenzare con le varie manovre l'attività dell'azienda</t>
  </si>
  <si>
    <t xml:space="preserve">Le attività di verifica da parte dell'enti di controllo impattano significatamente sulla sotenibilità della struttura </t>
  </si>
  <si>
    <t xml:space="preserve">La crescita aziendale e lo sviluppo su mercato nazionale con il riferimento a grossi clienti fa si che il confronto con la concorrenza diventa elemento di attenzione e analisi. Le parti interessate coinvolte sono principalmente la direzione e i clienti </t>
  </si>
  <si>
    <t>L'attenzione della direzione al miglioramento del proprio modello organizzativo al fine di adeguare il sistema produttivo all'esigenza del mercato e dei clienti che richiedono sempre più qualifiche ecompetenze.</t>
  </si>
  <si>
    <t xml:space="preserve">La direzione punta molto sulla crescita della cultura aziendale e sui comportamenti del personale. Al fine di supportare la crescita del sistema produttivo aziendale </t>
  </si>
  <si>
    <t>Importante stabilire un ottimo rapporto di collaborazione tra le varie funzioni. Il buon esito dell'attività dipende da una buona pianificazione ed organizzazione gestionale</t>
  </si>
  <si>
    <t>Cultura aziendale e valori</t>
  </si>
  <si>
    <t>è uno dei fatori importanti per la gestione del cliente e per l'ottimizzazione del processo lavorativo</t>
  </si>
  <si>
    <t xml:space="preserve">l'emergenza sanitaria COVID si è conclusa, ma rimane alta l'attenzione per eventuali focolai o casi che possono comunque creare problemi sul lavoro. Sull'esperienza del Covid la Direzione ha attenzionato maggiormente la sicurezza sul lavoro.  </t>
  </si>
  <si>
    <t xml:space="preserve">Importante l'individuazione delle risorse in quanto il buon esito del processo lavorativo si basa anche sulle competenze del personale. </t>
  </si>
  <si>
    <t>L'efficienza delle attrezzature come ad es: le celle o la linea di confezionamento sono aspetti importanti per evitare disguidi o ritardi sulle consegne</t>
  </si>
  <si>
    <t>Mantemere la proposta del prodotto e del servizio  adeguata alle richieste del mercato</t>
  </si>
  <si>
    <t>operatori</t>
  </si>
  <si>
    <t>basso livello di gradimento/ritiro del prodotto</t>
  </si>
  <si>
    <t>non corretta identificazione del prodotto</t>
  </si>
  <si>
    <t>non corretta conservazione/confezionamento del prodotto</t>
  </si>
  <si>
    <t>garantire il rispetto dei requisiti del prodotto</t>
  </si>
  <si>
    <t>mancanza di imballaggi o carenza di manutenzione</t>
  </si>
  <si>
    <t>processo di produzione</t>
  </si>
  <si>
    <t>gestione delle risorse</t>
  </si>
  <si>
    <t>10) gestione materie prime</t>
  </si>
  <si>
    <t>le innovazioni tecnologiche ed il confronto con il sistema produttivo del terrritorio impattano significativamente sulla sostenibilità della struttura in quanto sono alla base del livello qualitativo del servizio e riguardano in particolare la conservazione e confezionamento del prodotto. le capacità di individuare fornitori è fondamentale</t>
  </si>
  <si>
    <t>incidenti sul lavoro</t>
  </si>
  <si>
    <t xml:space="preserve">0 incidenti su lavoro </t>
  </si>
  <si>
    <t>applicazione delle disposizioni sulla sicurezza</t>
  </si>
  <si>
    <t>definire modalità di gestione del processo</t>
  </si>
  <si>
    <t>adeguare la documentazione di processo</t>
  </si>
  <si>
    <t>CRESCITA AZIENDALE</t>
  </si>
  <si>
    <t>ascolto del cliente</t>
  </si>
  <si>
    <t>maggiore presenza sul mercato di riferimento</t>
  </si>
  <si>
    <t>acquisizione clienti importanti</t>
  </si>
  <si>
    <t>5– 8</t>
  </si>
  <si>
    <t>9 – 16</t>
  </si>
  <si>
    <t>Aggiornato al 30.07.2023</t>
  </si>
  <si>
    <t>Aggiornato al 20.07.2023</t>
  </si>
  <si>
    <t>esterndere la presenza sul territorio di riferimento attraverso attività commerciali</t>
  </si>
  <si>
    <t>incremento clienti nuovi</t>
  </si>
  <si>
    <t>Amministrazione</t>
  </si>
  <si>
    <t>resp. operativo</t>
  </si>
  <si>
    <t>Rivelabilità</t>
  </si>
  <si>
    <t>PRESA IN CARICO ORDINI</t>
  </si>
  <si>
    <t>TEMPI INSERIMENTO</t>
  </si>
  <si>
    <t>% DI SCARTI</t>
  </si>
  <si>
    <t>ESECUZIONE PROCESSO</t>
  </si>
  <si>
    <t>% DI ORDINI NON COMPLETI</t>
  </si>
  <si>
    <t>N° DI INCIDENTI</t>
  </si>
  <si>
    <t>completamento dei processI</t>
  </si>
  <si>
    <t>Sviluppo dello stabilimento</t>
  </si>
  <si>
    <t>lavori di ampliamento</t>
  </si>
  <si>
    <t>acquisire nuovi spazi</t>
  </si>
  <si>
    <t>n° di incidenti</t>
  </si>
  <si>
    <t>n° di prove di tracciabilità con esito positivo</t>
  </si>
  <si>
    <t>PROVE DI TRACCIABILITA' CON ESITO POSITIVO</t>
  </si>
  <si>
    <t>non corretta applicazione della normativa alimentare</t>
  </si>
  <si>
    <t xml:space="preserve">Regolamentazione </t>
  </si>
  <si>
    <t>le indicazioni del ministero e le varie normative nazionali regolamentano le modalità di gestione dei dipendenti e la commercializzazione</t>
  </si>
  <si>
    <t xml:space="preserve">la gestione della documentazione è uno degli aspetti importanti ai fini della rintracciabilità dei documenti; lo sviluppo informatico  e la digitalizzazione saranno i futuri impegni dell'azienda.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</si>
</sst>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2"/>
      <color theme="1"/>
      <name val="Tahoma"/>
      <charset val="134"/>
    </font>
    <font>
      <b/>
      <i/>
      <sz val="12"/>
      <color theme="1"/>
      <name val="Tahoma"/>
      <charset val="134"/>
    </font>
    <font>
      <i/>
      <sz val="12"/>
      <color theme="1"/>
      <name val="Tahoma"/>
      <charset val="134"/>
    </font>
    <font>
      <sz val="12"/>
      <color theme="1"/>
      <name val="Times New Roman"/>
      <charset val="134"/>
    </font>
    <font>
      <sz val="11"/>
      <name val="Calibri"/>
      <charset val="134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ahoma"/>
      <family val="2"/>
    </font>
    <font>
      <sz val="10"/>
      <color theme="1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sz val="9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8"/>
      <color theme="1"/>
      <name val="Trebuchet MS"/>
      <family val="2"/>
    </font>
    <font>
      <sz val="8"/>
      <color theme="1"/>
      <name val="Arial"/>
      <family val="2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7"/>
      <color rgb="FFFF0000"/>
      <name val="Times New Roman"/>
      <family val="1"/>
    </font>
    <font>
      <sz val="11"/>
      <name val="Calibri"/>
      <family val="2"/>
      <scheme val="minor"/>
    </font>
    <font>
      <b/>
      <i/>
      <sz val="12"/>
      <color theme="1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FABAB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8DB3E1"/>
        <bgColor indexed="64"/>
      </patternFill>
    </fill>
    <fill>
      <patternFill patternType="solid">
        <fgColor rgb="FF8EAADB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0" fontId="27" fillId="0" borderId="0"/>
  </cellStyleXfs>
  <cellXfs count="257">
    <xf numFmtId="0" fontId="0" fillId="0" borderId="0" xfId="0"/>
    <xf numFmtId="0" fontId="0" fillId="0" borderId="1" xfId="0" applyBorder="1"/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3" xfId="0" applyFill="1" applyBorder="1"/>
    <xf numFmtId="0" fontId="0" fillId="0" borderId="3" xfId="0" applyBorder="1"/>
    <xf numFmtId="0" fontId="0" fillId="2" borderId="10" xfId="0" applyFill="1" applyBorder="1"/>
    <xf numFmtId="0" fontId="0" fillId="4" borderId="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4" fillId="8" borderId="12" xfId="0" applyFont="1" applyFill="1" applyBorder="1" applyAlignment="1">
      <alignment horizontal="justify" wrapText="1"/>
    </xf>
    <xf numFmtId="0" fontId="14" fillId="8" borderId="13" xfId="0" applyFont="1" applyFill="1" applyBorder="1" applyAlignment="1">
      <alignment horizontal="justify" wrapText="1"/>
    </xf>
    <xf numFmtId="0" fontId="14" fillId="9" borderId="0" xfId="0" applyFont="1" applyFill="1" applyAlignment="1">
      <alignment horizontal="justify"/>
    </xf>
    <xf numFmtId="0" fontId="17" fillId="0" borderId="0" xfId="0" applyFont="1" applyAlignment="1">
      <alignment horizontal="justify"/>
    </xf>
    <xf numFmtId="0" fontId="17" fillId="0" borderId="0" xfId="0" applyFont="1" applyAlignment="1">
      <alignment horizontal="justify" vertical="top"/>
    </xf>
    <xf numFmtId="0" fontId="17" fillId="0" borderId="0" xfId="0" applyFont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0" fillId="16" borderId="22" xfId="0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0" fillId="0" borderId="22" xfId="0" applyBorder="1"/>
    <xf numFmtId="0" fontId="0" fillId="13" borderId="21" xfId="0" applyFill="1" applyBorder="1"/>
    <xf numFmtId="0" fontId="0" fillId="12" borderId="1" xfId="0" applyFill="1" applyBorder="1"/>
    <xf numFmtId="0" fontId="0" fillId="12" borderId="21" xfId="0" applyFill="1" applyBorder="1"/>
    <xf numFmtId="0" fontId="0" fillId="10" borderId="1" xfId="0" applyFill="1" applyBorder="1"/>
    <xf numFmtId="0" fontId="0" fillId="10" borderId="21" xfId="0" applyFill="1" applyBorder="1"/>
    <xf numFmtId="0" fontId="10" fillId="0" borderId="3" xfId="0" applyFont="1" applyBorder="1" applyAlignment="1">
      <alignment horizontal="center" vertical="center"/>
    </xf>
    <xf numFmtId="14" fontId="0" fillId="0" borderId="3" xfId="0" applyNumberFormat="1" applyBorder="1"/>
    <xf numFmtId="14" fontId="0" fillId="0" borderId="21" xfId="0" applyNumberFormat="1" applyBorder="1"/>
    <xf numFmtId="0" fontId="18" fillId="12" borderId="21" xfId="0" applyFont="1" applyFill="1" applyBorder="1"/>
    <xf numFmtId="0" fontId="9" fillId="0" borderId="22" xfId="0" applyFont="1" applyBorder="1"/>
    <xf numFmtId="0" fontId="9" fillId="0" borderId="3" xfId="0" applyFont="1" applyBorder="1"/>
    <xf numFmtId="0" fontId="19" fillId="7" borderId="1" xfId="1" applyFont="1" applyFill="1" applyBorder="1" applyAlignment="1">
      <alignment horizontal="center" vertical="center"/>
    </xf>
    <xf numFmtId="0" fontId="8" fillId="3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/>
    </xf>
    <xf numFmtId="0" fontId="8" fillId="4" borderId="1" xfId="0" applyFont="1" applyFill="1" applyBorder="1"/>
    <xf numFmtId="0" fontId="8" fillId="5" borderId="3" xfId="0" applyFont="1" applyFill="1" applyBorder="1"/>
    <xf numFmtId="0" fontId="8" fillId="0" borderId="3" xfId="0" applyFont="1" applyBorder="1"/>
    <xf numFmtId="0" fontId="8" fillId="0" borderId="0" xfId="0" applyFont="1"/>
    <xf numFmtId="0" fontId="8" fillId="0" borderId="1" xfId="0" applyFont="1" applyBorder="1" applyAlignment="1">
      <alignment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0" fontId="20" fillId="14" borderId="19" xfId="0" applyFont="1" applyFill="1" applyBorder="1" applyAlignment="1">
      <alignment horizontal="center" wrapText="1"/>
    </xf>
    <xf numFmtId="0" fontId="23" fillId="0" borderId="0" xfId="0" applyFont="1" applyAlignment="1">
      <alignment horizontal="justify"/>
    </xf>
    <xf numFmtId="0" fontId="24" fillId="8" borderId="12" xfId="0" applyFont="1" applyFill="1" applyBorder="1" applyAlignment="1">
      <alignment horizontal="justify" wrapText="1"/>
    </xf>
    <xf numFmtId="0" fontId="24" fillId="8" borderId="13" xfId="0" applyFont="1" applyFill="1" applyBorder="1" applyAlignment="1">
      <alignment horizontal="justify" wrapText="1"/>
    </xf>
    <xf numFmtId="0" fontId="24" fillId="9" borderId="0" xfId="0" applyFont="1" applyFill="1" applyAlignment="1">
      <alignment horizontal="justify"/>
    </xf>
    <xf numFmtId="0" fontId="23" fillId="0" borderId="0" xfId="0" applyFont="1" applyAlignment="1">
      <alignment wrapText="1"/>
    </xf>
    <xf numFmtId="0" fontId="23" fillId="0" borderId="0" xfId="0" applyFont="1" applyAlignment="1">
      <alignment horizontal="justify" vertical="top"/>
    </xf>
    <xf numFmtId="0" fontId="21" fillId="0" borderId="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8" fillId="0" borderId="22" xfId="0" applyFont="1" applyBorder="1"/>
    <xf numFmtId="0" fontId="8" fillId="0" borderId="1" xfId="0" applyFont="1" applyBorder="1"/>
    <xf numFmtId="0" fontId="8" fillId="0" borderId="3" xfId="0" applyFont="1" applyBorder="1" applyAlignment="1">
      <alignment vertical="top" wrapText="1"/>
    </xf>
    <xf numFmtId="0" fontId="7" fillId="5" borderId="3" xfId="0" applyFont="1" applyFill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6" fillId="0" borderId="3" xfId="0" applyFont="1" applyBorder="1" applyAlignment="1">
      <alignment vertical="center" wrapText="1"/>
    </xf>
    <xf numFmtId="0" fontId="6" fillId="0" borderId="0" xfId="0" applyFont="1"/>
    <xf numFmtId="0" fontId="26" fillId="0" borderId="0" xfId="0" applyFont="1"/>
    <xf numFmtId="0" fontId="6" fillId="0" borderId="1" xfId="0" applyFont="1" applyBorder="1" applyAlignment="1">
      <alignment horizontal="center"/>
    </xf>
    <xf numFmtId="0" fontId="6" fillId="0" borderId="3" xfId="0" applyFont="1" applyBorder="1"/>
    <xf numFmtId="0" fontId="21" fillId="15" borderId="11" xfId="0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0" fillId="0" borderId="23" xfId="0" applyBorder="1"/>
    <xf numFmtId="0" fontId="5" fillId="0" borderId="22" xfId="0" applyFont="1" applyBorder="1"/>
    <xf numFmtId="0" fontId="5" fillId="0" borderId="1" xfId="0" applyFont="1" applyBorder="1"/>
    <xf numFmtId="0" fontId="27" fillId="0" borderId="0" xfId="2"/>
    <xf numFmtId="0" fontId="30" fillId="18" borderId="1" xfId="2" applyFont="1" applyFill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/>
    </xf>
    <xf numFmtId="0" fontId="31" fillId="0" borderId="1" xfId="2" applyFont="1" applyBorder="1" applyAlignment="1">
      <alignment vertical="center"/>
    </xf>
    <xf numFmtId="0" fontId="31" fillId="0" borderId="28" xfId="2" applyFont="1" applyBorder="1" applyAlignment="1">
      <alignment horizontal="center" vertical="center"/>
    </xf>
    <xf numFmtId="0" fontId="31" fillId="0" borderId="28" xfId="2" applyFont="1" applyBorder="1" applyAlignment="1">
      <alignment vertical="center"/>
    </xf>
    <xf numFmtId="0" fontId="31" fillId="0" borderId="0" xfId="2" applyFont="1" applyAlignment="1">
      <alignment horizontal="center" vertical="center"/>
    </xf>
    <xf numFmtId="0" fontId="19" fillId="7" borderId="5" xfId="1" applyFont="1" applyFill="1" applyBorder="1" applyAlignment="1">
      <alignment horizontal="center" vertical="center"/>
    </xf>
    <xf numFmtId="0" fontId="33" fillId="19" borderId="30" xfId="0" applyFont="1" applyFill="1" applyBorder="1" applyAlignment="1">
      <alignment vertical="center" textRotation="90" wrapText="1"/>
    </xf>
    <xf numFmtId="0" fontId="35" fillId="19" borderId="36" xfId="0" applyFont="1" applyFill="1" applyBorder="1" applyAlignment="1">
      <alignment vertical="center" wrapText="1"/>
    </xf>
    <xf numFmtId="0" fontId="33" fillId="20" borderId="36" xfId="0" applyFont="1" applyFill="1" applyBorder="1" applyAlignment="1">
      <alignment vertical="center" wrapText="1"/>
    </xf>
    <xf numFmtId="0" fontId="33" fillId="21" borderId="36" xfId="0" applyFont="1" applyFill="1" applyBorder="1" applyAlignment="1">
      <alignment vertical="center" wrapText="1"/>
    </xf>
    <xf numFmtId="0" fontId="33" fillId="22" borderId="36" xfId="0" applyFont="1" applyFill="1" applyBorder="1" applyAlignment="1">
      <alignment vertical="center" wrapText="1"/>
    </xf>
    <xf numFmtId="0" fontId="33" fillId="0" borderId="36" xfId="0" applyFont="1" applyBorder="1" applyAlignment="1">
      <alignment vertical="center" wrapText="1"/>
    </xf>
    <xf numFmtId="0" fontId="35" fillId="19" borderId="37" xfId="0" applyFont="1" applyFill="1" applyBorder="1" applyAlignment="1">
      <alignment vertical="center" wrapText="1"/>
    </xf>
    <xf numFmtId="0" fontId="33" fillId="13" borderId="37" xfId="0" applyFont="1" applyFill="1" applyBorder="1" applyAlignment="1">
      <alignment vertical="center" wrapText="1"/>
    </xf>
    <xf numFmtId="0" fontId="33" fillId="22" borderId="37" xfId="0" applyFont="1" applyFill="1" applyBorder="1" applyAlignment="1">
      <alignment vertical="center" wrapText="1"/>
    </xf>
    <xf numFmtId="0" fontId="33" fillId="0" borderId="37" xfId="0" applyFont="1" applyBorder="1" applyAlignment="1">
      <alignment vertical="center" wrapText="1"/>
    </xf>
    <xf numFmtId="0" fontId="33" fillId="20" borderId="37" xfId="0" applyFont="1" applyFill="1" applyBorder="1" applyAlignment="1">
      <alignment vertical="center" wrapText="1"/>
    </xf>
    <xf numFmtId="0" fontId="33" fillId="21" borderId="37" xfId="0" applyFont="1" applyFill="1" applyBorder="1" applyAlignment="1">
      <alignment vertical="center" wrapText="1"/>
    </xf>
    <xf numFmtId="0" fontId="33" fillId="23" borderId="37" xfId="0" applyFont="1" applyFill="1" applyBorder="1" applyAlignment="1">
      <alignment vertical="center" wrapText="1"/>
    </xf>
    <xf numFmtId="0" fontId="38" fillId="0" borderId="37" xfId="0" applyFont="1" applyBorder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left"/>
    </xf>
    <xf numFmtId="0" fontId="4" fillId="0" borderId="1" xfId="0" applyFont="1" applyBorder="1"/>
    <xf numFmtId="0" fontId="6" fillId="12" borderId="1" xfId="0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10" fontId="31" fillId="0" borderId="1" xfId="2" applyNumberFormat="1" applyFont="1" applyBorder="1" applyAlignment="1">
      <alignment horizontal="center" vertical="center"/>
    </xf>
    <xf numFmtId="9" fontId="31" fillId="0" borderId="1" xfId="2" applyNumberFormat="1" applyFont="1" applyBorder="1" applyAlignment="1">
      <alignment horizontal="center" vertical="center"/>
    </xf>
    <xf numFmtId="0" fontId="33" fillId="13" borderId="29" xfId="0" applyFont="1" applyFill="1" applyBorder="1" applyAlignment="1">
      <alignment vertical="center" wrapText="1"/>
    </xf>
    <xf numFmtId="0" fontId="33" fillId="0" borderId="29" xfId="0" applyFont="1" applyBorder="1" applyAlignment="1">
      <alignment vertical="center" wrapText="1"/>
    </xf>
    <xf numFmtId="0" fontId="3" fillId="0" borderId="1" xfId="0" applyFont="1" applyBorder="1"/>
    <xf numFmtId="0" fontId="2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3" borderId="1" xfId="0" applyFont="1" applyFill="1" applyBorder="1"/>
    <xf numFmtId="0" fontId="2" fillId="0" borderId="3" xfId="0" applyFont="1" applyBorder="1"/>
    <xf numFmtId="0" fontId="2" fillId="0" borderId="22" xfId="0" applyFont="1" applyBorder="1"/>
    <xf numFmtId="0" fontId="39" fillId="13" borderId="21" xfId="0" applyFont="1" applyFill="1" applyBorder="1"/>
    <xf numFmtId="0" fontId="2" fillId="2" borderId="2" xfId="0" applyFont="1" applyFill="1" applyBorder="1"/>
    <xf numFmtId="0" fontId="2" fillId="0" borderId="0" xfId="0" applyFont="1"/>
    <xf numFmtId="0" fontId="2" fillId="0" borderId="22" xfId="0" applyFont="1" applyBorder="1" applyAlignment="1">
      <alignment wrapText="1"/>
    </xf>
    <xf numFmtId="0" fontId="2" fillId="0" borderId="1" xfId="0" applyFont="1" applyBorder="1"/>
    <xf numFmtId="0" fontId="6" fillId="12" borderId="1" xfId="0" applyFont="1" applyFill="1" applyBorder="1"/>
    <xf numFmtId="0" fontId="2" fillId="0" borderId="24" xfId="0" applyFont="1" applyBorder="1"/>
    <xf numFmtId="0" fontId="1" fillId="0" borderId="3" xfId="0" applyFont="1" applyBorder="1" applyAlignment="1">
      <alignment wrapText="1"/>
    </xf>
    <xf numFmtId="0" fontId="1" fillId="4" borderId="1" xfId="0" applyFont="1" applyFill="1" applyBorder="1"/>
    <xf numFmtId="0" fontId="32" fillId="19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0" fontId="33" fillId="19" borderId="29" xfId="0" applyFont="1" applyFill="1" applyBorder="1" applyAlignment="1">
      <alignment vertical="center" wrapText="1"/>
    </xf>
    <xf numFmtId="0" fontId="33" fillId="19" borderId="32" xfId="0" applyFont="1" applyFill="1" applyBorder="1" applyAlignment="1">
      <alignment vertical="center" wrapText="1"/>
    </xf>
    <xf numFmtId="0" fontId="33" fillId="19" borderId="34" xfId="0" applyFont="1" applyFill="1" applyBorder="1" applyAlignment="1">
      <alignment vertical="center" wrapText="1"/>
    </xf>
    <xf numFmtId="0" fontId="34" fillId="19" borderId="29" xfId="0" applyFont="1" applyFill="1" applyBorder="1" applyAlignment="1">
      <alignment horizontal="center" vertical="center" wrapText="1"/>
    </xf>
    <xf numFmtId="0" fontId="34" fillId="19" borderId="32" xfId="0" applyFont="1" applyFill="1" applyBorder="1" applyAlignment="1">
      <alignment horizontal="center" vertical="center" wrapText="1"/>
    </xf>
    <xf numFmtId="0" fontId="34" fillId="19" borderId="34" xfId="0" applyFont="1" applyFill="1" applyBorder="1" applyAlignment="1">
      <alignment horizontal="center" vertical="center" wrapText="1"/>
    </xf>
    <xf numFmtId="0" fontId="35" fillId="19" borderId="29" xfId="0" applyFont="1" applyFill="1" applyBorder="1" applyAlignment="1">
      <alignment horizontal="center" vertical="center" textRotation="90" wrapText="1"/>
    </xf>
    <xf numFmtId="0" fontId="35" fillId="19" borderId="32" xfId="0" applyFont="1" applyFill="1" applyBorder="1" applyAlignment="1">
      <alignment horizontal="center" vertical="center" textRotation="90" wrapText="1"/>
    </xf>
    <xf numFmtId="0" fontId="35" fillId="19" borderId="34" xfId="0" applyFont="1" applyFill="1" applyBorder="1" applyAlignment="1">
      <alignment horizontal="center" vertical="center" textRotation="90" wrapText="1"/>
    </xf>
    <xf numFmtId="0" fontId="35" fillId="19" borderId="31" xfId="0" applyFont="1" applyFill="1" applyBorder="1" applyAlignment="1">
      <alignment horizontal="center" vertical="center" textRotation="90" wrapText="1"/>
    </xf>
    <xf numFmtId="0" fontId="35" fillId="19" borderId="33" xfId="0" applyFont="1" applyFill="1" applyBorder="1" applyAlignment="1">
      <alignment horizontal="center" vertical="center" textRotation="90" wrapText="1"/>
    </xf>
    <xf numFmtId="0" fontId="35" fillId="19" borderId="35" xfId="0" applyFont="1" applyFill="1" applyBorder="1" applyAlignment="1">
      <alignment horizontal="center" vertical="center" textRotation="90" wrapText="1"/>
    </xf>
    <xf numFmtId="0" fontId="36" fillId="19" borderId="1" xfId="0" applyFont="1" applyFill="1" applyBorder="1" applyAlignment="1">
      <alignment horizontal="center" vertical="center"/>
    </xf>
    <xf numFmtId="0" fontId="37" fillId="19" borderId="29" xfId="0" applyFont="1" applyFill="1" applyBorder="1" applyAlignment="1">
      <alignment horizontal="center" vertical="center" textRotation="90" wrapText="1"/>
    </xf>
    <xf numFmtId="0" fontId="37" fillId="19" borderId="32" xfId="0" applyFont="1" applyFill="1" applyBorder="1" applyAlignment="1">
      <alignment horizontal="center" vertical="center" textRotation="90" wrapText="1"/>
    </xf>
    <xf numFmtId="0" fontId="37" fillId="19" borderId="34" xfId="0" applyFont="1" applyFill="1" applyBorder="1" applyAlignment="1">
      <alignment horizontal="center" vertical="center" textRotation="90" wrapText="1"/>
    </xf>
    <xf numFmtId="0" fontId="2" fillId="19" borderId="1" xfId="0" applyFont="1" applyFill="1" applyBorder="1" applyAlignment="1">
      <alignment horizontal="center" wrapText="1"/>
    </xf>
    <xf numFmtId="0" fontId="0" fillId="19" borderId="1" xfId="0" applyFill="1" applyBorder="1" applyAlignment="1">
      <alignment horizontal="center" wrapText="1"/>
    </xf>
    <xf numFmtId="0" fontId="35" fillId="19" borderId="29" xfId="0" applyFont="1" applyFill="1" applyBorder="1" applyAlignment="1">
      <alignment horizontal="center" vertical="center" wrapText="1"/>
    </xf>
    <xf numFmtId="0" fontId="35" fillId="19" borderId="32" xfId="0" applyFont="1" applyFill="1" applyBorder="1" applyAlignment="1">
      <alignment horizontal="center" vertical="center" wrapText="1"/>
    </xf>
    <xf numFmtId="0" fontId="35" fillId="19" borderId="34" xfId="0" applyFont="1" applyFill="1" applyBorder="1" applyAlignment="1">
      <alignment horizontal="center" vertical="center" wrapText="1"/>
    </xf>
    <xf numFmtId="0" fontId="35" fillId="19" borderId="29" xfId="0" applyFont="1" applyFill="1" applyBorder="1" applyAlignment="1">
      <alignment vertical="center" wrapText="1"/>
    </xf>
    <xf numFmtId="0" fontId="35" fillId="19" borderId="34" xfId="0" applyFont="1" applyFill="1" applyBorder="1" applyAlignment="1">
      <alignment vertical="center" wrapText="1"/>
    </xf>
    <xf numFmtId="0" fontId="33" fillId="23" borderId="29" xfId="0" applyFont="1" applyFill="1" applyBorder="1" applyAlignment="1">
      <alignment vertical="center" wrapText="1"/>
    </xf>
    <xf numFmtId="0" fontId="33" fillId="23" borderId="34" xfId="0" applyFont="1" applyFill="1" applyBorder="1" applyAlignment="1">
      <alignment vertical="center" wrapText="1"/>
    </xf>
    <xf numFmtId="0" fontId="33" fillId="13" borderId="29" xfId="0" applyFont="1" applyFill="1" applyBorder="1" applyAlignment="1">
      <alignment vertical="center" wrapText="1"/>
    </xf>
    <xf numFmtId="0" fontId="33" fillId="13" borderId="34" xfId="0" applyFont="1" applyFill="1" applyBorder="1" applyAlignment="1">
      <alignment vertical="center" wrapText="1"/>
    </xf>
    <xf numFmtId="0" fontId="33" fillId="0" borderId="29" xfId="0" applyFont="1" applyBorder="1" applyAlignment="1">
      <alignment vertical="center" wrapText="1"/>
    </xf>
    <xf numFmtId="0" fontId="33" fillId="0" borderId="34" xfId="0" applyFont="1" applyBorder="1" applyAlignment="1">
      <alignment vertical="center" wrapText="1"/>
    </xf>
    <xf numFmtId="0" fontId="33" fillId="22" borderId="29" xfId="0" applyFont="1" applyFill="1" applyBorder="1" applyAlignment="1">
      <alignment vertical="center" wrapText="1"/>
    </xf>
    <xf numFmtId="0" fontId="33" fillId="22" borderId="34" xfId="0" applyFont="1" applyFill="1" applyBorder="1" applyAlignment="1">
      <alignment vertical="center" wrapText="1"/>
    </xf>
    <xf numFmtId="0" fontId="1" fillId="19" borderId="1" xfId="0" applyFont="1" applyFill="1" applyBorder="1" applyAlignment="1">
      <alignment horizontal="center" wrapText="1"/>
    </xf>
    <xf numFmtId="0" fontId="4" fillId="19" borderId="1" xfId="0" applyFont="1" applyFill="1" applyBorder="1" applyAlignment="1">
      <alignment horizontal="center" wrapText="1"/>
    </xf>
    <xf numFmtId="0" fontId="2" fillId="19" borderId="38" xfId="0" applyFont="1" applyFill="1" applyBorder="1" applyAlignment="1">
      <alignment horizontal="center" vertical="center" wrapText="1"/>
    </xf>
    <xf numFmtId="0" fontId="4" fillId="19" borderId="28" xfId="0" applyFont="1" applyFill="1" applyBorder="1" applyAlignment="1">
      <alignment horizontal="center" vertical="center" wrapText="1"/>
    </xf>
    <xf numFmtId="0" fontId="4" fillId="19" borderId="39" xfId="0" applyFont="1" applyFill="1" applyBorder="1" applyAlignment="1">
      <alignment horizontal="center" vertical="center" wrapText="1"/>
    </xf>
    <xf numFmtId="0" fontId="4" fillId="19" borderId="33" xfId="0" applyFont="1" applyFill="1" applyBorder="1" applyAlignment="1">
      <alignment horizontal="center" vertical="center" wrapText="1"/>
    </xf>
    <xf numFmtId="0" fontId="4" fillId="19" borderId="0" xfId="0" applyFont="1" applyFill="1" applyAlignment="1">
      <alignment horizontal="center" vertical="center" wrapText="1"/>
    </xf>
    <xf numFmtId="0" fontId="4" fillId="19" borderId="40" xfId="0" applyFont="1" applyFill="1" applyBorder="1" applyAlignment="1">
      <alignment horizontal="center" vertical="center" wrapText="1"/>
    </xf>
    <xf numFmtId="0" fontId="4" fillId="19" borderId="41" xfId="0" applyFont="1" applyFill="1" applyBorder="1" applyAlignment="1">
      <alignment horizontal="center" vertical="center" wrapText="1"/>
    </xf>
    <xf numFmtId="0" fontId="4" fillId="19" borderId="25" xfId="0" applyFont="1" applyFill="1" applyBorder="1" applyAlignment="1">
      <alignment horizontal="center" vertical="center" wrapText="1"/>
    </xf>
    <xf numFmtId="0" fontId="4" fillId="19" borderId="42" xfId="0" applyFont="1" applyFill="1" applyBorder="1" applyAlignment="1">
      <alignment horizontal="center" vertical="center" wrapText="1"/>
    </xf>
    <xf numFmtId="0" fontId="33" fillId="21" borderId="29" xfId="0" applyFont="1" applyFill="1" applyBorder="1" applyAlignment="1">
      <alignment vertical="center" wrapText="1"/>
    </xf>
    <xf numFmtId="0" fontId="33" fillId="21" borderId="34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33" fillId="20" borderId="29" xfId="0" applyFont="1" applyFill="1" applyBorder="1" applyAlignment="1">
      <alignment vertical="center" wrapText="1"/>
    </xf>
    <xf numFmtId="0" fontId="33" fillId="20" borderId="34" xfId="0" applyFont="1" applyFill="1" applyBorder="1" applyAlignment="1">
      <alignment vertical="center" wrapText="1"/>
    </xf>
    <xf numFmtId="0" fontId="1" fillId="19" borderId="38" xfId="0" applyFont="1" applyFill="1" applyBorder="1" applyAlignment="1">
      <alignment horizontal="center" vertical="center" wrapText="1"/>
    </xf>
    <xf numFmtId="0" fontId="2" fillId="19" borderId="28" xfId="0" applyFont="1" applyFill="1" applyBorder="1" applyAlignment="1">
      <alignment horizontal="center" vertical="center" wrapText="1"/>
    </xf>
    <xf numFmtId="0" fontId="2" fillId="19" borderId="39" xfId="0" applyFont="1" applyFill="1" applyBorder="1" applyAlignment="1">
      <alignment horizontal="center" vertical="center" wrapText="1"/>
    </xf>
    <xf numFmtId="0" fontId="2" fillId="19" borderId="41" xfId="0" applyFont="1" applyFill="1" applyBorder="1" applyAlignment="1">
      <alignment horizontal="center" vertical="center" wrapText="1"/>
    </xf>
    <xf numFmtId="0" fontId="2" fillId="19" borderId="25" xfId="0" applyFont="1" applyFill="1" applyBorder="1" applyAlignment="1">
      <alignment horizontal="center" vertical="center" wrapText="1"/>
    </xf>
    <xf numFmtId="0" fontId="2" fillId="19" borderId="42" xfId="0" applyFont="1" applyFill="1" applyBorder="1" applyAlignment="1">
      <alignment horizontal="center" vertical="center" wrapText="1"/>
    </xf>
    <xf numFmtId="0" fontId="0" fillId="19" borderId="43" xfId="0" applyFill="1" applyBorder="1" applyAlignment="1">
      <alignment horizontal="center" vertical="center" wrapText="1"/>
    </xf>
    <xf numFmtId="0" fontId="0" fillId="19" borderId="26" xfId="0" applyFill="1" applyBorder="1" applyAlignment="1">
      <alignment horizontal="center" vertical="center" wrapText="1"/>
    </xf>
    <xf numFmtId="0" fontId="0" fillId="19" borderId="27" xfId="0" applyFill="1" applyBorder="1" applyAlignment="1">
      <alignment horizontal="center" vertical="center" wrapText="1"/>
    </xf>
    <xf numFmtId="0" fontId="2" fillId="19" borderId="33" xfId="0" applyFont="1" applyFill="1" applyBorder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0" fontId="2" fillId="19" borderId="40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left"/>
    </xf>
    <xf numFmtId="0" fontId="0" fillId="19" borderId="1" xfId="0" applyFill="1" applyBorder="1" applyAlignment="1">
      <alignment horizontal="left"/>
    </xf>
    <xf numFmtId="0" fontId="0" fillId="19" borderId="28" xfId="0" applyFill="1" applyBorder="1" applyAlignment="1">
      <alignment horizontal="center" vertical="center" wrapText="1"/>
    </xf>
    <xf numFmtId="0" fontId="0" fillId="19" borderId="39" xfId="0" applyFill="1" applyBorder="1" applyAlignment="1">
      <alignment horizontal="center" vertical="center" wrapText="1"/>
    </xf>
    <xf numFmtId="0" fontId="0" fillId="19" borderId="41" xfId="0" applyFill="1" applyBorder="1" applyAlignment="1">
      <alignment horizontal="center" vertical="center" wrapText="1"/>
    </xf>
    <xf numFmtId="0" fontId="0" fillId="19" borderId="25" xfId="0" applyFill="1" applyBorder="1" applyAlignment="1">
      <alignment horizontal="center" vertical="center" wrapText="1"/>
    </xf>
    <xf numFmtId="0" fontId="0" fillId="19" borderId="42" xfId="0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justify" wrapText="1"/>
    </xf>
    <xf numFmtId="0" fontId="40" fillId="12" borderId="14" xfId="0" applyFont="1" applyFill="1" applyBorder="1" applyAlignment="1">
      <alignment horizontal="justify" wrapText="1"/>
    </xf>
    <xf numFmtId="0" fontId="15" fillId="12" borderId="14" xfId="0" applyFont="1" applyFill="1" applyBorder="1" applyAlignment="1">
      <alignment horizontal="justify" wrapText="1"/>
    </xf>
    <xf numFmtId="0" fontId="40" fillId="13" borderId="14" xfId="0" applyFont="1" applyFill="1" applyBorder="1" applyAlignment="1">
      <alignment horizontal="justify" wrapText="1"/>
    </xf>
    <xf numFmtId="0" fontId="15" fillId="13" borderId="14" xfId="0" applyFont="1" applyFill="1" applyBorder="1" applyAlignment="1">
      <alignment horizontal="justify" wrapText="1"/>
    </xf>
    <xf numFmtId="0" fontId="16" fillId="11" borderId="15" xfId="0" applyFont="1" applyFill="1" applyBorder="1" applyAlignment="1">
      <alignment horizontal="justify" wrapText="1"/>
    </xf>
    <xf numFmtId="0" fontId="12" fillId="14" borderId="16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2" fillId="14" borderId="20" xfId="0" applyFont="1" applyFill="1" applyBorder="1" applyAlignment="1">
      <alignment horizontal="center" vertical="center"/>
    </xf>
    <xf numFmtId="0" fontId="10" fillId="15" borderId="16" xfId="0" applyFont="1" applyFill="1" applyBorder="1" applyAlignment="1">
      <alignment horizontal="center" vertical="center"/>
    </xf>
    <xf numFmtId="0" fontId="10" fillId="15" borderId="17" xfId="0" applyFont="1" applyFill="1" applyBorder="1" applyAlignment="1">
      <alignment horizontal="center" vertical="center"/>
    </xf>
    <xf numFmtId="0" fontId="10" fillId="15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0" fillId="0" borderId="7" xfId="0" applyBorder="1" applyAlignment="1">
      <alignment horizontal="justify" vertical="center" wrapText="1"/>
    </xf>
    <xf numFmtId="0" fontId="19" fillId="7" borderId="5" xfId="1" applyFont="1" applyFill="1" applyBorder="1" applyAlignment="1">
      <alignment horizontal="center" vertical="center"/>
    </xf>
    <xf numFmtId="0" fontId="19" fillId="7" borderId="7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20" fillId="14" borderId="16" xfId="0" applyFont="1" applyFill="1" applyBorder="1" applyAlignment="1">
      <alignment horizontal="center" vertical="center"/>
    </xf>
    <xf numFmtId="0" fontId="31" fillId="0" borderId="3" xfId="2" applyFont="1" applyBorder="1" applyAlignment="1">
      <alignment horizontal="center" vertical="center"/>
    </xf>
    <xf numFmtId="0" fontId="31" fillId="0" borderId="26" xfId="2" applyFont="1" applyBorder="1" applyAlignment="1">
      <alignment horizontal="center" vertical="center"/>
    </xf>
    <xf numFmtId="0" fontId="31" fillId="0" borderId="27" xfId="2" applyFont="1" applyBorder="1" applyAlignment="1">
      <alignment horizontal="center" vertical="center"/>
    </xf>
    <xf numFmtId="9" fontId="31" fillId="0" borderId="3" xfId="2" applyNumberFormat="1" applyFont="1" applyBorder="1" applyAlignment="1">
      <alignment horizontal="center" vertical="center"/>
    </xf>
    <xf numFmtId="9" fontId="31" fillId="0" borderId="26" xfId="2" applyNumberFormat="1" applyFont="1" applyBorder="1" applyAlignment="1">
      <alignment horizontal="center" vertical="center"/>
    </xf>
    <xf numFmtId="9" fontId="31" fillId="0" borderId="27" xfId="2" applyNumberFormat="1" applyFont="1" applyBorder="1" applyAlignment="1">
      <alignment horizontal="center" vertical="center"/>
    </xf>
    <xf numFmtId="0" fontId="31" fillId="0" borderId="28" xfId="2" applyFont="1" applyBorder="1" applyAlignment="1">
      <alignment horizontal="center" vertical="center"/>
    </xf>
    <xf numFmtId="0" fontId="31" fillId="0" borderId="5" xfId="2" applyFont="1" applyBorder="1" applyAlignment="1">
      <alignment horizontal="center" vertical="center"/>
    </xf>
    <xf numFmtId="0" fontId="31" fillId="0" borderId="7" xfId="2" applyFont="1" applyBorder="1" applyAlignment="1">
      <alignment horizontal="center" vertical="center"/>
    </xf>
    <xf numFmtId="0" fontId="31" fillId="0" borderId="11" xfId="2" applyFont="1" applyBorder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28" fillId="0" borderId="25" xfId="2" applyFont="1" applyBorder="1" applyAlignment="1">
      <alignment horizontal="center" vertical="center"/>
    </xf>
    <xf numFmtId="0" fontId="29" fillId="17" borderId="9" xfId="2" applyFont="1" applyFill="1" applyBorder="1" applyAlignment="1">
      <alignment horizontal="center" vertical="center"/>
    </xf>
    <xf numFmtId="0" fontId="29" fillId="17" borderId="0" xfId="2" applyFont="1" applyFill="1" applyAlignment="1">
      <alignment horizontal="center" vertical="center"/>
    </xf>
    <xf numFmtId="0" fontId="30" fillId="0" borderId="1" xfId="2" applyFont="1" applyBorder="1" applyAlignment="1">
      <alignment vertical="center"/>
    </xf>
    <xf numFmtId="0" fontId="31" fillId="0" borderId="1" xfId="2" applyFont="1" applyBorder="1" applyAlignment="1">
      <alignment vertical="center"/>
    </xf>
    <xf numFmtId="0" fontId="30" fillId="18" borderId="3" xfId="2" applyFont="1" applyFill="1" applyBorder="1" applyAlignment="1">
      <alignment horizontal="center" vertical="center" wrapText="1"/>
    </xf>
    <xf numFmtId="0" fontId="30" fillId="18" borderId="26" xfId="2" applyFont="1" applyFill="1" applyBorder="1" applyAlignment="1">
      <alignment horizontal="center" vertical="center" wrapText="1"/>
    </xf>
    <xf numFmtId="0" fontId="30" fillId="18" borderId="27" xfId="2" applyFont="1" applyFill="1" applyBorder="1" applyAlignment="1">
      <alignment horizontal="center" vertical="center" wrapText="1"/>
    </xf>
    <xf numFmtId="0" fontId="31" fillId="0" borderId="3" xfId="2" applyFont="1" applyBorder="1" applyAlignment="1">
      <alignment horizontal="center" vertical="center" wrapText="1"/>
    </xf>
    <xf numFmtId="0" fontId="31" fillId="0" borderId="26" xfId="2" applyFont="1" applyBorder="1" applyAlignment="1">
      <alignment horizontal="center" vertical="center" wrapText="1"/>
    </xf>
    <xf numFmtId="0" fontId="31" fillId="0" borderId="27" xfId="2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25" fillId="0" borderId="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9" fontId="25" fillId="0" borderId="5" xfId="0" applyNumberFormat="1" applyFont="1" applyBorder="1" applyAlignment="1">
      <alignment horizontal="center" vertical="center" wrapText="1"/>
    </xf>
    <xf numFmtId="9" fontId="25" fillId="0" borderId="7" xfId="0" applyNumberFormat="1" applyFont="1" applyBorder="1" applyAlignment="1">
      <alignment horizontal="center" vertical="center" wrapText="1"/>
    </xf>
    <xf numFmtId="9" fontId="25" fillId="0" borderId="1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3">
    <cellStyle name="Collegamento ipertestuale" xfId="1" builtinId="8"/>
    <cellStyle name="Normal 3" xfId="2" xr:uid="{265E519E-F42B-4CBF-83E7-A71E79DC8A27}"/>
    <cellStyle name="Normale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32A0-898E-49D9-885F-399CD8035F59}">
  <dimension ref="B2:M38"/>
  <sheetViews>
    <sheetView topLeftCell="A29" workbookViewId="0">
      <selection activeCell="K23" sqref="K23:M25"/>
    </sheetView>
  </sheetViews>
  <sheetFormatPr defaultRowHeight="15"/>
  <cols>
    <col min="2" max="2" width="12.140625" customWidth="1"/>
    <col min="3" max="3" width="10.7109375" customWidth="1"/>
    <col min="4" max="4" width="24.85546875" bestFit="1" customWidth="1"/>
    <col min="13" max="13" width="23.85546875" customWidth="1"/>
  </cols>
  <sheetData>
    <row r="2" spans="2:13">
      <c r="B2" s="129" t="s">
        <v>125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</row>
    <row r="3" spans="2:13"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</row>
    <row r="4" spans="2:13" ht="15.75" thickBot="1"/>
    <row r="5" spans="2:13" ht="16.5" customHeight="1">
      <c r="B5" s="131"/>
      <c r="C5" s="134" t="s">
        <v>126</v>
      </c>
      <c r="D5" s="134" t="s">
        <v>127</v>
      </c>
      <c r="E5" s="87"/>
      <c r="F5" s="137" t="s">
        <v>128</v>
      </c>
      <c r="G5" s="137" t="s">
        <v>129</v>
      </c>
      <c r="H5" s="137" t="s">
        <v>130</v>
      </c>
      <c r="I5" s="137" t="s">
        <v>174</v>
      </c>
      <c r="J5" s="140" t="s">
        <v>131</v>
      </c>
      <c r="K5" s="143" t="s">
        <v>132</v>
      </c>
      <c r="L5" s="143"/>
      <c r="M5" s="143"/>
    </row>
    <row r="6" spans="2:13">
      <c r="B6" s="132"/>
      <c r="C6" s="135"/>
      <c r="D6" s="135"/>
      <c r="E6" s="138" t="s">
        <v>133</v>
      </c>
      <c r="F6" s="138"/>
      <c r="G6" s="138"/>
      <c r="H6" s="138"/>
      <c r="I6" s="138"/>
      <c r="J6" s="141"/>
      <c r="K6" s="143"/>
      <c r="L6" s="143"/>
      <c r="M6" s="143"/>
    </row>
    <row r="7" spans="2:13">
      <c r="B7" s="132"/>
      <c r="C7" s="135"/>
      <c r="D7" s="135"/>
      <c r="E7" s="138"/>
      <c r="F7" s="138"/>
      <c r="G7" s="138"/>
      <c r="H7" s="138"/>
      <c r="I7" s="138"/>
      <c r="J7" s="141"/>
      <c r="K7" s="143"/>
      <c r="L7" s="143"/>
      <c r="M7" s="143"/>
    </row>
    <row r="8" spans="2:13" ht="26.45" customHeight="1" thickBot="1">
      <c r="B8" s="133"/>
      <c r="C8" s="136"/>
      <c r="D8" s="136"/>
      <c r="E8" s="139"/>
      <c r="F8" s="139"/>
      <c r="G8" s="139"/>
      <c r="H8" s="139"/>
      <c r="I8" s="139"/>
      <c r="J8" s="142"/>
      <c r="K8" s="143"/>
      <c r="L8" s="143"/>
      <c r="M8" s="143"/>
    </row>
    <row r="9" spans="2:13" ht="48.6" customHeight="1" thickBot="1">
      <c r="B9" s="144" t="s">
        <v>134</v>
      </c>
      <c r="C9" s="88" t="s">
        <v>135</v>
      </c>
      <c r="D9" s="88" t="s">
        <v>136</v>
      </c>
      <c r="E9" s="89"/>
      <c r="F9" s="89"/>
      <c r="G9" s="90"/>
      <c r="H9" s="90"/>
      <c r="I9" s="91"/>
      <c r="J9" s="92"/>
      <c r="K9" s="147" t="s">
        <v>175</v>
      </c>
      <c r="L9" s="148"/>
      <c r="M9" s="148"/>
    </row>
    <row r="10" spans="2:13" ht="24.6" customHeight="1">
      <c r="B10" s="145"/>
      <c r="C10" s="149" t="s">
        <v>137</v>
      </c>
      <c r="D10" s="152" t="s">
        <v>138</v>
      </c>
      <c r="E10" s="154"/>
      <c r="F10" s="156"/>
      <c r="G10" s="158"/>
      <c r="H10" s="156"/>
      <c r="I10" s="160"/>
      <c r="J10" s="160"/>
      <c r="K10" s="162" t="s">
        <v>230</v>
      </c>
      <c r="L10" s="163"/>
      <c r="M10" s="163"/>
    </row>
    <row r="11" spans="2:13" ht="23.1" customHeight="1" thickBot="1">
      <c r="B11" s="145"/>
      <c r="C11" s="150"/>
      <c r="D11" s="153"/>
      <c r="E11" s="155"/>
      <c r="F11" s="157"/>
      <c r="G11" s="159"/>
      <c r="H11" s="157"/>
      <c r="I11" s="161"/>
      <c r="J11" s="161"/>
      <c r="K11" s="163"/>
      <c r="L11" s="163"/>
      <c r="M11" s="163"/>
    </row>
    <row r="12" spans="2:13" ht="48" customHeight="1" thickBot="1">
      <c r="B12" s="145"/>
      <c r="C12" s="151"/>
      <c r="D12" s="93" t="s">
        <v>139</v>
      </c>
      <c r="E12" s="156"/>
      <c r="F12" s="109"/>
      <c r="G12" s="110"/>
      <c r="H12" s="109"/>
      <c r="I12" s="95"/>
      <c r="J12" s="95"/>
      <c r="K12" s="147" t="s">
        <v>176</v>
      </c>
      <c r="L12" s="148"/>
      <c r="M12" s="148"/>
    </row>
    <row r="13" spans="2:13" ht="98.1" customHeight="1" thickBot="1">
      <c r="B13" s="145"/>
      <c r="C13" s="93" t="s">
        <v>140</v>
      </c>
      <c r="D13" s="93" t="s">
        <v>141</v>
      </c>
      <c r="E13" s="157"/>
      <c r="F13" s="96"/>
      <c r="G13" s="97"/>
      <c r="H13" s="94"/>
      <c r="I13" s="94"/>
      <c r="J13" s="95"/>
      <c r="K13" s="164" t="s">
        <v>196</v>
      </c>
      <c r="L13" s="180"/>
      <c r="M13" s="181"/>
    </row>
    <row r="14" spans="2:13" ht="15" customHeight="1" thickBot="1">
      <c r="B14" s="145"/>
      <c r="C14" s="149" t="s">
        <v>142</v>
      </c>
      <c r="D14" s="93" t="s">
        <v>195</v>
      </c>
      <c r="E14" s="94"/>
      <c r="F14" s="98"/>
      <c r="G14" s="96"/>
      <c r="H14" s="94"/>
      <c r="I14" s="94"/>
      <c r="J14" s="94"/>
      <c r="K14" s="182"/>
      <c r="L14" s="183"/>
      <c r="M14" s="184"/>
    </row>
    <row r="15" spans="2:13" ht="88.5" customHeight="1" thickBot="1">
      <c r="B15" s="145"/>
      <c r="C15" s="150"/>
      <c r="D15" s="93" t="s">
        <v>143</v>
      </c>
      <c r="E15" s="94"/>
      <c r="F15" s="99"/>
      <c r="G15" s="96"/>
      <c r="H15" s="97"/>
      <c r="I15" s="94"/>
      <c r="J15" s="99"/>
      <c r="K15" s="185" t="s">
        <v>177</v>
      </c>
      <c r="L15" s="186"/>
      <c r="M15" s="187"/>
    </row>
    <row r="16" spans="2:13" ht="87.6" customHeight="1" thickBot="1">
      <c r="B16" s="146"/>
      <c r="C16" s="151"/>
      <c r="D16" s="93" t="s">
        <v>144</v>
      </c>
      <c r="E16" s="94"/>
      <c r="F16" s="96"/>
      <c r="G16" s="99"/>
      <c r="H16" s="94"/>
      <c r="I16" s="94"/>
      <c r="J16" s="94"/>
      <c r="K16" s="185" t="s">
        <v>178</v>
      </c>
      <c r="L16" s="186"/>
      <c r="M16" s="187"/>
    </row>
    <row r="17" spans="2:13" ht="26.45" customHeight="1">
      <c r="B17" s="144" t="s">
        <v>145</v>
      </c>
      <c r="C17" s="149" t="s">
        <v>181</v>
      </c>
      <c r="D17" s="152" t="s">
        <v>146</v>
      </c>
      <c r="E17" s="156"/>
      <c r="F17" s="158"/>
      <c r="G17" s="158"/>
      <c r="H17" s="156"/>
      <c r="I17" s="160"/>
      <c r="J17" s="154"/>
      <c r="K17" s="175" t="s">
        <v>179</v>
      </c>
      <c r="L17" s="176"/>
      <c r="M17" s="176"/>
    </row>
    <row r="18" spans="2:13" ht="18.95" customHeight="1" thickBot="1">
      <c r="B18" s="145"/>
      <c r="C18" s="150"/>
      <c r="D18" s="153"/>
      <c r="E18" s="157"/>
      <c r="F18" s="159"/>
      <c r="G18" s="159"/>
      <c r="H18" s="157"/>
      <c r="I18" s="161"/>
      <c r="J18" s="155"/>
      <c r="K18" s="176"/>
      <c r="L18" s="176"/>
      <c r="M18" s="176"/>
    </row>
    <row r="19" spans="2:13" ht="44.45" customHeight="1" thickBot="1">
      <c r="B19" s="145"/>
      <c r="C19" s="151"/>
      <c r="D19" s="93" t="s">
        <v>147</v>
      </c>
      <c r="E19" s="98"/>
      <c r="F19" s="98"/>
      <c r="G19" s="96"/>
      <c r="H19" s="94"/>
      <c r="I19" s="95"/>
      <c r="J19" s="96"/>
      <c r="K19" s="176"/>
      <c r="L19" s="176"/>
      <c r="M19" s="176"/>
    </row>
    <row r="20" spans="2:13" ht="26.45" customHeight="1" thickBot="1">
      <c r="B20" s="145"/>
      <c r="C20" s="149" t="s">
        <v>148</v>
      </c>
      <c r="D20" s="93" t="s">
        <v>149</v>
      </c>
      <c r="E20" s="99"/>
      <c r="F20" s="96"/>
      <c r="G20" s="98"/>
      <c r="H20" s="94"/>
      <c r="I20" s="97"/>
      <c r="J20" s="96"/>
      <c r="K20" s="164" t="s">
        <v>180</v>
      </c>
      <c r="L20" s="165"/>
      <c r="M20" s="166"/>
    </row>
    <row r="21" spans="2:13">
      <c r="B21" s="145"/>
      <c r="C21" s="150"/>
      <c r="D21" s="152" t="s">
        <v>150</v>
      </c>
      <c r="E21" s="156"/>
      <c r="F21" s="173"/>
      <c r="G21" s="173"/>
      <c r="H21" s="156"/>
      <c r="I21" s="156"/>
      <c r="J21" s="173"/>
      <c r="K21" s="167"/>
      <c r="L21" s="168"/>
      <c r="M21" s="169"/>
    </row>
    <row r="22" spans="2:13" ht="18" customHeight="1" thickBot="1">
      <c r="B22" s="145"/>
      <c r="C22" s="151"/>
      <c r="D22" s="153"/>
      <c r="E22" s="157"/>
      <c r="F22" s="174"/>
      <c r="G22" s="174"/>
      <c r="H22" s="157"/>
      <c r="I22" s="157"/>
      <c r="J22" s="174"/>
      <c r="K22" s="170"/>
      <c r="L22" s="171"/>
      <c r="M22" s="172"/>
    </row>
    <row r="23" spans="2:13" ht="14.45" customHeight="1">
      <c r="B23" s="145"/>
      <c r="C23" s="149" t="s">
        <v>151</v>
      </c>
      <c r="D23" s="152" t="s">
        <v>152</v>
      </c>
      <c r="E23" s="177"/>
      <c r="F23" s="158"/>
      <c r="G23" s="177"/>
      <c r="H23" s="156"/>
      <c r="I23" s="156"/>
      <c r="J23" s="173"/>
      <c r="K23" s="179" t="s">
        <v>231</v>
      </c>
      <c r="L23" s="165"/>
      <c r="M23" s="166"/>
    </row>
    <row r="24" spans="2:13" ht="48.95" customHeight="1" thickBot="1">
      <c r="B24" s="145"/>
      <c r="C24" s="150"/>
      <c r="D24" s="153"/>
      <c r="E24" s="178"/>
      <c r="F24" s="159"/>
      <c r="G24" s="178"/>
      <c r="H24" s="157"/>
      <c r="I24" s="157"/>
      <c r="J24" s="174"/>
      <c r="K24" s="167"/>
      <c r="L24" s="168"/>
      <c r="M24" s="169"/>
    </row>
    <row r="25" spans="2:13" ht="14.45" customHeight="1" thickBot="1">
      <c r="B25" s="145"/>
      <c r="C25" s="151"/>
      <c r="D25" s="93" t="s">
        <v>153</v>
      </c>
      <c r="E25" s="97"/>
      <c r="F25" s="96"/>
      <c r="G25" s="97"/>
      <c r="H25" s="94"/>
      <c r="I25" s="94"/>
      <c r="J25" s="97"/>
      <c r="K25" s="167"/>
      <c r="L25" s="168"/>
      <c r="M25" s="169"/>
    </row>
    <row r="26" spans="2:13" ht="14.45" customHeight="1">
      <c r="B26" s="145"/>
      <c r="C26" s="149" t="s">
        <v>154</v>
      </c>
      <c r="D26" s="152" t="s">
        <v>155</v>
      </c>
      <c r="E26" s="177"/>
      <c r="F26" s="158"/>
      <c r="G26" s="158"/>
      <c r="H26" s="156"/>
      <c r="I26" s="156"/>
      <c r="J26" s="158"/>
      <c r="K26" s="164" t="s">
        <v>182</v>
      </c>
      <c r="L26" s="165"/>
      <c r="M26" s="166"/>
    </row>
    <row r="27" spans="2:13" ht="15.75" thickBot="1">
      <c r="B27" s="145"/>
      <c r="C27" s="150"/>
      <c r="D27" s="153"/>
      <c r="E27" s="178"/>
      <c r="F27" s="159"/>
      <c r="G27" s="159"/>
      <c r="H27" s="157"/>
      <c r="I27" s="157"/>
      <c r="J27" s="159"/>
      <c r="K27" s="167"/>
      <c r="L27" s="168"/>
      <c r="M27" s="169"/>
    </row>
    <row r="28" spans="2:13" ht="14.45" customHeight="1" thickBot="1">
      <c r="B28" s="145"/>
      <c r="C28" s="151"/>
      <c r="D28" s="93" t="s">
        <v>156</v>
      </c>
      <c r="E28" s="94"/>
      <c r="F28" s="100"/>
      <c r="G28" s="96"/>
      <c r="H28" s="94"/>
      <c r="I28" s="94"/>
      <c r="J28" s="96"/>
      <c r="K28" s="170"/>
      <c r="L28" s="171"/>
      <c r="M28" s="172"/>
    </row>
    <row r="29" spans="2:13">
      <c r="B29" s="145"/>
      <c r="C29" s="149" t="s">
        <v>157</v>
      </c>
      <c r="D29" s="152" t="s">
        <v>158</v>
      </c>
      <c r="E29" s="177"/>
      <c r="F29" s="177"/>
      <c r="G29" s="158"/>
      <c r="H29" s="156"/>
      <c r="I29" s="177"/>
      <c r="J29" s="158"/>
      <c r="K29" s="164" t="s">
        <v>183</v>
      </c>
      <c r="L29" s="193"/>
      <c r="M29" s="194"/>
    </row>
    <row r="30" spans="2:13" ht="74.099999999999994" customHeight="1" thickBot="1">
      <c r="B30" s="145"/>
      <c r="C30" s="150"/>
      <c r="D30" s="153"/>
      <c r="E30" s="178"/>
      <c r="F30" s="178"/>
      <c r="G30" s="159"/>
      <c r="H30" s="157"/>
      <c r="I30" s="178"/>
      <c r="J30" s="159"/>
      <c r="K30" s="195"/>
      <c r="L30" s="196"/>
      <c r="M30" s="197"/>
    </row>
    <row r="31" spans="2:13" ht="45" customHeight="1" thickBot="1">
      <c r="B31" s="145"/>
      <c r="C31" s="150"/>
      <c r="D31" s="93" t="s">
        <v>159</v>
      </c>
      <c r="E31" s="94"/>
      <c r="F31" s="96"/>
      <c r="G31" s="96"/>
      <c r="H31" s="94"/>
      <c r="I31" s="96"/>
      <c r="J31" s="96"/>
      <c r="K31" s="164" t="s">
        <v>184</v>
      </c>
      <c r="L31" s="165"/>
      <c r="M31" s="166"/>
    </row>
    <row r="32" spans="2:13" ht="15.75" thickBot="1">
      <c r="B32" s="145"/>
      <c r="C32" s="151"/>
      <c r="D32" s="93" t="s">
        <v>160</v>
      </c>
      <c r="E32" s="94"/>
      <c r="F32" s="96"/>
      <c r="G32" s="96"/>
      <c r="H32" s="94"/>
      <c r="I32" s="97"/>
      <c r="J32" s="96"/>
      <c r="K32" s="170"/>
      <c r="L32" s="171"/>
      <c r="M32" s="172"/>
    </row>
    <row r="33" spans="2:13" ht="14.45" customHeight="1">
      <c r="B33" s="145"/>
      <c r="C33" s="149" t="s">
        <v>161</v>
      </c>
      <c r="D33" s="152" t="s">
        <v>162</v>
      </c>
      <c r="E33" s="177"/>
      <c r="F33" s="158"/>
      <c r="G33" s="177"/>
      <c r="H33" s="156"/>
      <c r="I33" s="154"/>
      <c r="J33" s="154"/>
      <c r="K33" s="164" t="s">
        <v>185</v>
      </c>
      <c r="L33" s="180"/>
      <c r="M33" s="181"/>
    </row>
    <row r="34" spans="2:13" ht="15.75" thickBot="1">
      <c r="B34" s="145"/>
      <c r="C34" s="150"/>
      <c r="D34" s="153"/>
      <c r="E34" s="178"/>
      <c r="F34" s="159"/>
      <c r="G34" s="178"/>
      <c r="H34" s="157"/>
      <c r="I34" s="155"/>
      <c r="J34" s="155"/>
      <c r="K34" s="188"/>
      <c r="L34" s="189"/>
      <c r="M34" s="190"/>
    </row>
    <row r="35" spans="2:13" ht="31.5" customHeight="1" thickBot="1">
      <c r="B35" s="146"/>
      <c r="C35" s="151"/>
      <c r="D35" s="93" t="s">
        <v>163</v>
      </c>
      <c r="E35" s="94"/>
      <c r="F35" s="96"/>
      <c r="G35" s="98"/>
      <c r="H35" s="98"/>
      <c r="I35" s="96"/>
      <c r="J35" s="96"/>
      <c r="K35" s="182"/>
      <c r="L35" s="183"/>
      <c r="M35" s="184"/>
    </row>
    <row r="36" spans="2:13">
      <c r="B36" s="191" t="s">
        <v>209</v>
      </c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</row>
    <row r="38" spans="2:13">
      <c r="B38" s="101"/>
      <c r="D38" s="102"/>
    </row>
  </sheetData>
  <mergeCells count="85">
    <mergeCell ref="K16:M16"/>
    <mergeCell ref="K33:M35"/>
    <mergeCell ref="B36:M36"/>
    <mergeCell ref="K29:M30"/>
    <mergeCell ref="K31:M32"/>
    <mergeCell ref="C33:C35"/>
    <mergeCell ref="D33:D34"/>
    <mergeCell ref="E33:E34"/>
    <mergeCell ref="F33:F34"/>
    <mergeCell ref="G33:G34"/>
    <mergeCell ref="H33:H34"/>
    <mergeCell ref="I33:I34"/>
    <mergeCell ref="J33:J34"/>
    <mergeCell ref="C29:C32"/>
    <mergeCell ref="D29:D30"/>
    <mergeCell ref="E29:E30"/>
    <mergeCell ref="F29:F30"/>
    <mergeCell ref="G29:G30"/>
    <mergeCell ref="K23:M25"/>
    <mergeCell ref="H26:H27"/>
    <mergeCell ref="I26:I27"/>
    <mergeCell ref="J26:J27"/>
    <mergeCell ref="K26:M28"/>
    <mergeCell ref="H29:H30"/>
    <mergeCell ref="I29:I30"/>
    <mergeCell ref="J29:J30"/>
    <mergeCell ref="C26:C28"/>
    <mergeCell ref="D26:D27"/>
    <mergeCell ref="E26:E27"/>
    <mergeCell ref="F26:F27"/>
    <mergeCell ref="G26:G27"/>
    <mergeCell ref="I21:I22"/>
    <mergeCell ref="J21:J22"/>
    <mergeCell ref="C23:C25"/>
    <mergeCell ref="D23:D24"/>
    <mergeCell ref="E23:E24"/>
    <mergeCell ref="F23:F24"/>
    <mergeCell ref="G23:G24"/>
    <mergeCell ref="H23:H24"/>
    <mergeCell ref="C20:C22"/>
    <mergeCell ref="I23:I24"/>
    <mergeCell ref="J23:J24"/>
    <mergeCell ref="B17:B35"/>
    <mergeCell ref="C17:C19"/>
    <mergeCell ref="D17:D18"/>
    <mergeCell ref="E17:E18"/>
    <mergeCell ref="K20:M22"/>
    <mergeCell ref="D21:D22"/>
    <mergeCell ref="E21:E22"/>
    <mergeCell ref="F21:F22"/>
    <mergeCell ref="F17:F18"/>
    <mergeCell ref="G17:G18"/>
    <mergeCell ref="H17:H18"/>
    <mergeCell ref="I17:I18"/>
    <mergeCell ref="J17:J18"/>
    <mergeCell ref="K17:M19"/>
    <mergeCell ref="G21:G22"/>
    <mergeCell ref="H21:H22"/>
    <mergeCell ref="B9:B16"/>
    <mergeCell ref="K9:M9"/>
    <mergeCell ref="C10:C12"/>
    <mergeCell ref="D10:D11"/>
    <mergeCell ref="E10:E11"/>
    <mergeCell ref="F10:F11"/>
    <mergeCell ref="G10:G11"/>
    <mergeCell ref="H10:H11"/>
    <mergeCell ref="I10:I11"/>
    <mergeCell ref="C14:C16"/>
    <mergeCell ref="J10:J11"/>
    <mergeCell ref="K10:M11"/>
    <mergeCell ref="K12:M12"/>
    <mergeCell ref="E12:E13"/>
    <mergeCell ref="K13:M14"/>
    <mergeCell ref="K15:M15"/>
    <mergeCell ref="B2:M3"/>
    <mergeCell ref="B5:B8"/>
    <mergeCell ref="C5:C8"/>
    <mergeCell ref="D5:D8"/>
    <mergeCell ref="F5:F8"/>
    <mergeCell ref="G5:G8"/>
    <mergeCell ref="H5:H8"/>
    <mergeCell ref="I5:I8"/>
    <mergeCell ref="J5:J8"/>
    <mergeCell ref="K5:M8"/>
    <mergeCell ref="E6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tabSelected="1" zoomScale="70" zoomScaleNormal="70" workbookViewId="0">
      <selection activeCell="F17" sqref="F17"/>
    </sheetView>
  </sheetViews>
  <sheetFormatPr defaultColWidth="9" defaultRowHeight="15"/>
  <cols>
    <col min="1" max="1" width="8.5703125" customWidth="1"/>
    <col min="2" max="2" width="29.5703125" customWidth="1"/>
    <col min="3" max="3" width="24.7109375" customWidth="1"/>
    <col min="4" max="5" width="20.7109375" customWidth="1"/>
    <col min="6" max="6" width="44.140625" customWidth="1"/>
    <col min="7" max="7" width="41.28515625" customWidth="1"/>
    <col min="8" max="8" width="25.7109375" customWidth="1"/>
    <col min="9" max="10" width="15.7109375" customWidth="1"/>
    <col min="11" max="11" width="21.42578125" customWidth="1"/>
    <col min="12" max="12" width="64" customWidth="1"/>
    <col min="13" max="21" width="15.7109375" customWidth="1"/>
  </cols>
  <sheetData>
    <row r="1" spans="1:21" ht="15.75" thickBot="1">
      <c r="B1" s="70" t="s">
        <v>106</v>
      </c>
      <c r="D1" s="70" t="s">
        <v>107</v>
      </c>
    </row>
    <row r="2" spans="1:21" ht="45">
      <c r="A2" s="51" t="s">
        <v>61</v>
      </c>
      <c r="B2" s="3" t="s">
        <v>47</v>
      </c>
      <c r="C2" s="4" t="s">
        <v>0</v>
      </c>
      <c r="D2" s="5" t="s">
        <v>1</v>
      </c>
      <c r="E2" s="6" t="s">
        <v>2</v>
      </c>
      <c r="F2" s="7" t="s">
        <v>3</v>
      </c>
      <c r="G2" s="8" t="s">
        <v>4</v>
      </c>
      <c r="H2" s="9" t="s">
        <v>5</v>
      </c>
      <c r="I2" s="204" t="s">
        <v>6</v>
      </c>
      <c r="J2" s="205"/>
      <c r="K2" s="206"/>
      <c r="L2" s="53" t="s">
        <v>77</v>
      </c>
      <c r="M2" s="204" t="s">
        <v>7</v>
      </c>
      <c r="N2" s="205"/>
      <c r="O2" s="207"/>
      <c r="P2" s="208" t="s">
        <v>8</v>
      </c>
      <c r="Q2" s="209"/>
      <c r="R2" s="209"/>
      <c r="S2" s="209"/>
      <c r="T2" s="209"/>
      <c r="U2" s="210"/>
    </row>
    <row r="3" spans="1:21" ht="14.45" customHeight="1">
      <c r="A3" s="10"/>
      <c r="B3" s="10"/>
      <c r="C3" s="11"/>
      <c r="D3" s="12"/>
      <c r="E3" s="13"/>
      <c r="F3" s="14"/>
      <c r="G3" s="14"/>
      <c r="H3" s="1"/>
      <c r="I3" s="60" t="s">
        <v>214</v>
      </c>
      <c r="J3" s="24" t="s">
        <v>10</v>
      </c>
      <c r="K3" s="25" t="s">
        <v>11</v>
      </c>
      <c r="L3" s="26"/>
      <c r="M3" s="24" t="s">
        <v>168</v>
      </c>
      <c r="N3" s="24" t="s">
        <v>10</v>
      </c>
      <c r="O3" s="25" t="s">
        <v>11</v>
      </c>
      <c r="P3" s="27" t="s">
        <v>12</v>
      </c>
      <c r="Q3" s="24" t="s">
        <v>13</v>
      </c>
      <c r="R3" s="24" t="s">
        <v>14</v>
      </c>
      <c r="S3" s="34" t="s">
        <v>15</v>
      </c>
      <c r="T3" s="34" t="s">
        <v>16</v>
      </c>
      <c r="U3" s="25" t="s">
        <v>17</v>
      </c>
    </row>
    <row r="4" spans="1:21" ht="18" customHeight="1">
      <c r="A4" s="10">
        <v>29</v>
      </c>
      <c r="B4" s="211" t="s">
        <v>18</v>
      </c>
      <c r="C4" s="11" t="s">
        <v>40</v>
      </c>
      <c r="D4" s="43"/>
      <c r="E4" s="42" t="s">
        <v>41</v>
      </c>
      <c r="F4" s="215" t="s">
        <v>19</v>
      </c>
      <c r="G4" s="217" t="s">
        <v>186</v>
      </c>
      <c r="H4" s="40" t="s">
        <v>50</v>
      </c>
      <c r="I4" s="1">
        <v>3</v>
      </c>
      <c r="J4" s="1">
        <v>2</v>
      </c>
      <c r="K4" s="31">
        <v>6</v>
      </c>
      <c r="L4" s="38" t="s">
        <v>44</v>
      </c>
      <c r="M4" s="1">
        <v>2</v>
      </c>
      <c r="N4" s="1">
        <v>1</v>
      </c>
      <c r="O4" s="32">
        <v>6</v>
      </c>
      <c r="P4" s="124" t="s">
        <v>212</v>
      </c>
      <c r="Q4" s="1"/>
      <c r="R4" s="63" t="s">
        <v>23</v>
      </c>
      <c r="S4" s="35">
        <v>45137</v>
      </c>
      <c r="T4" s="48" t="s">
        <v>82</v>
      </c>
      <c r="U4" s="36">
        <v>45290</v>
      </c>
    </row>
    <row r="5" spans="1:21" ht="18" customHeight="1">
      <c r="A5" s="10">
        <v>17</v>
      </c>
      <c r="B5" s="212"/>
      <c r="C5" s="41" t="s">
        <v>54</v>
      </c>
      <c r="D5" s="43"/>
      <c r="E5" s="42" t="s">
        <v>41</v>
      </c>
      <c r="F5" s="216"/>
      <c r="G5" s="218"/>
      <c r="H5" s="40" t="s">
        <v>51</v>
      </c>
      <c r="I5" s="1">
        <v>2</v>
      </c>
      <c r="J5" s="1">
        <v>2</v>
      </c>
      <c r="K5" s="33">
        <v>4</v>
      </c>
      <c r="L5" s="62" t="s">
        <v>78</v>
      </c>
      <c r="M5" s="1">
        <v>2</v>
      </c>
      <c r="N5" s="1">
        <v>2</v>
      </c>
      <c r="O5" s="32">
        <v>4</v>
      </c>
      <c r="P5" s="124" t="s">
        <v>110</v>
      </c>
      <c r="Q5" s="1"/>
      <c r="R5" s="63" t="s">
        <v>20</v>
      </c>
      <c r="S5" s="35">
        <v>45137</v>
      </c>
      <c r="T5" s="48" t="s">
        <v>83</v>
      </c>
      <c r="U5" s="36">
        <v>45290</v>
      </c>
    </row>
    <row r="6" spans="1:21" ht="14.45" customHeight="1">
      <c r="A6" s="10">
        <v>8</v>
      </c>
      <c r="B6" s="212"/>
      <c r="C6" s="11"/>
      <c r="D6" s="44" t="s">
        <v>52</v>
      </c>
      <c r="E6" s="42" t="s">
        <v>53</v>
      </c>
      <c r="F6" s="216"/>
      <c r="G6" s="218"/>
      <c r="H6" s="40" t="s">
        <v>24</v>
      </c>
      <c r="I6" s="1">
        <v>3</v>
      </c>
      <c r="J6" s="1">
        <v>2</v>
      </c>
      <c r="K6" s="31">
        <v>6</v>
      </c>
      <c r="L6" s="62" t="s">
        <v>79</v>
      </c>
      <c r="M6" s="1">
        <v>2</v>
      </c>
      <c r="N6" s="1">
        <v>2</v>
      </c>
      <c r="O6" s="32">
        <v>4</v>
      </c>
      <c r="P6" s="124" t="s">
        <v>110</v>
      </c>
      <c r="Q6" s="1">
        <v>0</v>
      </c>
      <c r="R6" s="1" t="s">
        <v>20</v>
      </c>
      <c r="S6" s="35">
        <v>45137</v>
      </c>
      <c r="T6" s="64" t="s">
        <v>83</v>
      </c>
      <c r="U6" s="36">
        <v>45290</v>
      </c>
    </row>
    <row r="7" spans="1:21" ht="14.45" customHeight="1">
      <c r="A7" s="15">
        <v>25</v>
      </c>
      <c r="B7" s="213" t="s">
        <v>48</v>
      </c>
      <c r="C7" s="41" t="s">
        <v>55</v>
      </c>
      <c r="D7" s="16"/>
      <c r="E7" s="112" t="s">
        <v>81</v>
      </c>
      <c r="F7" s="114" t="s">
        <v>188</v>
      </c>
      <c r="G7" s="219" t="s">
        <v>191</v>
      </c>
      <c r="H7" s="221" t="s">
        <v>43</v>
      </c>
      <c r="I7" s="1">
        <v>3</v>
      </c>
      <c r="J7" s="1">
        <v>2</v>
      </c>
      <c r="K7" s="37">
        <f t="shared" ref="K7:K11" si="0">I7*J7</f>
        <v>6</v>
      </c>
      <c r="L7" s="28" t="s">
        <v>22</v>
      </c>
      <c r="M7" s="1">
        <v>2</v>
      </c>
      <c r="N7" s="1">
        <v>3</v>
      </c>
      <c r="O7" s="30">
        <f t="shared" ref="O7:O12" si="1">M7*N7</f>
        <v>6</v>
      </c>
      <c r="P7" s="124" t="s">
        <v>81</v>
      </c>
      <c r="Q7" s="1">
        <v>0</v>
      </c>
      <c r="R7" s="1" t="s">
        <v>23</v>
      </c>
      <c r="S7" s="35">
        <v>45137</v>
      </c>
      <c r="T7" s="39" t="s">
        <v>45</v>
      </c>
      <c r="U7" s="36">
        <v>45290</v>
      </c>
    </row>
    <row r="8" spans="1:21" ht="30">
      <c r="A8" s="10">
        <v>22</v>
      </c>
      <c r="B8" s="214"/>
      <c r="C8" s="117" t="s">
        <v>193</v>
      </c>
      <c r="D8" s="17"/>
      <c r="E8" s="113" t="s">
        <v>187</v>
      </c>
      <c r="F8" s="116" t="s">
        <v>190</v>
      </c>
      <c r="G8" s="220"/>
      <c r="H8" s="222"/>
      <c r="I8" s="1">
        <v>3</v>
      </c>
      <c r="J8" s="1">
        <v>4</v>
      </c>
      <c r="K8" s="29">
        <v>12</v>
      </c>
      <c r="L8" s="119" t="s">
        <v>200</v>
      </c>
      <c r="M8" s="1">
        <v>3</v>
      </c>
      <c r="N8" s="1">
        <v>2</v>
      </c>
      <c r="O8" s="30">
        <f t="shared" si="1"/>
        <v>6</v>
      </c>
      <c r="P8" s="124" t="s">
        <v>213</v>
      </c>
      <c r="Q8" s="1">
        <v>0</v>
      </c>
      <c r="R8" s="1" t="s">
        <v>23</v>
      </c>
      <c r="S8" s="35">
        <v>45137</v>
      </c>
      <c r="T8" s="48" t="s">
        <v>83</v>
      </c>
      <c r="U8" s="36">
        <v>45290</v>
      </c>
    </row>
    <row r="9" spans="1:21">
      <c r="A9" s="10">
        <v>22</v>
      </c>
      <c r="B9" s="214"/>
      <c r="C9" s="117" t="s">
        <v>193</v>
      </c>
      <c r="D9" s="17"/>
      <c r="E9" s="113" t="s">
        <v>187</v>
      </c>
      <c r="F9" s="115" t="s">
        <v>189</v>
      </c>
      <c r="G9" s="220"/>
      <c r="H9" s="222"/>
      <c r="I9" s="1">
        <v>4</v>
      </c>
      <c r="J9" s="1">
        <v>3</v>
      </c>
      <c r="K9" s="29">
        <f t="shared" si="0"/>
        <v>12</v>
      </c>
      <c r="L9" s="119" t="s">
        <v>201</v>
      </c>
      <c r="M9" s="1">
        <v>3</v>
      </c>
      <c r="N9" s="1">
        <v>2</v>
      </c>
      <c r="O9" s="30">
        <f t="shared" si="1"/>
        <v>6</v>
      </c>
      <c r="P9" s="124" t="s">
        <v>213</v>
      </c>
      <c r="Q9" s="1">
        <v>0</v>
      </c>
      <c r="R9" s="63" t="s">
        <v>23</v>
      </c>
      <c r="S9" s="35">
        <v>45137</v>
      </c>
      <c r="T9" s="118" t="s">
        <v>226</v>
      </c>
      <c r="U9" s="36">
        <v>45290</v>
      </c>
    </row>
    <row r="10" spans="1:21" ht="24" customHeight="1">
      <c r="A10" s="10">
        <v>10</v>
      </c>
      <c r="B10" s="214"/>
      <c r="C10" s="11" t="s">
        <v>194</v>
      </c>
      <c r="D10" s="17"/>
      <c r="E10" s="45" t="s">
        <v>42</v>
      </c>
      <c r="F10" s="115" t="s">
        <v>192</v>
      </c>
      <c r="G10" s="220"/>
      <c r="H10" s="222"/>
      <c r="I10" s="1">
        <v>2</v>
      </c>
      <c r="J10" s="1">
        <v>2</v>
      </c>
      <c r="K10" s="33">
        <f t="shared" si="0"/>
        <v>4</v>
      </c>
      <c r="L10" s="77" t="s">
        <v>108</v>
      </c>
      <c r="M10" s="1">
        <v>1</v>
      </c>
      <c r="N10" s="1">
        <v>2</v>
      </c>
      <c r="O10" s="32">
        <f t="shared" si="1"/>
        <v>2</v>
      </c>
      <c r="P10" s="124" t="s">
        <v>213</v>
      </c>
      <c r="Q10" s="1">
        <v>0</v>
      </c>
      <c r="R10" s="1" t="s">
        <v>25</v>
      </c>
      <c r="S10" s="35">
        <v>45137</v>
      </c>
      <c r="T10" s="48" t="s">
        <v>83</v>
      </c>
      <c r="U10" s="36">
        <v>45290</v>
      </c>
    </row>
    <row r="11" spans="1:21" ht="15.6" customHeight="1">
      <c r="A11" s="10">
        <v>4</v>
      </c>
      <c r="B11" s="10" t="s">
        <v>46</v>
      </c>
      <c r="C11" s="41"/>
      <c r="D11" s="128" t="s">
        <v>229</v>
      </c>
      <c r="E11" s="65" t="s">
        <v>85</v>
      </c>
      <c r="F11" s="127" t="s">
        <v>228</v>
      </c>
      <c r="G11" s="48" t="s">
        <v>56</v>
      </c>
      <c r="H11" s="223"/>
      <c r="I11" s="1">
        <v>4</v>
      </c>
      <c r="J11" s="1">
        <v>3</v>
      </c>
      <c r="K11" s="29">
        <f t="shared" si="0"/>
        <v>12</v>
      </c>
      <c r="L11" s="62" t="s">
        <v>80</v>
      </c>
      <c r="M11" s="1">
        <v>2</v>
      </c>
      <c r="N11" s="1">
        <v>3</v>
      </c>
      <c r="O11" s="30">
        <f t="shared" si="1"/>
        <v>6</v>
      </c>
      <c r="P11" s="124" t="s">
        <v>110</v>
      </c>
      <c r="Q11" s="1">
        <v>0</v>
      </c>
      <c r="R11" s="63" t="s">
        <v>20</v>
      </c>
      <c r="S11" s="35">
        <v>45137</v>
      </c>
      <c r="T11" s="48" t="s">
        <v>84</v>
      </c>
      <c r="U11" s="36">
        <v>45290</v>
      </c>
    </row>
    <row r="12" spans="1:21">
      <c r="A12" s="10">
        <v>27</v>
      </c>
      <c r="B12" s="10" t="s">
        <v>165</v>
      </c>
      <c r="C12" s="11" t="s">
        <v>164</v>
      </c>
      <c r="D12" s="12"/>
      <c r="E12" s="13" t="s">
        <v>41</v>
      </c>
      <c r="F12" s="116" t="s">
        <v>197</v>
      </c>
      <c r="G12" s="118" t="s">
        <v>198</v>
      </c>
      <c r="H12" s="86" t="s">
        <v>43</v>
      </c>
      <c r="I12" s="1">
        <v>2</v>
      </c>
      <c r="J12" s="1">
        <v>4</v>
      </c>
      <c r="K12" s="120">
        <v>8</v>
      </c>
      <c r="L12" s="119" t="s">
        <v>199</v>
      </c>
      <c r="M12" s="1">
        <v>2</v>
      </c>
      <c r="N12" s="1">
        <v>2</v>
      </c>
      <c r="O12" s="32">
        <f t="shared" si="1"/>
        <v>4</v>
      </c>
      <c r="P12" s="124" t="s">
        <v>110</v>
      </c>
      <c r="Q12" s="103" t="s">
        <v>166</v>
      </c>
      <c r="R12" s="111" t="s">
        <v>20</v>
      </c>
      <c r="S12" s="35">
        <v>45137</v>
      </c>
      <c r="T12" s="118" t="s">
        <v>225</v>
      </c>
      <c r="U12" s="36">
        <v>45290</v>
      </c>
    </row>
    <row r="13" spans="1:21" ht="15.75" thickBot="1">
      <c r="I13" s="60" t="s">
        <v>67</v>
      </c>
      <c r="J13" s="24" t="s">
        <v>10</v>
      </c>
      <c r="K13" s="61" t="s">
        <v>76</v>
      </c>
    </row>
    <row r="14" spans="1:21" ht="31.5" customHeight="1">
      <c r="A14" s="2" t="s">
        <v>57</v>
      </c>
      <c r="B14" s="3" t="s">
        <v>47</v>
      </c>
      <c r="C14" s="4" t="s">
        <v>0</v>
      </c>
      <c r="D14" s="5" t="s">
        <v>1</v>
      </c>
      <c r="E14" s="6" t="s">
        <v>2</v>
      </c>
      <c r="F14" s="52" t="s">
        <v>62</v>
      </c>
      <c r="G14" s="8" t="s">
        <v>4</v>
      </c>
      <c r="H14" s="9" t="s">
        <v>5</v>
      </c>
      <c r="I14" s="224" t="s">
        <v>64</v>
      </c>
      <c r="J14" s="205"/>
      <c r="K14" s="206"/>
      <c r="L14" s="53" t="s">
        <v>63</v>
      </c>
    </row>
    <row r="15" spans="1:21">
      <c r="I15" s="60" t="s">
        <v>67</v>
      </c>
      <c r="J15" s="24" t="s">
        <v>10</v>
      </c>
      <c r="K15" s="61" t="s">
        <v>76</v>
      </c>
    </row>
    <row r="16" spans="1:21">
      <c r="A16" s="10">
        <v>25</v>
      </c>
      <c r="B16" s="121" t="s">
        <v>202</v>
      </c>
      <c r="C16" s="117" t="s">
        <v>203</v>
      </c>
      <c r="D16" s="12"/>
      <c r="E16" s="47" t="s">
        <v>21</v>
      </c>
      <c r="F16" s="115" t="s">
        <v>204</v>
      </c>
      <c r="G16" s="50" t="s">
        <v>58</v>
      </c>
      <c r="H16" s="40" t="s">
        <v>81</v>
      </c>
      <c r="I16" s="1">
        <v>3</v>
      </c>
      <c r="J16" s="1">
        <v>2</v>
      </c>
      <c r="K16" s="31">
        <f>(I16*J16)</f>
        <v>6</v>
      </c>
      <c r="L16" s="123" t="s">
        <v>109</v>
      </c>
      <c r="M16" s="1"/>
      <c r="N16" s="1"/>
      <c r="O16" s="1"/>
      <c r="P16" s="78" t="s">
        <v>110</v>
      </c>
      <c r="Q16" s="1">
        <v>0</v>
      </c>
      <c r="R16" s="1" t="s">
        <v>20</v>
      </c>
      <c r="S16" s="35">
        <v>45137</v>
      </c>
      <c r="T16" s="78" t="s">
        <v>111</v>
      </c>
      <c r="U16" s="36">
        <v>45290</v>
      </c>
    </row>
    <row r="17" spans="1:21" ht="30">
      <c r="A17" s="10">
        <v>11</v>
      </c>
      <c r="B17" s="10" t="s">
        <v>48</v>
      </c>
      <c r="C17" s="41"/>
      <c r="D17" s="46" t="s">
        <v>59</v>
      </c>
      <c r="E17" s="47" t="s">
        <v>21</v>
      </c>
      <c r="F17" s="69" t="s">
        <v>60</v>
      </c>
      <c r="G17" s="118" t="s">
        <v>205</v>
      </c>
      <c r="H17" s="40" t="s">
        <v>81</v>
      </c>
      <c r="I17" s="1">
        <v>4</v>
      </c>
      <c r="J17" s="1">
        <v>3</v>
      </c>
      <c r="K17" s="29">
        <f t="shared" ref="K17" si="2">(I17*J17)</f>
        <v>12</v>
      </c>
      <c r="L17" s="123" t="s">
        <v>210</v>
      </c>
      <c r="M17" s="1"/>
      <c r="N17" s="1"/>
      <c r="O17" s="1"/>
      <c r="P17" s="124" t="s">
        <v>81</v>
      </c>
      <c r="Q17" s="1">
        <v>0</v>
      </c>
      <c r="R17" s="1" t="s">
        <v>23</v>
      </c>
      <c r="S17" s="35">
        <v>45137</v>
      </c>
      <c r="T17" s="124" t="s">
        <v>211</v>
      </c>
      <c r="U17" s="36">
        <v>45290</v>
      </c>
    </row>
    <row r="19" spans="1:21">
      <c r="L19" s="49"/>
    </row>
    <row r="20" spans="1:21">
      <c r="B20" s="122" t="s">
        <v>208</v>
      </c>
    </row>
    <row r="21" spans="1:21" ht="15.75" thickBot="1"/>
    <row r="22" spans="1:21" ht="32.25" thickTop="1" thickBot="1">
      <c r="D22" s="18" t="s">
        <v>26</v>
      </c>
      <c r="E22" s="19" t="s">
        <v>27</v>
      </c>
      <c r="F22" s="20" t="s">
        <v>49</v>
      </c>
      <c r="G22" s="20" t="s">
        <v>9</v>
      </c>
      <c r="I22" s="55" t="s">
        <v>65</v>
      </c>
      <c r="J22" s="56" t="s">
        <v>66</v>
      </c>
      <c r="K22" s="20" t="s">
        <v>49</v>
      </c>
      <c r="L22" s="57" t="s">
        <v>67</v>
      </c>
    </row>
    <row r="23" spans="1:21" ht="66.75" customHeight="1" thickTop="1" thickBot="1">
      <c r="D23" s="198" t="s">
        <v>28</v>
      </c>
      <c r="E23" s="203" t="s">
        <v>29</v>
      </c>
      <c r="F23" s="21" t="s">
        <v>30</v>
      </c>
      <c r="G23" s="22" t="s">
        <v>31</v>
      </c>
      <c r="I23" s="198" t="s">
        <v>28</v>
      </c>
      <c r="J23" s="203" t="s">
        <v>29</v>
      </c>
      <c r="K23" s="54" t="s">
        <v>72</v>
      </c>
      <c r="L23" s="59" t="s">
        <v>71</v>
      </c>
    </row>
    <row r="24" spans="1:21" ht="85.5" customHeight="1" thickTop="1" thickBot="1">
      <c r="D24" s="198"/>
      <c r="E24" s="203"/>
      <c r="F24" s="21" t="s">
        <v>32</v>
      </c>
      <c r="G24" s="22" t="s">
        <v>33</v>
      </c>
      <c r="I24" s="198"/>
      <c r="J24" s="203"/>
      <c r="K24" s="54" t="s">
        <v>73</v>
      </c>
      <c r="L24" s="59" t="s">
        <v>69</v>
      </c>
    </row>
    <row r="25" spans="1:21" ht="89.25" customHeight="1" thickTop="1" thickBot="1">
      <c r="D25" s="199" t="s">
        <v>206</v>
      </c>
      <c r="E25" s="203" t="s">
        <v>34</v>
      </c>
      <c r="F25" s="22" t="s">
        <v>35</v>
      </c>
      <c r="G25" s="22" t="s">
        <v>36</v>
      </c>
      <c r="I25" s="199" t="s">
        <v>206</v>
      </c>
      <c r="J25" s="203" t="s">
        <v>34</v>
      </c>
      <c r="K25" s="59" t="s">
        <v>74</v>
      </c>
      <c r="L25" s="59" t="s">
        <v>70</v>
      </c>
    </row>
    <row r="26" spans="1:21" ht="53.25" customHeight="1" thickTop="1" thickBot="1">
      <c r="D26" s="200"/>
      <c r="E26" s="203"/>
      <c r="F26" s="23" t="s">
        <v>37</v>
      </c>
      <c r="G26" s="23" t="s">
        <v>38</v>
      </c>
      <c r="I26" s="200"/>
      <c r="J26" s="203"/>
      <c r="K26" s="58" t="s">
        <v>75</v>
      </c>
      <c r="L26" s="58" t="s">
        <v>68</v>
      </c>
    </row>
    <row r="27" spans="1:21" ht="32.1" customHeight="1" thickTop="1" thickBot="1">
      <c r="D27" s="201" t="s">
        <v>207</v>
      </c>
      <c r="E27" s="203" t="s">
        <v>39</v>
      </c>
      <c r="I27" s="201" t="s">
        <v>207</v>
      </c>
      <c r="J27" s="203" t="s">
        <v>39</v>
      </c>
    </row>
    <row r="28" spans="1:21" ht="32.1" customHeight="1" thickTop="1" thickBot="1">
      <c r="D28" s="202"/>
      <c r="E28" s="203"/>
      <c r="I28" s="202"/>
      <c r="J28" s="203"/>
    </row>
    <row r="29" spans="1:21" ht="15.75" thickTop="1"/>
  </sheetData>
  <mergeCells count="22">
    <mergeCell ref="I27:I28"/>
    <mergeCell ref="J27:J28"/>
    <mergeCell ref="I14:K14"/>
    <mergeCell ref="I23:I24"/>
    <mergeCell ref="J23:J24"/>
    <mergeCell ref="I25:I26"/>
    <mergeCell ref="J25:J26"/>
    <mergeCell ref="I2:K2"/>
    <mergeCell ref="M2:O2"/>
    <mergeCell ref="P2:U2"/>
    <mergeCell ref="B4:B6"/>
    <mergeCell ref="B7:B10"/>
    <mergeCell ref="F4:F6"/>
    <mergeCell ref="G4:G6"/>
    <mergeCell ref="G7:G10"/>
    <mergeCell ref="H7:H11"/>
    <mergeCell ref="D23:D24"/>
    <mergeCell ref="D25:D26"/>
    <mergeCell ref="D27:D28"/>
    <mergeCell ref="E23:E24"/>
    <mergeCell ref="E25:E26"/>
    <mergeCell ref="E27:E28"/>
  </mergeCells>
  <pageMargins left="0.69930555555555596" right="0.69930555555555596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46"/>
  <sheetViews>
    <sheetView workbookViewId="0">
      <selection activeCell="C20" sqref="C20:E20"/>
    </sheetView>
  </sheetViews>
  <sheetFormatPr defaultRowHeight="15"/>
  <cols>
    <col min="1" max="1" width="3.140625" customWidth="1"/>
    <col min="2" max="2" width="21.28515625" bestFit="1" customWidth="1"/>
  </cols>
  <sheetData>
    <row r="1" spans="1:24">
      <c r="A1" s="235"/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4">
      <c r="A2" s="235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</row>
    <row r="3" spans="1:24">
      <c r="A3" s="236"/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</row>
    <row r="4" spans="1:24" ht="15.75">
      <c r="A4" s="237" t="s">
        <v>105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79"/>
      <c r="V4" s="79"/>
      <c r="W4" s="79"/>
      <c r="X4" s="79"/>
    </row>
    <row r="5" spans="1:24">
      <c r="A5" s="239"/>
      <c r="B5" s="240"/>
      <c r="C5" s="240"/>
      <c r="D5" s="240"/>
      <c r="E5" s="240"/>
      <c r="F5" s="240"/>
      <c r="G5" s="240"/>
      <c r="H5" s="240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</row>
    <row r="6" spans="1:24">
      <c r="A6" s="80" t="s">
        <v>112</v>
      </c>
      <c r="B6" s="80" t="s">
        <v>113</v>
      </c>
      <c r="C6" s="241" t="s">
        <v>86</v>
      </c>
      <c r="D6" s="242"/>
      <c r="E6" s="243"/>
      <c r="F6" s="241" t="s">
        <v>87</v>
      </c>
      <c r="G6" s="242"/>
      <c r="H6" s="243"/>
      <c r="I6" s="241">
        <v>2023</v>
      </c>
      <c r="J6" s="242"/>
      <c r="K6" s="243"/>
      <c r="L6" s="241">
        <v>2024</v>
      </c>
      <c r="M6" s="242"/>
      <c r="N6" s="243"/>
      <c r="O6" s="241">
        <v>2025</v>
      </c>
      <c r="P6" s="242"/>
      <c r="Q6" s="243"/>
      <c r="R6" s="241">
        <v>2026</v>
      </c>
      <c r="S6" s="242"/>
      <c r="T6" s="243"/>
      <c r="U6" s="79"/>
      <c r="V6" s="79"/>
      <c r="W6" s="79"/>
      <c r="X6" s="79"/>
    </row>
    <row r="7" spans="1:24">
      <c r="A7" s="81">
        <v>1</v>
      </c>
      <c r="B7" s="232" t="s">
        <v>215</v>
      </c>
      <c r="C7" s="244" t="s">
        <v>216</v>
      </c>
      <c r="D7" s="245"/>
      <c r="E7" s="246"/>
      <c r="F7" s="225" t="s">
        <v>124</v>
      </c>
      <c r="G7" s="226"/>
      <c r="H7" s="227"/>
      <c r="I7" s="82"/>
      <c r="J7" s="81"/>
      <c r="K7" s="82"/>
      <c r="L7" s="82"/>
      <c r="M7" s="81"/>
      <c r="N7" s="82"/>
      <c r="O7" s="82"/>
      <c r="P7" s="82"/>
      <c r="Q7" s="82"/>
      <c r="R7" s="82"/>
      <c r="S7" s="82"/>
      <c r="T7" s="82"/>
      <c r="U7" s="79"/>
      <c r="V7" s="79"/>
      <c r="W7" s="79"/>
      <c r="X7" s="79"/>
    </row>
    <row r="8" spans="1:24">
      <c r="A8" s="81">
        <v>2</v>
      </c>
      <c r="B8" s="233"/>
      <c r="C8" s="225" t="s">
        <v>114</v>
      </c>
      <c r="D8" s="226"/>
      <c r="E8" s="227"/>
      <c r="F8" s="228">
        <v>0.1</v>
      </c>
      <c r="G8" s="226"/>
      <c r="H8" s="227"/>
      <c r="I8" s="82"/>
      <c r="J8" s="81"/>
      <c r="K8" s="82"/>
      <c r="L8" s="82"/>
      <c r="M8" s="81"/>
      <c r="N8" s="82"/>
      <c r="O8" s="82"/>
      <c r="P8" s="82"/>
      <c r="Q8" s="82"/>
      <c r="R8" s="82"/>
      <c r="S8" s="82"/>
      <c r="T8" s="82"/>
      <c r="U8" s="79"/>
      <c r="V8" s="79"/>
      <c r="W8" s="79"/>
      <c r="X8" s="79"/>
    </row>
    <row r="9" spans="1:24">
      <c r="A9" s="81">
        <v>3</v>
      </c>
      <c r="B9" s="234"/>
      <c r="C9" s="225" t="s">
        <v>115</v>
      </c>
      <c r="D9" s="226"/>
      <c r="E9" s="227"/>
      <c r="F9" s="228">
        <v>1</v>
      </c>
      <c r="G9" s="226"/>
      <c r="H9" s="227"/>
      <c r="I9" s="82"/>
      <c r="J9" s="107"/>
      <c r="K9" s="82"/>
      <c r="L9" s="82"/>
      <c r="M9" s="107"/>
      <c r="N9" s="82"/>
      <c r="O9" s="82"/>
      <c r="P9" s="82"/>
      <c r="Q9" s="82"/>
      <c r="R9" s="82"/>
      <c r="S9" s="82"/>
      <c r="T9" s="82"/>
      <c r="U9" s="79"/>
      <c r="V9" s="79"/>
      <c r="W9" s="79"/>
      <c r="X9" s="79"/>
    </row>
    <row r="10" spans="1:24">
      <c r="A10" s="81">
        <v>4</v>
      </c>
      <c r="B10" s="232" t="s">
        <v>218</v>
      </c>
      <c r="C10" s="225" t="s">
        <v>169</v>
      </c>
      <c r="D10" s="226"/>
      <c r="E10" s="227"/>
      <c r="F10" s="228">
        <v>0.9</v>
      </c>
      <c r="G10" s="229"/>
      <c r="H10" s="230"/>
      <c r="I10" s="82"/>
      <c r="J10" s="108"/>
      <c r="K10" s="82"/>
      <c r="L10" s="82"/>
      <c r="M10" s="108"/>
      <c r="N10" s="82"/>
      <c r="O10" s="82"/>
      <c r="P10" s="82"/>
      <c r="Q10" s="82"/>
      <c r="R10" s="82"/>
      <c r="S10" s="82"/>
      <c r="T10" s="82"/>
      <c r="U10" s="79"/>
      <c r="V10" s="79"/>
      <c r="W10" s="79"/>
      <c r="X10" s="79"/>
    </row>
    <row r="11" spans="1:24">
      <c r="A11" s="81">
        <v>5</v>
      </c>
      <c r="B11" s="233"/>
      <c r="C11" s="225" t="s">
        <v>217</v>
      </c>
      <c r="D11" s="226"/>
      <c r="E11" s="227"/>
      <c r="F11" s="228">
        <v>0.01</v>
      </c>
      <c r="G11" s="226"/>
      <c r="H11" s="227"/>
      <c r="I11" s="82"/>
      <c r="J11" s="81"/>
      <c r="K11" s="82"/>
      <c r="L11" s="82"/>
      <c r="M11" s="81"/>
      <c r="N11" s="82"/>
      <c r="O11" s="82"/>
      <c r="P11" s="82"/>
      <c r="Q11" s="82"/>
      <c r="R11" s="82"/>
      <c r="S11" s="82"/>
      <c r="T11" s="82"/>
      <c r="U11" s="79"/>
      <c r="V11" s="79"/>
      <c r="W11" s="79"/>
      <c r="X11" s="79"/>
    </row>
    <row r="12" spans="1:24">
      <c r="A12" s="81">
        <v>6</v>
      </c>
      <c r="B12" s="233"/>
      <c r="C12" s="225" t="s">
        <v>220</v>
      </c>
      <c r="D12" s="226"/>
      <c r="E12" s="227"/>
      <c r="F12" s="228">
        <v>0</v>
      </c>
      <c r="G12" s="229"/>
      <c r="H12" s="230"/>
      <c r="I12" s="82"/>
      <c r="J12" s="108"/>
      <c r="K12" s="82"/>
      <c r="L12" s="82"/>
      <c r="M12" s="108"/>
      <c r="N12" s="82"/>
      <c r="O12" s="82"/>
      <c r="P12" s="82"/>
      <c r="Q12" s="82"/>
      <c r="R12" s="82"/>
      <c r="S12" s="82"/>
      <c r="T12" s="82"/>
      <c r="U12" s="79"/>
      <c r="V12" s="79"/>
      <c r="W12" s="79"/>
      <c r="X12" s="79"/>
    </row>
    <row r="13" spans="1:24">
      <c r="A13" s="81">
        <v>7</v>
      </c>
      <c r="B13" s="233"/>
      <c r="C13" s="225" t="s">
        <v>219</v>
      </c>
      <c r="D13" s="226"/>
      <c r="E13" s="227"/>
      <c r="F13" s="228">
        <v>0.1</v>
      </c>
      <c r="G13" s="226"/>
      <c r="H13" s="227"/>
      <c r="I13" s="82"/>
      <c r="J13" s="108"/>
      <c r="K13" s="82"/>
      <c r="L13" s="82"/>
      <c r="M13" s="108"/>
      <c r="N13" s="82"/>
      <c r="O13" s="82"/>
      <c r="P13" s="82"/>
      <c r="Q13" s="82"/>
      <c r="R13" s="82"/>
      <c r="S13" s="82"/>
      <c r="T13" s="82"/>
      <c r="U13" s="79"/>
      <c r="V13" s="79"/>
      <c r="W13" s="79"/>
      <c r="X13" s="79"/>
    </row>
    <row r="14" spans="1:24">
      <c r="A14" s="81">
        <v>8</v>
      </c>
      <c r="B14" s="232" t="s">
        <v>88</v>
      </c>
      <c r="C14" s="225" t="s">
        <v>116</v>
      </c>
      <c r="D14" s="226"/>
      <c r="E14" s="227"/>
      <c r="F14" s="225" t="s">
        <v>117</v>
      </c>
      <c r="G14" s="226"/>
      <c r="H14" s="227"/>
      <c r="I14" s="82"/>
      <c r="J14" s="81"/>
      <c r="K14" s="82"/>
      <c r="L14" s="82"/>
      <c r="M14" s="81"/>
      <c r="N14" s="82"/>
      <c r="O14" s="82"/>
      <c r="P14" s="82"/>
      <c r="Q14" s="82"/>
      <c r="R14" s="82"/>
      <c r="S14" s="82"/>
      <c r="T14" s="82"/>
    </row>
    <row r="15" spans="1:24">
      <c r="A15" s="81">
        <v>9</v>
      </c>
      <c r="B15" s="233"/>
      <c r="C15" s="225" t="s">
        <v>118</v>
      </c>
      <c r="D15" s="226"/>
      <c r="E15" s="227"/>
      <c r="F15" s="228">
        <v>0.1</v>
      </c>
      <c r="G15" s="226"/>
      <c r="H15" s="227"/>
      <c r="I15" s="82"/>
      <c r="J15" s="81"/>
      <c r="K15" s="82"/>
      <c r="L15" s="82"/>
      <c r="M15" s="81"/>
      <c r="N15" s="82"/>
      <c r="O15" s="82"/>
      <c r="P15" s="82"/>
      <c r="Q15" s="82"/>
      <c r="R15" s="82"/>
      <c r="S15" s="82"/>
      <c r="T15" s="82"/>
    </row>
    <row r="16" spans="1:24">
      <c r="A16" s="81">
        <v>10</v>
      </c>
      <c r="B16" s="233"/>
      <c r="C16" s="225" t="s">
        <v>119</v>
      </c>
      <c r="D16" s="226"/>
      <c r="E16" s="227"/>
      <c r="F16" s="225" t="s">
        <v>120</v>
      </c>
      <c r="G16" s="226"/>
      <c r="H16" s="227"/>
      <c r="I16" s="82"/>
      <c r="J16" s="81"/>
      <c r="K16" s="82"/>
      <c r="L16" s="82"/>
      <c r="M16" s="81"/>
      <c r="N16" s="82"/>
      <c r="O16" s="82"/>
      <c r="P16" s="82"/>
      <c r="Q16" s="82"/>
      <c r="R16" s="82"/>
      <c r="S16" s="82"/>
      <c r="T16" s="82"/>
    </row>
    <row r="17" spans="1:20">
      <c r="A17" s="81">
        <v>11</v>
      </c>
      <c r="B17" s="234"/>
      <c r="C17" s="225" t="s">
        <v>121</v>
      </c>
      <c r="D17" s="226"/>
      <c r="E17" s="227"/>
      <c r="F17" s="228" t="s">
        <v>122</v>
      </c>
      <c r="G17" s="226"/>
      <c r="H17" s="227"/>
      <c r="I17" s="82"/>
      <c r="J17" s="81"/>
      <c r="K17" s="82"/>
      <c r="L17" s="82"/>
      <c r="M17" s="108"/>
      <c r="N17" s="82"/>
      <c r="O17" s="82"/>
      <c r="P17" s="82"/>
      <c r="Q17" s="82"/>
      <c r="R17" s="82"/>
      <c r="S17" s="82"/>
      <c r="T17" s="82"/>
    </row>
    <row r="18" spans="1:20">
      <c r="A18" s="81">
        <v>12</v>
      </c>
      <c r="B18" s="232" t="s">
        <v>89</v>
      </c>
      <c r="C18" s="225" t="s">
        <v>170</v>
      </c>
      <c r="D18" s="226"/>
      <c r="E18" s="227"/>
      <c r="F18" s="228" t="s">
        <v>171</v>
      </c>
      <c r="G18" s="229"/>
      <c r="H18" s="230"/>
      <c r="I18" s="82"/>
      <c r="J18" s="81"/>
      <c r="K18" s="82"/>
      <c r="L18" s="82"/>
      <c r="M18" s="81"/>
      <c r="N18" s="82"/>
      <c r="O18" s="82"/>
      <c r="P18" s="82"/>
      <c r="Q18" s="82"/>
      <c r="R18" s="82"/>
      <c r="S18" s="82"/>
      <c r="T18" s="82"/>
    </row>
    <row r="19" spans="1:20">
      <c r="A19" s="81"/>
      <c r="B19" s="233"/>
      <c r="C19" s="225" t="s">
        <v>172</v>
      </c>
      <c r="D19" s="226"/>
      <c r="E19" s="227"/>
      <c r="F19" s="228" t="s">
        <v>173</v>
      </c>
      <c r="G19" s="229"/>
      <c r="H19" s="230"/>
      <c r="I19" s="82"/>
      <c r="J19" s="81"/>
      <c r="K19" s="82"/>
      <c r="L19" s="82"/>
      <c r="M19" s="81"/>
      <c r="N19" s="82"/>
      <c r="O19" s="82"/>
      <c r="P19" s="82"/>
      <c r="Q19" s="82"/>
      <c r="R19" s="82"/>
      <c r="S19" s="82"/>
      <c r="T19" s="82"/>
    </row>
    <row r="20" spans="1:20">
      <c r="A20" s="81">
        <v>13</v>
      </c>
      <c r="B20" s="234"/>
      <c r="C20" s="225" t="s">
        <v>227</v>
      </c>
      <c r="D20" s="226"/>
      <c r="E20" s="227"/>
      <c r="F20" s="228">
        <v>1</v>
      </c>
      <c r="G20" s="226"/>
      <c r="H20" s="227"/>
      <c r="I20" s="82"/>
      <c r="J20" s="108"/>
      <c r="K20" s="82"/>
      <c r="L20" s="82"/>
      <c r="M20" s="108"/>
      <c r="N20" s="82"/>
      <c r="O20" s="82"/>
      <c r="P20" s="82"/>
      <c r="Q20" s="82"/>
      <c r="R20" s="82"/>
      <c r="S20" s="82"/>
      <c r="T20" s="82"/>
    </row>
    <row r="21" spans="1:20">
      <c r="A21" s="83"/>
      <c r="B21" s="84"/>
      <c r="C21" s="231"/>
      <c r="D21" s="231"/>
      <c r="E21" s="231"/>
      <c r="F21" s="231"/>
      <c r="G21" s="231"/>
      <c r="H21" s="231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</row>
    <row r="22" spans="1:20">
      <c r="A22" s="85"/>
      <c r="B22" s="79" t="s">
        <v>208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</row>
    <row r="23" spans="1:20">
      <c r="A23" s="85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</row>
    <row r="24" spans="1:20">
      <c r="A24" s="85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</row>
    <row r="25" spans="1:20">
      <c r="A25" s="85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</row>
    <row r="26" spans="1:20">
      <c r="A26" s="85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</row>
    <row r="27" spans="1:20">
      <c r="A27" s="85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</row>
    <row r="28" spans="1:20">
      <c r="A28" s="85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</row>
    <row r="29" spans="1:20">
      <c r="A29" s="85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</row>
    <row r="30" spans="1:20">
      <c r="A30" s="85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</row>
    <row r="31" spans="1:20">
      <c r="A31" s="85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</row>
    <row r="32" spans="1:20">
      <c r="A32" s="85"/>
    </row>
    <row r="33" spans="1:1">
      <c r="A33" s="85"/>
    </row>
    <row r="34" spans="1:1">
      <c r="A34" s="85"/>
    </row>
    <row r="35" spans="1:1">
      <c r="A35" s="85"/>
    </row>
    <row r="36" spans="1:1">
      <c r="A36" s="85"/>
    </row>
    <row r="37" spans="1:1">
      <c r="A37" s="85"/>
    </row>
    <row r="38" spans="1:1">
      <c r="A38" s="85"/>
    </row>
    <row r="39" spans="1:1">
      <c r="A39" s="85"/>
    </row>
    <row r="40" spans="1:1">
      <c r="A40" s="85"/>
    </row>
    <row r="41" spans="1:1">
      <c r="A41" s="85"/>
    </row>
    <row r="42" spans="1:1">
      <c r="A42" s="85"/>
    </row>
    <row r="43" spans="1:1">
      <c r="A43" s="85"/>
    </row>
    <row r="44" spans="1:1">
      <c r="A44" s="85"/>
    </row>
    <row r="45" spans="1:1">
      <c r="A45" s="85"/>
    </row>
    <row r="46" spans="1:1">
      <c r="A46" s="85"/>
    </row>
    <row r="47" spans="1:1">
      <c r="A47" s="85"/>
    </row>
    <row r="48" spans="1:1">
      <c r="A48" s="85"/>
    </row>
    <row r="49" spans="1:1">
      <c r="A49" s="85"/>
    </row>
    <row r="50" spans="1:1">
      <c r="A50" s="85"/>
    </row>
    <row r="51" spans="1:1">
      <c r="A51" s="85"/>
    </row>
    <row r="52" spans="1:1">
      <c r="A52" s="85"/>
    </row>
    <row r="53" spans="1:1">
      <c r="A53" s="85"/>
    </row>
    <row r="54" spans="1:1">
      <c r="A54" s="85"/>
    </row>
    <row r="55" spans="1:1">
      <c r="A55" s="85"/>
    </row>
    <row r="56" spans="1:1">
      <c r="A56" s="85"/>
    </row>
    <row r="57" spans="1:1">
      <c r="A57" s="85"/>
    </row>
    <row r="58" spans="1:1">
      <c r="A58" s="85"/>
    </row>
    <row r="59" spans="1:1">
      <c r="A59" s="85"/>
    </row>
    <row r="60" spans="1:1">
      <c r="A60" s="85"/>
    </row>
    <row r="61" spans="1:1">
      <c r="A61" s="85"/>
    </row>
    <row r="62" spans="1:1">
      <c r="A62" s="85"/>
    </row>
    <row r="63" spans="1:1">
      <c r="A63" s="85"/>
    </row>
    <row r="64" spans="1:1">
      <c r="A64" s="85"/>
    </row>
    <row r="65" spans="1:1">
      <c r="A65" s="85"/>
    </row>
    <row r="66" spans="1:1">
      <c r="A66" s="85"/>
    </row>
    <row r="67" spans="1:1">
      <c r="A67" s="85"/>
    </row>
    <row r="68" spans="1:1">
      <c r="A68" s="85"/>
    </row>
    <row r="69" spans="1:1">
      <c r="A69" s="85"/>
    </row>
    <row r="70" spans="1:1">
      <c r="A70" s="85"/>
    </row>
    <row r="71" spans="1:1">
      <c r="A71" s="85"/>
    </row>
    <row r="72" spans="1:1">
      <c r="A72" s="85"/>
    </row>
    <row r="73" spans="1:1">
      <c r="A73" s="85"/>
    </row>
    <row r="74" spans="1:1">
      <c r="A74" s="85"/>
    </row>
    <row r="75" spans="1:1">
      <c r="A75" s="85"/>
    </row>
    <row r="76" spans="1:1">
      <c r="A76" s="85"/>
    </row>
    <row r="77" spans="1:1">
      <c r="A77" s="85"/>
    </row>
    <row r="78" spans="1:1">
      <c r="A78" s="85"/>
    </row>
    <row r="79" spans="1:1">
      <c r="A79" s="85"/>
    </row>
    <row r="80" spans="1:1">
      <c r="A80" s="85"/>
    </row>
    <row r="81" spans="1:1">
      <c r="A81" s="85"/>
    </row>
    <row r="82" spans="1:1">
      <c r="A82" s="85"/>
    </row>
    <row r="83" spans="1:1">
      <c r="A83" s="85"/>
    </row>
    <row r="84" spans="1:1">
      <c r="A84" s="85"/>
    </row>
    <row r="85" spans="1:1">
      <c r="A85" s="85"/>
    </row>
    <row r="86" spans="1:1">
      <c r="A86" s="85"/>
    </row>
    <row r="87" spans="1:1">
      <c r="A87" s="85"/>
    </row>
    <row r="88" spans="1:1">
      <c r="A88" s="85"/>
    </row>
    <row r="89" spans="1:1">
      <c r="A89" s="85"/>
    </row>
    <row r="90" spans="1:1">
      <c r="A90" s="85"/>
    </row>
    <row r="91" spans="1:1">
      <c r="A91" s="85"/>
    </row>
    <row r="92" spans="1:1">
      <c r="A92" s="85"/>
    </row>
    <row r="93" spans="1:1">
      <c r="A93" s="85"/>
    </row>
    <row r="94" spans="1:1">
      <c r="A94" s="85"/>
    </row>
    <row r="95" spans="1:1">
      <c r="A95" s="85"/>
    </row>
    <row r="96" spans="1:1">
      <c r="A96" s="85"/>
    </row>
    <row r="97" spans="1:1">
      <c r="A97" s="85"/>
    </row>
    <row r="98" spans="1:1">
      <c r="A98" s="85"/>
    </row>
    <row r="99" spans="1:1">
      <c r="A99" s="85"/>
    </row>
    <row r="100" spans="1:1">
      <c r="A100" s="85"/>
    </row>
    <row r="101" spans="1:1">
      <c r="A101" s="85"/>
    </row>
    <row r="102" spans="1:1">
      <c r="A102" s="85"/>
    </row>
    <row r="103" spans="1:1">
      <c r="A103" s="85"/>
    </row>
    <row r="104" spans="1:1">
      <c r="A104" s="85"/>
    </row>
    <row r="105" spans="1:1">
      <c r="A105" s="85"/>
    </row>
    <row r="106" spans="1:1">
      <c r="A106" s="85"/>
    </row>
    <row r="107" spans="1:1">
      <c r="A107" s="85"/>
    </row>
    <row r="108" spans="1:1">
      <c r="A108" s="85"/>
    </row>
    <row r="109" spans="1:1">
      <c r="A109" s="85"/>
    </row>
    <row r="110" spans="1:1">
      <c r="A110" s="85"/>
    </row>
    <row r="111" spans="1:1">
      <c r="A111" s="85"/>
    </row>
    <row r="112" spans="1:1">
      <c r="A112" s="85"/>
    </row>
    <row r="113" spans="1:1">
      <c r="A113" s="85"/>
    </row>
    <row r="114" spans="1:1">
      <c r="A114" s="85"/>
    </row>
    <row r="115" spans="1:1">
      <c r="A115" s="85"/>
    </row>
    <row r="116" spans="1:1">
      <c r="A116" s="85"/>
    </row>
    <row r="117" spans="1:1">
      <c r="A117" s="85"/>
    </row>
    <row r="118" spans="1:1">
      <c r="A118" s="85"/>
    </row>
    <row r="119" spans="1:1">
      <c r="A119" s="85"/>
    </row>
    <row r="120" spans="1:1">
      <c r="A120" s="85"/>
    </row>
    <row r="121" spans="1:1">
      <c r="A121" s="85"/>
    </row>
    <row r="122" spans="1:1">
      <c r="A122" s="85"/>
    </row>
    <row r="123" spans="1:1">
      <c r="A123" s="85"/>
    </row>
    <row r="124" spans="1:1">
      <c r="A124" s="85"/>
    </row>
    <row r="125" spans="1:1">
      <c r="A125" s="85"/>
    </row>
    <row r="126" spans="1:1">
      <c r="A126" s="85"/>
    </row>
    <row r="127" spans="1:1">
      <c r="A127" s="85"/>
    </row>
    <row r="128" spans="1:1">
      <c r="A128" s="85"/>
    </row>
    <row r="129" spans="1:1">
      <c r="A129" s="85"/>
    </row>
    <row r="130" spans="1:1">
      <c r="A130" s="85"/>
    </row>
    <row r="131" spans="1:1">
      <c r="A131" s="85"/>
    </row>
    <row r="132" spans="1:1">
      <c r="A132" s="85"/>
    </row>
    <row r="133" spans="1:1">
      <c r="A133" s="85"/>
    </row>
    <row r="134" spans="1:1">
      <c r="A134" s="85"/>
    </row>
    <row r="135" spans="1:1">
      <c r="A135" s="85"/>
    </row>
    <row r="136" spans="1:1">
      <c r="A136" s="85"/>
    </row>
    <row r="137" spans="1:1">
      <c r="A137" s="85"/>
    </row>
    <row r="138" spans="1:1">
      <c r="A138" s="85"/>
    </row>
    <row r="139" spans="1:1">
      <c r="A139" s="85"/>
    </row>
    <row r="140" spans="1:1">
      <c r="A140" s="85"/>
    </row>
    <row r="141" spans="1:1">
      <c r="A141" s="85"/>
    </row>
    <row r="142" spans="1:1">
      <c r="A142" s="85"/>
    </row>
    <row r="143" spans="1:1">
      <c r="A143" s="85"/>
    </row>
    <row r="144" spans="1:1">
      <c r="A144" s="85"/>
    </row>
    <row r="145" spans="1:1">
      <c r="A145" s="85"/>
    </row>
    <row r="146" spans="1:1">
      <c r="A146" s="85"/>
    </row>
    <row r="147" spans="1:1">
      <c r="A147" s="85"/>
    </row>
    <row r="148" spans="1:1">
      <c r="A148" s="85"/>
    </row>
    <row r="149" spans="1:1">
      <c r="A149" s="85"/>
    </row>
    <row r="150" spans="1:1">
      <c r="A150" s="85"/>
    </row>
    <row r="151" spans="1:1">
      <c r="A151" s="85"/>
    </row>
    <row r="152" spans="1:1">
      <c r="A152" s="85"/>
    </row>
    <row r="153" spans="1:1">
      <c r="A153" s="85"/>
    </row>
    <row r="154" spans="1:1">
      <c r="A154" s="85"/>
    </row>
    <row r="155" spans="1:1">
      <c r="A155" s="85"/>
    </row>
    <row r="156" spans="1:1">
      <c r="A156" s="85"/>
    </row>
    <row r="157" spans="1:1">
      <c r="A157" s="85"/>
    </row>
    <row r="158" spans="1:1">
      <c r="A158" s="85"/>
    </row>
    <row r="159" spans="1:1">
      <c r="A159" s="85"/>
    </row>
    <row r="160" spans="1:1">
      <c r="A160" s="85"/>
    </row>
    <row r="161" spans="1:1">
      <c r="A161" s="85"/>
    </row>
    <row r="162" spans="1:1">
      <c r="A162" s="85"/>
    </row>
    <row r="163" spans="1:1">
      <c r="A163" s="85"/>
    </row>
    <row r="164" spans="1:1">
      <c r="A164" s="85"/>
    </row>
    <row r="165" spans="1:1">
      <c r="A165" s="85"/>
    </row>
    <row r="166" spans="1:1">
      <c r="A166" s="85"/>
    </row>
    <row r="167" spans="1:1">
      <c r="A167" s="85"/>
    </row>
    <row r="168" spans="1:1">
      <c r="A168" s="85"/>
    </row>
    <row r="169" spans="1:1">
      <c r="A169" s="85"/>
    </row>
    <row r="170" spans="1:1">
      <c r="A170" s="85"/>
    </row>
    <row r="171" spans="1:1">
      <c r="A171" s="85"/>
    </row>
    <row r="172" spans="1:1">
      <c r="A172" s="85"/>
    </row>
    <row r="173" spans="1:1">
      <c r="A173" s="85"/>
    </row>
    <row r="174" spans="1:1">
      <c r="A174" s="85"/>
    </row>
    <row r="175" spans="1:1">
      <c r="A175" s="85"/>
    </row>
    <row r="176" spans="1:1">
      <c r="A176" s="85"/>
    </row>
    <row r="177" spans="1:1">
      <c r="A177" s="85"/>
    </row>
    <row r="178" spans="1:1">
      <c r="A178" s="85"/>
    </row>
    <row r="179" spans="1:1">
      <c r="A179" s="85"/>
    </row>
    <row r="180" spans="1:1">
      <c r="A180" s="85"/>
    </row>
    <row r="181" spans="1:1">
      <c r="A181" s="85"/>
    </row>
    <row r="182" spans="1:1">
      <c r="A182" s="85"/>
    </row>
    <row r="183" spans="1:1">
      <c r="A183" s="85"/>
    </row>
    <row r="184" spans="1:1">
      <c r="A184" s="85"/>
    </row>
    <row r="185" spans="1:1">
      <c r="A185" s="85"/>
    </row>
    <row r="186" spans="1:1">
      <c r="A186" s="85"/>
    </row>
    <row r="187" spans="1:1">
      <c r="A187" s="85"/>
    </row>
    <row r="188" spans="1:1">
      <c r="A188" s="85"/>
    </row>
    <row r="189" spans="1:1">
      <c r="A189" s="85"/>
    </row>
    <row r="190" spans="1:1">
      <c r="A190" s="85"/>
    </row>
    <row r="191" spans="1:1">
      <c r="A191" s="85"/>
    </row>
    <row r="192" spans="1:1">
      <c r="A192" s="85"/>
    </row>
    <row r="193" spans="1:1">
      <c r="A193" s="85"/>
    </row>
    <row r="194" spans="1:1">
      <c r="A194" s="85"/>
    </row>
    <row r="195" spans="1:1">
      <c r="A195" s="85"/>
    </row>
    <row r="196" spans="1:1">
      <c r="A196" s="85"/>
    </row>
    <row r="197" spans="1:1">
      <c r="A197" s="85"/>
    </row>
    <row r="198" spans="1:1">
      <c r="A198" s="85"/>
    </row>
    <row r="199" spans="1:1">
      <c r="A199" s="85"/>
    </row>
    <row r="200" spans="1:1">
      <c r="A200" s="85"/>
    </row>
    <row r="201" spans="1:1">
      <c r="A201" s="85"/>
    </row>
    <row r="202" spans="1:1">
      <c r="A202" s="85"/>
    </row>
    <row r="203" spans="1:1">
      <c r="A203" s="85"/>
    </row>
    <row r="204" spans="1:1">
      <c r="A204" s="85"/>
    </row>
    <row r="205" spans="1:1">
      <c r="A205" s="85"/>
    </row>
    <row r="206" spans="1:1">
      <c r="A206" s="85"/>
    </row>
    <row r="207" spans="1:1">
      <c r="A207" s="85"/>
    </row>
    <row r="208" spans="1:1">
      <c r="A208" s="85"/>
    </row>
    <row r="209" spans="1:1">
      <c r="A209" s="85"/>
    </row>
    <row r="210" spans="1:1">
      <c r="A210" s="85"/>
    </row>
    <row r="211" spans="1:1">
      <c r="A211" s="85"/>
    </row>
    <row r="212" spans="1:1">
      <c r="A212" s="85"/>
    </row>
    <row r="213" spans="1:1">
      <c r="A213" s="85"/>
    </row>
    <row r="214" spans="1:1">
      <c r="A214" s="85"/>
    </row>
    <row r="215" spans="1:1">
      <c r="A215" s="85"/>
    </row>
    <row r="216" spans="1:1">
      <c r="A216" s="85"/>
    </row>
    <row r="217" spans="1:1">
      <c r="A217" s="85"/>
    </row>
    <row r="218" spans="1:1">
      <c r="A218" s="85"/>
    </row>
    <row r="219" spans="1:1">
      <c r="A219" s="85"/>
    </row>
    <row r="220" spans="1:1">
      <c r="A220" s="85"/>
    </row>
    <row r="221" spans="1:1">
      <c r="A221" s="85"/>
    </row>
    <row r="222" spans="1:1">
      <c r="A222" s="85"/>
    </row>
    <row r="223" spans="1:1">
      <c r="A223" s="85"/>
    </row>
    <row r="224" spans="1:1">
      <c r="A224" s="85"/>
    </row>
    <row r="225" spans="1:1">
      <c r="A225" s="85"/>
    </row>
    <row r="226" spans="1:1">
      <c r="A226" s="85"/>
    </row>
    <row r="227" spans="1:1">
      <c r="A227" s="85"/>
    </row>
    <row r="228" spans="1:1">
      <c r="A228" s="85"/>
    </row>
    <row r="229" spans="1:1">
      <c r="A229" s="85"/>
    </row>
    <row r="230" spans="1:1">
      <c r="A230" s="85"/>
    </row>
    <row r="231" spans="1:1">
      <c r="A231" s="85"/>
    </row>
    <row r="232" spans="1:1">
      <c r="A232" s="85"/>
    </row>
    <row r="233" spans="1:1">
      <c r="A233" s="85"/>
    </row>
    <row r="234" spans="1:1">
      <c r="A234" s="85"/>
    </row>
    <row r="235" spans="1:1">
      <c r="A235" s="85"/>
    </row>
    <row r="236" spans="1:1">
      <c r="A236" s="85"/>
    </row>
    <row r="237" spans="1:1">
      <c r="A237" s="85"/>
    </row>
    <row r="238" spans="1:1">
      <c r="A238" s="85"/>
    </row>
    <row r="239" spans="1:1">
      <c r="A239" s="85"/>
    </row>
    <row r="240" spans="1:1">
      <c r="A240" s="85"/>
    </row>
    <row r="241" spans="1:1">
      <c r="A241" s="85"/>
    </row>
    <row r="242" spans="1:1">
      <c r="A242" s="85"/>
    </row>
    <row r="243" spans="1:1">
      <c r="A243" s="85"/>
    </row>
    <row r="244" spans="1:1">
      <c r="A244" s="85"/>
    </row>
    <row r="245" spans="1:1">
      <c r="A245" s="85"/>
    </row>
    <row r="246" spans="1:1">
      <c r="A246" s="85"/>
    </row>
    <row r="247" spans="1:1">
      <c r="A247" s="85"/>
    </row>
    <row r="248" spans="1:1">
      <c r="A248" s="85"/>
    </row>
    <row r="249" spans="1:1">
      <c r="A249" s="85"/>
    </row>
    <row r="250" spans="1:1">
      <c r="A250" s="85"/>
    </row>
    <row r="251" spans="1:1">
      <c r="A251" s="85"/>
    </row>
    <row r="252" spans="1:1">
      <c r="A252" s="85"/>
    </row>
    <row r="253" spans="1:1">
      <c r="A253" s="85"/>
    </row>
    <row r="254" spans="1:1">
      <c r="A254" s="85"/>
    </row>
    <row r="255" spans="1:1">
      <c r="A255" s="85"/>
    </row>
    <row r="256" spans="1:1">
      <c r="A256" s="85"/>
    </row>
    <row r="257" spans="1:1">
      <c r="A257" s="85"/>
    </row>
    <row r="258" spans="1:1">
      <c r="A258" s="85"/>
    </row>
    <row r="259" spans="1:1">
      <c r="A259" s="85"/>
    </row>
    <row r="260" spans="1:1">
      <c r="A260" s="85"/>
    </row>
    <row r="261" spans="1:1">
      <c r="A261" s="85"/>
    </row>
    <row r="262" spans="1:1">
      <c r="A262" s="85"/>
    </row>
    <row r="263" spans="1:1">
      <c r="A263" s="85"/>
    </row>
    <row r="264" spans="1:1">
      <c r="A264" s="85"/>
    </row>
    <row r="265" spans="1:1">
      <c r="A265" s="85"/>
    </row>
    <row r="266" spans="1:1">
      <c r="A266" s="85"/>
    </row>
    <row r="267" spans="1:1">
      <c r="A267" s="85"/>
    </row>
    <row r="268" spans="1:1">
      <c r="A268" s="85"/>
    </row>
    <row r="269" spans="1:1">
      <c r="A269" s="85"/>
    </row>
    <row r="270" spans="1:1">
      <c r="A270" s="85"/>
    </row>
    <row r="271" spans="1:1">
      <c r="A271" s="85"/>
    </row>
    <row r="272" spans="1:1">
      <c r="A272" s="85"/>
    </row>
    <row r="273" spans="1:1">
      <c r="A273" s="85"/>
    </row>
    <row r="274" spans="1:1">
      <c r="A274" s="85"/>
    </row>
    <row r="275" spans="1:1">
      <c r="A275" s="85"/>
    </row>
    <row r="276" spans="1:1">
      <c r="A276" s="85"/>
    </row>
    <row r="277" spans="1:1">
      <c r="A277" s="85"/>
    </row>
    <row r="278" spans="1:1">
      <c r="A278" s="85"/>
    </row>
    <row r="279" spans="1:1">
      <c r="A279" s="85"/>
    </row>
    <row r="280" spans="1:1">
      <c r="A280" s="85"/>
    </row>
    <row r="281" spans="1:1">
      <c r="A281" s="85"/>
    </row>
    <row r="282" spans="1:1">
      <c r="A282" s="85"/>
    </row>
    <row r="283" spans="1:1">
      <c r="A283" s="85"/>
    </row>
    <row r="284" spans="1:1">
      <c r="A284" s="85"/>
    </row>
    <row r="285" spans="1:1">
      <c r="A285" s="85"/>
    </row>
    <row r="286" spans="1:1">
      <c r="A286" s="85"/>
    </row>
    <row r="287" spans="1:1">
      <c r="A287" s="85"/>
    </row>
    <row r="288" spans="1:1">
      <c r="A288" s="85"/>
    </row>
    <row r="289" spans="1:1">
      <c r="A289" s="85"/>
    </row>
    <row r="290" spans="1:1">
      <c r="A290" s="85"/>
    </row>
    <row r="291" spans="1:1">
      <c r="A291" s="85"/>
    </row>
    <row r="292" spans="1:1">
      <c r="A292" s="85"/>
    </row>
    <row r="293" spans="1:1">
      <c r="A293" s="85"/>
    </row>
    <row r="294" spans="1:1">
      <c r="A294" s="85"/>
    </row>
    <row r="295" spans="1:1">
      <c r="A295" s="85"/>
    </row>
    <row r="296" spans="1:1">
      <c r="A296" s="85"/>
    </row>
    <row r="297" spans="1:1">
      <c r="A297" s="85"/>
    </row>
    <row r="298" spans="1:1">
      <c r="A298" s="85"/>
    </row>
    <row r="299" spans="1:1">
      <c r="A299" s="85"/>
    </row>
    <row r="300" spans="1:1">
      <c r="A300" s="85"/>
    </row>
    <row r="301" spans="1:1">
      <c r="A301" s="85"/>
    </row>
    <row r="302" spans="1:1">
      <c r="A302" s="85"/>
    </row>
    <row r="303" spans="1:1">
      <c r="A303" s="85"/>
    </row>
    <row r="304" spans="1:1">
      <c r="A304" s="85"/>
    </row>
    <row r="305" spans="1:1">
      <c r="A305" s="85"/>
    </row>
    <row r="306" spans="1:1">
      <c r="A306" s="85"/>
    </row>
    <row r="307" spans="1:1">
      <c r="A307" s="85"/>
    </row>
    <row r="308" spans="1:1">
      <c r="A308" s="85"/>
    </row>
    <row r="309" spans="1:1">
      <c r="A309" s="85"/>
    </row>
    <row r="310" spans="1:1">
      <c r="A310" s="85"/>
    </row>
    <row r="311" spans="1:1">
      <c r="A311" s="85"/>
    </row>
    <row r="312" spans="1:1">
      <c r="A312" s="85"/>
    </row>
    <row r="313" spans="1:1">
      <c r="A313" s="85"/>
    </row>
    <row r="314" spans="1:1">
      <c r="A314" s="85"/>
    </row>
    <row r="315" spans="1:1">
      <c r="A315" s="85"/>
    </row>
    <row r="316" spans="1:1">
      <c r="A316" s="85"/>
    </row>
    <row r="317" spans="1:1">
      <c r="A317" s="85"/>
    </row>
    <row r="318" spans="1:1">
      <c r="A318" s="85"/>
    </row>
    <row r="319" spans="1:1">
      <c r="A319" s="85"/>
    </row>
    <row r="320" spans="1:1">
      <c r="A320" s="85"/>
    </row>
    <row r="321" spans="1:1">
      <c r="A321" s="85"/>
    </row>
    <row r="322" spans="1:1">
      <c r="A322" s="85"/>
    </row>
    <row r="323" spans="1:1">
      <c r="A323" s="85"/>
    </row>
    <row r="324" spans="1:1">
      <c r="A324" s="85"/>
    </row>
    <row r="325" spans="1:1">
      <c r="A325" s="85"/>
    </row>
    <row r="326" spans="1:1">
      <c r="A326" s="85"/>
    </row>
    <row r="327" spans="1:1">
      <c r="A327" s="85"/>
    </row>
    <row r="328" spans="1:1">
      <c r="A328" s="85"/>
    </row>
    <row r="329" spans="1:1">
      <c r="A329" s="85"/>
    </row>
    <row r="330" spans="1:1">
      <c r="A330" s="85"/>
    </row>
    <row r="331" spans="1:1">
      <c r="A331" s="85"/>
    </row>
    <row r="332" spans="1:1">
      <c r="A332" s="85"/>
    </row>
    <row r="333" spans="1:1">
      <c r="A333" s="85"/>
    </row>
    <row r="334" spans="1:1">
      <c r="A334" s="85"/>
    </row>
    <row r="335" spans="1:1">
      <c r="A335" s="85"/>
    </row>
    <row r="336" spans="1:1">
      <c r="A336" s="85"/>
    </row>
    <row r="337" spans="1:1">
      <c r="A337" s="85"/>
    </row>
    <row r="338" spans="1:1">
      <c r="A338" s="85"/>
    </row>
    <row r="339" spans="1:1">
      <c r="A339" s="85"/>
    </row>
    <row r="340" spans="1:1">
      <c r="A340" s="85"/>
    </row>
    <row r="341" spans="1:1">
      <c r="A341" s="85"/>
    </row>
    <row r="342" spans="1:1">
      <c r="A342" s="85"/>
    </row>
    <row r="343" spans="1:1">
      <c r="A343" s="85"/>
    </row>
    <row r="344" spans="1:1">
      <c r="A344" s="85"/>
    </row>
    <row r="345" spans="1:1">
      <c r="A345" s="85"/>
    </row>
    <row r="346" spans="1:1">
      <c r="A346" s="85"/>
    </row>
    <row r="347" spans="1:1">
      <c r="A347" s="85"/>
    </row>
    <row r="348" spans="1:1">
      <c r="A348" s="85"/>
    </row>
    <row r="349" spans="1:1">
      <c r="A349" s="85"/>
    </row>
    <row r="350" spans="1:1">
      <c r="A350" s="85"/>
    </row>
    <row r="351" spans="1:1">
      <c r="A351" s="85"/>
    </row>
    <row r="352" spans="1:1">
      <c r="A352" s="85"/>
    </row>
    <row r="353" spans="1:1">
      <c r="A353" s="85"/>
    </row>
    <row r="354" spans="1:1">
      <c r="A354" s="85"/>
    </row>
    <row r="355" spans="1:1">
      <c r="A355" s="85"/>
    </row>
    <row r="356" spans="1:1">
      <c r="A356" s="85"/>
    </row>
    <row r="357" spans="1:1">
      <c r="A357" s="85"/>
    </row>
    <row r="358" spans="1:1">
      <c r="A358" s="85"/>
    </row>
    <row r="359" spans="1:1">
      <c r="A359" s="85"/>
    </row>
    <row r="360" spans="1:1">
      <c r="A360" s="85"/>
    </row>
    <row r="361" spans="1:1">
      <c r="A361" s="85"/>
    </row>
    <row r="362" spans="1:1">
      <c r="A362" s="85"/>
    </row>
    <row r="363" spans="1:1">
      <c r="A363" s="85"/>
    </row>
    <row r="364" spans="1:1">
      <c r="A364" s="85"/>
    </row>
    <row r="365" spans="1:1">
      <c r="A365" s="85"/>
    </row>
    <row r="366" spans="1:1">
      <c r="A366" s="85"/>
    </row>
    <row r="367" spans="1:1">
      <c r="A367" s="85"/>
    </row>
    <row r="368" spans="1:1">
      <c r="A368" s="85"/>
    </row>
    <row r="369" spans="1:1">
      <c r="A369" s="85"/>
    </row>
    <row r="370" spans="1:1">
      <c r="A370" s="85"/>
    </row>
    <row r="371" spans="1:1">
      <c r="A371" s="85"/>
    </row>
    <row r="372" spans="1:1">
      <c r="A372" s="85"/>
    </row>
    <row r="373" spans="1:1">
      <c r="A373" s="85"/>
    </row>
    <row r="374" spans="1:1">
      <c r="A374" s="85"/>
    </row>
    <row r="375" spans="1:1">
      <c r="A375" s="85"/>
    </row>
    <row r="376" spans="1:1">
      <c r="A376" s="85"/>
    </row>
    <row r="377" spans="1:1">
      <c r="A377" s="85"/>
    </row>
    <row r="378" spans="1:1">
      <c r="A378" s="85"/>
    </row>
    <row r="379" spans="1:1">
      <c r="A379" s="85"/>
    </row>
    <row r="380" spans="1:1">
      <c r="A380" s="85"/>
    </row>
    <row r="381" spans="1:1">
      <c r="A381" s="85"/>
    </row>
    <row r="382" spans="1:1">
      <c r="A382" s="85"/>
    </row>
    <row r="383" spans="1:1">
      <c r="A383" s="85"/>
    </row>
    <row r="384" spans="1:1">
      <c r="A384" s="85"/>
    </row>
    <row r="385" spans="1:1">
      <c r="A385" s="85"/>
    </row>
    <row r="386" spans="1:1">
      <c r="A386" s="85"/>
    </row>
    <row r="387" spans="1:1">
      <c r="A387" s="85"/>
    </row>
    <row r="388" spans="1:1">
      <c r="A388" s="85"/>
    </row>
    <row r="389" spans="1:1">
      <c r="A389" s="85"/>
    </row>
    <row r="390" spans="1:1">
      <c r="A390" s="85"/>
    </row>
    <row r="391" spans="1:1">
      <c r="A391" s="85"/>
    </row>
    <row r="392" spans="1:1">
      <c r="A392" s="85"/>
    </row>
    <row r="393" spans="1:1">
      <c r="A393" s="85"/>
    </row>
    <row r="394" spans="1:1">
      <c r="A394" s="85"/>
    </row>
    <row r="395" spans="1:1">
      <c r="A395" s="85"/>
    </row>
    <row r="396" spans="1:1">
      <c r="A396" s="85"/>
    </row>
    <row r="397" spans="1:1">
      <c r="A397" s="85"/>
    </row>
    <row r="398" spans="1:1">
      <c r="A398" s="85"/>
    </row>
    <row r="399" spans="1:1">
      <c r="A399" s="85"/>
    </row>
    <row r="400" spans="1:1">
      <c r="A400" s="85"/>
    </row>
    <row r="401" spans="1:1">
      <c r="A401" s="85"/>
    </row>
    <row r="402" spans="1:1">
      <c r="A402" s="85"/>
    </row>
    <row r="403" spans="1:1">
      <c r="A403" s="85"/>
    </row>
    <row r="404" spans="1:1">
      <c r="A404" s="85"/>
    </row>
    <row r="405" spans="1:1">
      <c r="A405" s="85"/>
    </row>
    <row r="406" spans="1:1">
      <c r="A406" s="85"/>
    </row>
    <row r="407" spans="1:1">
      <c r="A407" s="85"/>
    </row>
    <row r="408" spans="1:1">
      <c r="A408" s="85"/>
    </row>
    <row r="409" spans="1:1">
      <c r="A409" s="85"/>
    </row>
    <row r="410" spans="1:1">
      <c r="A410" s="85"/>
    </row>
    <row r="411" spans="1:1">
      <c r="A411" s="85"/>
    </row>
    <row r="412" spans="1:1">
      <c r="A412" s="85"/>
    </row>
    <row r="413" spans="1:1">
      <c r="A413" s="85"/>
    </row>
    <row r="414" spans="1:1">
      <c r="A414" s="85"/>
    </row>
    <row r="415" spans="1:1">
      <c r="A415" s="85"/>
    </row>
    <row r="416" spans="1:1">
      <c r="A416" s="85"/>
    </row>
    <row r="417" spans="1:1">
      <c r="A417" s="85"/>
    </row>
    <row r="418" spans="1:1">
      <c r="A418" s="85"/>
    </row>
    <row r="419" spans="1:1">
      <c r="A419" s="85"/>
    </row>
    <row r="420" spans="1:1">
      <c r="A420" s="85"/>
    </row>
    <row r="421" spans="1:1">
      <c r="A421" s="85"/>
    </row>
    <row r="422" spans="1:1">
      <c r="A422" s="85"/>
    </row>
    <row r="423" spans="1:1">
      <c r="A423" s="85"/>
    </row>
    <row r="424" spans="1:1">
      <c r="A424" s="85"/>
    </row>
    <row r="425" spans="1:1">
      <c r="A425" s="85"/>
    </row>
    <row r="426" spans="1:1">
      <c r="A426" s="85"/>
    </row>
    <row r="427" spans="1:1">
      <c r="A427" s="85"/>
    </row>
    <row r="428" spans="1:1">
      <c r="A428" s="85"/>
    </row>
    <row r="429" spans="1:1">
      <c r="A429" s="85"/>
    </row>
    <row r="430" spans="1:1">
      <c r="A430" s="85"/>
    </row>
    <row r="431" spans="1:1">
      <c r="A431" s="85"/>
    </row>
    <row r="432" spans="1:1">
      <c r="A432" s="85"/>
    </row>
    <row r="433" spans="1:1">
      <c r="A433" s="85"/>
    </row>
    <row r="434" spans="1:1">
      <c r="A434" s="85"/>
    </row>
    <row r="435" spans="1:1">
      <c r="A435" s="85"/>
    </row>
    <row r="436" spans="1:1">
      <c r="A436" s="85"/>
    </row>
    <row r="437" spans="1:1">
      <c r="A437" s="85"/>
    </row>
    <row r="438" spans="1:1">
      <c r="A438" s="85"/>
    </row>
    <row r="439" spans="1:1">
      <c r="A439" s="85"/>
    </row>
    <row r="440" spans="1:1">
      <c r="A440" s="85"/>
    </row>
    <row r="441" spans="1:1">
      <c r="A441" s="85"/>
    </row>
    <row r="442" spans="1:1">
      <c r="A442" s="85"/>
    </row>
    <row r="443" spans="1:1">
      <c r="A443" s="85"/>
    </row>
    <row r="444" spans="1:1">
      <c r="A444" s="85"/>
    </row>
    <row r="445" spans="1:1">
      <c r="A445" s="85"/>
    </row>
    <row r="446" spans="1:1">
      <c r="A446" s="85"/>
    </row>
    <row r="447" spans="1:1">
      <c r="A447" s="85"/>
    </row>
    <row r="448" spans="1:1">
      <c r="A448" s="85"/>
    </row>
    <row r="449" spans="1:1">
      <c r="A449" s="85"/>
    </row>
    <row r="450" spans="1:1">
      <c r="A450" s="85"/>
    </row>
    <row r="451" spans="1:1">
      <c r="A451" s="85"/>
    </row>
    <row r="452" spans="1:1">
      <c r="A452" s="85"/>
    </row>
    <row r="453" spans="1:1">
      <c r="A453" s="85"/>
    </row>
    <row r="454" spans="1:1">
      <c r="A454" s="85"/>
    </row>
    <row r="455" spans="1:1">
      <c r="A455" s="85"/>
    </row>
    <row r="456" spans="1:1">
      <c r="A456" s="85"/>
    </row>
    <row r="457" spans="1:1">
      <c r="A457" s="85"/>
    </row>
    <row r="458" spans="1:1">
      <c r="A458" s="85"/>
    </row>
    <row r="459" spans="1:1">
      <c r="A459" s="85"/>
    </row>
    <row r="460" spans="1:1">
      <c r="A460" s="85"/>
    </row>
    <row r="461" spans="1:1">
      <c r="A461" s="85"/>
    </row>
    <row r="462" spans="1:1">
      <c r="A462" s="85"/>
    </row>
    <row r="463" spans="1:1">
      <c r="A463" s="85"/>
    </row>
    <row r="464" spans="1:1">
      <c r="A464" s="85"/>
    </row>
    <row r="465" spans="1:1">
      <c r="A465" s="85"/>
    </row>
    <row r="466" spans="1:1">
      <c r="A466" s="85"/>
    </row>
    <row r="467" spans="1:1">
      <c r="A467" s="85"/>
    </row>
    <row r="468" spans="1:1">
      <c r="A468" s="85"/>
    </row>
    <row r="469" spans="1:1">
      <c r="A469" s="85"/>
    </row>
    <row r="470" spans="1:1">
      <c r="A470" s="85"/>
    </row>
    <row r="471" spans="1:1">
      <c r="A471" s="85"/>
    </row>
    <row r="472" spans="1:1">
      <c r="A472" s="85"/>
    </row>
    <row r="473" spans="1:1">
      <c r="A473" s="85"/>
    </row>
    <row r="474" spans="1:1">
      <c r="A474" s="85"/>
    </row>
    <row r="475" spans="1:1">
      <c r="A475" s="85"/>
    </row>
    <row r="476" spans="1:1">
      <c r="A476" s="85"/>
    </row>
    <row r="477" spans="1:1">
      <c r="A477" s="85"/>
    </row>
    <row r="478" spans="1:1">
      <c r="A478" s="85"/>
    </row>
    <row r="479" spans="1:1">
      <c r="A479" s="85"/>
    </row>
    <row r="480" spans="1:1">
      <c r="A480" s="85"/>
    </row>
    <row r="481" spans="1:1">
      <c r="A481" s="85"/>
    </row>
    <row r="482" spans="1:1">
      <c r="A482" s="85"/>
    </row>
    <row r="483" spans="1:1">
      <c r="A483" s="85"/>
    </row>
    <row r="484" spans="1:1">
      <c r="A484" s="85"/>
    </row>
    <row r="485" spans="1:1">
      <c r="A485" s="85"/>
    </row>
    <row r="486" spans="1:1">
      <c r="A486" s="85"/>
    </row>
    <row r="487" spans="1:1">
      <c r="A487" s="85"/>
    </row>
    <row r="488" spans="1:1">
      <c r="A488" s="85"/>
    </row>
    <row r="489" spans="1:1">
      <c r="A489" s="85"/>
    </row>
    <row r="490" spans="1:1">
      <c r="A490" s="85"/>
    </row>
    <row r="491" spans="1:1">
      <c r="A491" s="85"/>
    </row>
    <row r="492" spans="1:1">
      <c r="A492" s="85"/>
    </row>
    <row r="493" spans="1:1">
      <c r="A493" s="85"/>
    </row>
    <row r="494" spans="1:1">
      <c r="A494" s="85"/>
    </row>
    <row r="495" spans="1:1">
      <c r="A495" s="85"/>
    </row>
    <row r="496" spans="1:1">
      <c r="A496" s="85"/>
    </row>
    <row r="497" spans="1:1">
      <c r="A497" s="85"/>
    </row>
    <row r="498" spans="1:1">
      <c r="A498" s="85"/>
    </row>
    <row r="499" spans="1:1">
      <c r="A499" s="85"/>
    </row>
    <row r="500" spans="1:1">
      <c r="A500" s="85"/>
    </row>
    <row r="501" spans="1:1">
      <c r="A501" s="85"/>
    </row>
    <row r="502" spans="1:1">
      <c r="A502" s="85"/>
    </row>
    <row r="503" spans="1:1">
      <c r="A503" s="85"/>
    </row>
    <row r="504" spans="1:1">
      <c r="A504" s="85"/>
    </row>
    <row r="505" spans="1:1">
      <c r="A505" s="85"/>
    </row>
    <row r="506" spans="1:1">
      <c r="A506" s="85"/>
    </row>
    <row r="507" spans="1:1">
      <c r="A507" s="85"/>
    </row>
    <row r="508" spans="1:1">
      <c r="A508" s="85"/>
    </row>
    <row r="509" spans="1:1">
      <c r="A509" s="85"/>
    </row>
    <row r="510" spans="1:1">
      <c r="A510" s="85"/>
    </row>
    <row r="511" spans="1:1">
      <c r="A511" s="85"/>
    </row>
    <row r="512" spans="1:1">
      <c r="A512" s="85"/>
    </row>
    <row r="513" spans="1:1">
      <c r="A513" s="85"/>
    </row>
    <row r="514" spans="1:1">
      <c r="A514" s="85"/>
    </row>
    <row r="515" spans="1:1">
      <c r="A515" s="85"/>
    </row>
    <row r="516" spans="1:1">
      <c r="A516" s="85"/>
    </row>
    <row r="517" spans="1:1">
      <c r="A517" s="85"/>
    </row>
    <row r="518" spans="1:1">
      <c r="A518" s="85"/>
    </row>
    <row r="519" spans="1:1">
      <c r="A519" s="85"/>
    </row>
    <row r="520" spans="1:1">
      <c r="A520" s="85"/>
    </row>
    <row r="521" spans="1:1">
      <c r="A521" s="85"/>
    </row>
    <row r="522" spans="1:1">
      <c r="A522" s="85"/>
    </row>
    <row r="523" spans="1:1">
      <c r="A523" s="85"/>
    </row>
    <row r="524" spans="1:1">
      <c r="A524" s="85"/>
    </row>
    <row r="525" spans="1:1">
      <c r="A525" s="85"/>
    </row>
    <row r="526" spans="1:1">
      <c r="A526" s="85"/>
    </row>
    <row r="527" spans="1:1">
      <c r="A527" s="85"/>
    </row>
    <row r="528" spans="1:1">
      <c r="A528" s="85"/>
    </row>
    <row r="529" spans="1:1">
      <c r="A529" s="85"/>
    </row>
    <row r="530" spans="1:1">
      <c r="A530" s="85"/>
    </row>
    <row r="531" spans="1:1">
      <c r="A531" s="85"/>
    </row>
    <row r="532" spans="1:1">
      <c r="A532" s="85"/>
    </row>
    <row r="533" spans="1:1">
      <c r="A533" s="85"/>
    </row>
    <row r="534" spans="1:1">
      <c r="A534" s="85"/>
    </row>
    <row r="535" spans="1:1">
      <c r="A535" s="85"/>
    </row>
    <row r="536" spans="1:1">
      <c r="A536" s="85"/>
    </row>
    <row r="537" spans="1:1">
      <c r="A537" s="85"/>
    </row>
    <row r="538" spans="1:1">
      <c r="A538" s="85"/>
    </row>
    <row r="539" spans="1:1">
      <c r="A539" s="85"/>
    </row>
    <row r="540" spans="1:1">
      <c r="A540" s="85"/>
    </row>
    <row r="541" spans="1:1">
      <c r="A541" s="85"/>
    </row>
    <row r="542" spans="1:1">
      <c r="A542" s="85"/>
    </row>
    <row r="543" spans="1:1">
      <c r="A543" s="85"/>
    </row>
    <row r="544" spans="1:1">
      <c r="A544" s="85"/>
    </row>
    <row r="545" spans="1:1">
      <c r="A545" s="85"/>
    </row>
    <row r="546" spans="1:1">
      <c r="A546" s="85"/>
    </row>
    <row r="547" spans="1:1">
      <c r="A547" s="85"/>
    </row>
    <row r="548" spans="1:1">
      <c r="A548" s="85"/>
    </row>
    <row r="549" spans="1:1">
      <c r="A549" s="85"/>
    </row>
    <row r="550" spans="1:1">
      <c r="A550" s="85"/>
    </row>
    <row r="551" spans="1:1">
      <c r="A551" s="85"/>
    </row>
    <row r="552" spans="1:1">
      <c r="A552" s="85"/>
    </row>
    <row r="553" spans="1:1">
      <c r="A553" s="85"/>
    </row>
    <row r="554" spans="1:1">
      <c r="A554" s="85"/>
    </row>
    <row r="555" spans="1:1">
      <c r="A555" s="85"/>
    </row>
    <row r="556" spans="1:1">
      <c r="A556" s="85"/>
    </row>
    <row r="557" spans="1:1">
      <c r="A557" s="85"/>
    </row>
    <row r="558" spans="1:1">
      <c r="A558" s="85"/>
    </row>
    <row r="559" spans="1:1">
      <c r="A559" s="85"/>
    </row>
    <row r="560" spans="1:1">
      <c r="A560" s="85"/>
    </row>
    <row r="561" spans="1:1">
      <c r="A561" s="85"/>
    </row>
    <row r="562" spans="1:1">
      <c r="A562" s="85"/>
    </row>
    <row r="563" spans="1:1">
      <c r="A563" s="85"/>
    </row>
    <row r="564" spans="1:1">
      <c r="A564" s="85"/>
    </row>
    <row r="565" spans="1:1">
      <c r="A565" s="85"/>
    </row>
    <row r="566" spans="1:1">
      <c r="A566" s="85"/>
    </row>
    <row r="567" spans="1:1">
      <c r="A567" s="85"/>
    </row>
    <row r="568" spans="1:1">
      <c r="A568" s="85"/>
    </row>
    <row r="569" spans="1:1">
      <c r="A569" s="85"/>
    </row>
    <row r="570" spans="1:1">
      <c r="A570" s="85"/>
    </row>
    <row r="571" spans="1:1">
      <c r="A571" s="85"/>
    </row>
    <row r="572" spans="1:1">
      <c r="A572" s="85"/>
    </row>
    <row r="573" spans="1:1">
      <c r="A573" s="85"/>
    </row>
    <row r="574" spans="1:1">
      <c r="A574" s="85"/>
    </row>
    <row r="575" spans="1:1">
      <c r="A575" s="85"/>
    </row>
    <row r="576" spans="1:1">
      <c r="A576" s="85"/>
    </row>
    <row r="577" spans="1:1">
      <c r="A577" s="85"/>
    </row>
    <row r="578" spans="1:1">
      <c r="A578" s="85"/>
    </row>
    <row r="579" spans="1:1">
      <c r="A579" s="85"/>
    </row>
    <row r="580" spans="1:1">
      <c r="A580" s="85"/>
    </row>
    <row r="581" spans="1:1">
      <c r="A581" s="85"/>
    </row>
    <row r="582" spans="1:1">
      <c r="A582" s="85"/>
    </row>
    <row r="583" spans="1:1">
      <c r="A583" s="85"/>
    </row>
    <row r="584" spans="1:1">
      <c r="A584" s="85"/>
    </row>
    <row r="585" spans="1:1">
      <c r="A585" s="85"/>
    </row>
    <row r="586" spans="1:1">
      <c r="A586" s="85"/>
    </row>
    <row r="587" spans="1:1">
      <c r="A587" s="85"/>
    </row>
    <row r="588" spans="1:1">
      <c r="A588" s="85"/>
    </row>
    <row r="589" spans="1:1">
      <c r="A589" s="85"/>
    </row>
    <row r="590" spans="1:1">
      <c r="A590" s="85"/>
    </row>
    <row r="591" spans="1:1">
      <c r="A591" s="85"/>
    </row>
    <row r="592" spans="1:1">
      <c r="A592" s="85"/>
    </row>
    <row r="593" spans="1:1">
      <c r="A593" s="85"/>
    </row>
    <row r="594" spans="1:1">
      <c r="A594" s="85"/>
    </row>
    <row r="595" spans="1:1">
      <c r="A595" s="85"/>
    </row>
    <row r="596" spans="1:1">
      <c r="A596" s="85"/>
    </row>
    <row r="597" spans="1:1">
      <c r="A597" s="85"/>
    </row>
    <row r="598" spans="1:1">
      <c r="A598" s="85"/>
    </row>
    <row r="599" spans="1:1">
      <c r="A599" s="85"/>
    </row>
    <row r="600" spans="1:1">
      <c r="A600" s="85"/>
    </row>
    <row r="601" spans="1:1">
      <c r="A601" s="85"/>
    </row>
    <row r="602" spans="1:1">
      <c r="A602" s="85"/>
    </row>
    <row r="603" spans="1:1">
      <c r="A603" s="85"/>
    </row>
    <row r="604" spans="1:1">
      <c r="A604" s="85"/>
    </row>
    <row r="605" spans="1:1">
      <c r="A605" s="85"/>
    </row>
    <row r="606" spans="1:1">
      <c r="A606" s="85"/>
    </row>
    <row r="607" spans="1:1">
      <c r="A607" s="85"/>
    </row>
    <row r="608" spans="1:1">
      <c r="A608" s="85"/>
    </row>
    <row r="609" spans="1:1">
      <c r="A609" s="85"/>
    </row>
    <row r="610" spans="1:1">
      <c r="A610" s="85"/>
    </row>
    <row r="611" spans="1:1">
      <c r="A611" s="85"/>
    </row>
    <row r="612" spans="1:1">
      <c r="A612" s="85"/>
    </row>
    <row r="613" spans="1:1">
      <c r="A613" s="85"/>
    </row>
    <row r="614" spans="1:1">
      <c r="A614" s="85"/>
    </row>
    <row r="615" spans="1:1">
      <c r="A615" s="85"/>
    </row>
    <row r="616" spans="1:1">
      <c r="A616" s="85"/>
    </row>
    <row r="617" spans="1:1">
      <c r="A617" s="85"/>
    </row>
    <row r="618" spans="1:1">
      <c r="A618" s="85"/>
    </row>
    <row r="619" spans="1:1">
      <c r="A619" s="85"/>
    </row>
    <row r="620" spans="1:1">
      <c r="A620" s="85"/>
    </row>
    <row r="621" spans="1:1">
      <c r="A621" s="85"/>
    </row>
    <row r="622" spans="1:1">
      <c r="A622" s="85"/>
    </row>
    <row r="623" spans="1:1">
      <c r="A623" s="85"/>
    </row>
    <row r="624" spans="1:1">
      <c r="A624" s="85"/>
    </row>
    <row r="625" spans="1:1">
      <c r="A625" s="85"/>
    </row>
    <row r="626" spans="1:1">
      <c r="A626" s="85"/>
    </row>
    <row r="627" spans="1:1">
      <c r="A627" s="85"/>
    </row>
    <row r="628" spans="1:1">
      <c r="A628" s="85"/>
    </row>
    <row r="629" spans="1:1">
      <c r="A629" s="85"/>
    </row>
    <row r="630" spans="1:1">
      <c r="A630" s="85"/>
    </row>
    <row r="631" spans="1:1">
      <c r="A631" s="85"/>
    </row>
    <row r="632" spans="1:1">
      <c r="A632" s="85"/>
    </row>
    <row r="633" spans="1:1">
      <c r="A633" s="85"/>
    </row>
    <row r="634" spans="1:1">
      <c r="A634" s="85"/>
    </row>
    <row r="635" spans="1:1">
      <c r="A635" s="85"/>
    </row>
    <row r="636" spans="1:1">
      <c r="A636" s="85"/>
    </row>
    <row r="637" spans="1:1">
      <c r="A637" s="85"/>
    </row>
    <row r="638" spans="1:1">
      <c r="A638" s="85"/>
    </row>
    <row r="639" spans="1:1">
      <c r="A639" s="85"/>
    </row>
    <row r="640" spans="1:1">
      <c r="A640" s="85"/>
    </row>
    <row r="641" spans="1:1">
      <c r="A641" s="85"/>
    </row>
    <row r="642" spans="1:1">
      <c r="A642" s="85"/>
    </row>
    <row r="643" spans="1:1">
      <c r="A643" s="85"/>
    </row>
    <row r="644" spans="1:1">
      <c r="A644" s="85"/>
    </row>
    <row r="645" spans="1:1">
      <c r="A645" s="85"/>
    </row>
    <row r="646" spans="1:1">
      <c r="A646" s="85"/>
    </row>
    <row r="647" spans="1:1">
      <c r="A647" s="85"/>
    </row>
    <row r="648" spans="1:1">
      <c r="A648" s="85"/>
    </row>
    <row r="649" spans="1:1">
      <c r="A649" s="85"/>
    </row>
    <row r="650" spans="1:1">
      <c r="A650" s="85"/>
    </row>
    <row r="651" spans="1:1">
      <c r="A651" s="85"/>
    </row>
    <row r="652" spans="1:1">
      <c r="A652" s="85"/>
    </row>
    <row r="653" spans="1:1">
      <c r="A653" s="85"/>
    </row>
    <row r="654" spans="1:1">
      <c r="A654" s="85"/>
    </row>
    <row r="655" spans="1:1">
      <c r="A655" s="85"/>
    </row>
    <row r="656" spans="1:1">
      <c r="A656" s="85"/>
    </row>
    <row r="657" spans="1:1">
      <c r="A657" s="85"/>
    </row>
    <row r="658" spans="1:1">
      <c r="A658" s="85"/>
    </row>
    <row r="659" spans="1:1">
      <c r="A659" s="85"/>
    </row>
    <row r="660" spans="1:1">
      <c r="A660" s="85"/>
    </row>
    <row r="661" spans="1:1">
      <c r="A661" s="85"/>
    </row>
    <row r="662" spans="1:1">
      <c r="A662" s="85"/>
    </row>
    <row r="663" spans="1:1">
      <c r="A663" s="85"/>
    </row>
    <row r="664" spans="1:1">
      <c r="A664" s="85"/>
    </row>
    <row r="665" spans="1:1">
      <c r="A665" s="85"/>
    </row>
    <row r="666" spans="1:1">
      <c r="A666" s="85"/>
    </row>
    <row r="667" spans="1:1">
      <c r="A667" s="85"/>
    </row>
    <row r="668" spans="1:1">
      <c r="A668" s="85"/>
    </row>
    <row r="669" spans="1:1">
      <c r="A669" s="85"/>
    </row>
    <row r="670" spans="1:1">
      <c r="A670" s="85"/>
    </row>
    <row r="671" spans="1:1">
      <c r="A671" s="85"/>
    </row>
    <row r="672" spans="1:1">
      <c r="A672" s="85"/>
    </row>
    <row r="673" spans="1:1">
      <c r="A673" s="85"/>
    </row>
    <row r="674" spans="1:1">
      <c r="A674" s="85"/>
    </row>
    <row r="675" spans="1:1">
      <c r="A675" s="85"/>
    </row>
    <row r="676" spans="1:1">
      <c r="A676" s="85"/>
    </row>
    <row r="677" spans="1:1">
      <c r="A677" s="85"/>
    </row>
    <row r="678" spans="1:1">
      <c r="A678" s="85"/>
    </row>
    <row r="679" spans="1:1">
      <c r="A679" s="85"/>
    </row>
    <row r="680" spans="1:1">
      <c r="A680" s="85"/>
    </row>
    <row r="681" spans="1:1">
      <c r="A681" s="85"/>
    </row>
    <row r="682" spans="1:1">
      <c r="A682" s="85"/>
    </row>
    <row r="683" spans="1:1">
      <c r="A683" s="85"/>
    </row>
    <row r="684" spans="1:1">
      <c r="A684" s="85"/>
    </row>
    <row r="685" spans="1:1">
      <c r="A685" s="85"/>
    </row>
    <row r="686" spans="1:1">
      <c r="A686" s="85"/>
    </row>
    <row r="687" spans="1:1">
      <c r="A687" s="85"/>
    </row>
    <row r="688" spans="1:1">
      <c r="A688" s="85"/>
    </row>
    <row r="689" spans="1:1">
      <c r="A689" s="85"/>
    </row>
    <row r="690" spans="1:1">
      <c r="A690" s="85"/>
    </row>
    <row r="691" spans="1:1">
      <c r="A691" s="85"/>
    </row>
    <row r="692" spans="1:1">
      <c r="A692" s="85"/>
    </row>
    <row r="693" spans="1:1">
      <c r="A693" s="85"/>
    </row>
    <row r="694" spans="1:1">
      <c r="A694" s="85"/>
    </row>
    <row r="695" spans="1:1">
      <c r="A695" s="85"/>
    </row>
    <row r="696" spans="1:1">
      <c r="A696" s="85"/>
    </row>
    <row r="697" spans="1:1">
      <c r="A697" s="85"/>
    </row>
    <row r="698" spans="1:1">
      <c r="A698" s="85"/>
    </row>
    <row r="699" spans="1:1">
      <c r="A699" s="85"/>
    </row>
    <row r="700" spans="1:1">
      <c r="A700" s="85"/>
    </row>
    <row r="701" spans="1:1">
      <c r="A701" s="85"/>
    </row>
    <row r="702" spans="1:1">
      <c r="A702" s="85"/>
    </row>
    <row r="703" spans="1:1">
      <c r="A703" s="85"/>
    </row>
    <row r="704" spans="1:1">
      <c r="A704" s="85"/>
    </row>
    <row r="705" spans="1:1">
      <c r="A705" s="85"/>
    </row>
    <row r="706" spans="1:1">
      <c r="A706" s="85"/>
    </row>
    <row r="707" spans="1:1">
      <c r="A707" s="85"/>
    </row>
    <row r="708" spans="1:1">
      <c r="A708" s="85"/>
    </row>
    <row r="709" spans="1:1">
      <c r="A709" s="85"/>
    </row>
    <row r="710" spans="1:1">
      <c r="A710" s="85"/>
    </row>
    <row r="711" spans="1:1">
      <c r="A711" s="85"/>
    </row>
    <row r="712" spans="1:1">
      <c r="A712" s="85"/>
    </row>
    <row r="713" spans="1:1">
      <c r="A713" s="85"/>
    </row>
    <row r="714" spans="1:1">
      <c r="A714" s="85"/>
    </row>
    <row r="715" spans="1:1">
      <c r="A715" s="85"/>
    </row>
    <row r="716" spans="1:1">
      <c r="A716" s="85"/>
    </row>
    <row r="717" spans="1:1">
      <c r="A717" s="85"/>
    </row>
    <row r="718" spans="1:1">
      <c r="A718" s="85"/>
    </row>
    <row r="719" spans="1:1">
      <c r="A719" s="85"/>
    </row>
    <row r="720" spans="1:1">
      <c r="A720" s="85"/>
    </row>
    <row r="721" spans="1:1">
      <c r="A721" s="85"/>
    </row>
    <row r="722" spans="1:1">
      <c r="A722" s="85"/>
    </row>
    <row r="723" spans="1:1">
      <c r="A723" s="85"/>
    </row>
    <row r="724" spans="1:1">
      <c r="A724" s="85"/>
    </row>
    <row r="725" spans="1:1">
      <c r="A725" s="85"/>
    </row>
    <row r="726" spans="1:1">
      <c r="A726" s="85"/>
    </row>
    <row r="727" spans="1:1">
      <c r="A727" s="85"/>
    </row>
    <row r="728" spans="1:1">
      <c r="A728" s="85"/>
    </row>
    <row r="729" spans="1:1">
      <c r="A729" s="85"/>
    </row>
    <row r="730" spans="1:1">
      <c r="A730" s="85"/>
    </row>
    <row r="731" spans="1:1">
      <c r="A731" s="85"/>
    </row>
    <row r="732" spans="1:1">
      <c r="A732" s="85"/>
    </row>
    <row r="733" spans="1:1">
      <c r="A733" s="85"/>
    </row>
    <row r="734" spans="1:1">
      <c r="A734" s="85"/>
    </row>
    <row r="735" spans="1:1">
      <c r="A735" s="85"/>
    </row>
    <row r="736" spans="1:1">
      <c r="A736" s="85"/>
    </row>
    <row r="737" spans="1:1">
      <c r="A737" s="85"/>
    </row>
    <row r="738" spans="1:1">
      <c r="A738" s="85"/>
    </row>
    <row r="739" spans="1:1">
      <c r="A739" s="85"/>
    </row>
    <row r="740" spans="1:1">
      <c r="A740" s="85"/>
    </row>
    <row r="741" spans="1:1">
      <c r="A741" s="85"/>
    </row>
    <row r="742" spans="1:1">
      <c r="A742" s="85"/>
    </row>
    <row r="743" spans="1:1">
      <c r="A743" s="85"/>
    </row>
    <row r="744" spans="1:1">
      <c r="A744" s="85"/>
    </row>
    <row r="745" spans="1:1">
      <c r="A745" s="85"/>
    </row>
    <row r="746" spans="1:1">
      <c r="A746" s="85"/>
    </row>
    <row r="747" spans="1:1">
      <c r="A747" s="85"/>
    </row>
    <row r="748" spans="1:1">
      <c r="A748" s="85"/>
    </row>
    <row r="749" spans="1:1">
      <c r="A749" s="85"/>
    </row>
    <row r="750" spans="1:1">
      <c r="A750" s="85"/>
    </row>
    <row r="751" spans="1:1">
      <c r="A751" s="85"/>
    </row>
    <row r="752" spans="1:1">
      <c r="A752" s="85"/>
    </row>
    <row r="753" spans="1:1">
      <c r="A753" s="85"/>
    </row>
    <row r="754" spans="1:1">
      <c r="A754" s="85"/>
    </row>
    <row r="755" spans="1:1">
      <c r="A755" s="85"/>
    </row>
    <row r="756" spans="1:1">
      <c r="A756" s="85"/>
    </row>
    <row r="757" spans="1:1">
      <c r="A757" s="85"/>
    </row>
    <row r="758" spans="1:1">
      <c r="A758" s="85"/>
    </row>
    <row r="759" spans="1:1">
      <c r="A759" s="85"/>
    </row>
    <row r="760" spans="1:1">
      <c r="A760" s="85"/>
    </row>
    <row r="761" spans="1:1">
      <c r="A761" s="85"/>
    </row>
    <row r="762" spans="1:1">
      <c r="A762" s="85"/>
    </row>
    <row r="763" spans="1:1">
      <c r="A763" s="85"/>
    </row>
    <row r="764" spans="1:1">
      <c r="A764" s="85"/>
    </row>
    <row r="765" spans="1:1">
      <c r="A765" s="85"/>
    </row>
    <row r="766" spans="1:1">
      <c r="A766" s="85"/>
    </row>
    <row r="767" spans="1:1">
      <c r="A767" s="85"/>
    </row>
    <row r="768" spans="1:1">
      <c r="A768" s="85"/>
    </row>
    <row r="769" spans="1:1">
      <c r="A769" s="85"/>
    </row>
    <row r="770" spans="1:1">
      <c r="A770" s="85"/>
    </row>
    <row r="771" spans="1:1">
      <c r="A771" s="85"/>
    </row>
    <row r="772" spans="1:1">
      <c r="A772" s="85"/>
    </row>
    <row r="773" spans="1:1">
      <c r="A773" s="85"/>
    </row>
    <row r="774" spans="1:1">
      <c r="A774" s="85"/>
    </row>
    <row r="775" spans="1:1">
      <c r="A775" s="85"/>
    </row>
    <row r="776" spans="1:1">
      <c r="A776" s="85"/>
    </row>
    <row r="777" spans="1:1">
      <c r="A777" s="85"/>
    </row>
    <row r="778" spans="1:1">
      <c r="A778" s="85"/>
    </row>
    <row r="779" spans="1:1">
      <c r="A779" s="85"/>
    </row>
    <row r="780" spans="1:1">
      <c r="A780" s="85"/>
    </row>
    <row r="781" spans="1:1">
      <c r="A781" s="85"/>
    </row>
    <row r="782" spans="1:1">
      <c r="A782" s="85"/>
    </row>
    <row r="783" spans="1:1">
      <c r="A783" s="85"/>
    </row>
    <row r="784" spans="1:1">
      <c r="A784" s="85"/>
    </row>
    <row r="785" spans="1:1">
      <c r="A785" s="85"/>
    </row>
    <row r="786" spans="1:1">
      <c r="A786" s="85"/>
    </row>
    <row r="787" spans="1:1">
      <c r="A787" s="85"/>
    </row>
    <row r="788" spans="1:1">
      <c r="A788" s="85"/>
    </row>
    <row r="789" spans="1:1">
      <c r="A789" s="85"/>
    </row>
    <row r="790" spans="1:1">
      <c r="A790" s="85"/>
    </row>
    <row r="791" spans="1:1">
      <c r="A791" s="85"/>
    </row>
    <row r="792" spans="1:1">
      <c r="A792" s="85"/>
    </row>
    <row r="793" spans="1:1">
      <c r="A793" s="85"/>
    </row>
    <row r="794" spans="1:1">
      <c r="A794" s="85"/>
    </row>
    <row r="795" spans="1:1">
      <c r="A795" s="85"/>
    </row>
    <row r="796" spans="1:1">
      <c r="A796" s="85"/>
    </row>
    <row r="797" spans="1:1">
      <c r="A797" s="85"/>
    </row>
    <row r="798" spans="1:1">
      <c r="A798" s="85"/>
    </row>
    <row r="799" spans="1:1">
      <c r="A799" s="85"/>
    </row>
    <row r="800" spans="1:1">
      <c r="A800" s="85"/>
    </row>
    <row r="801" spans="1:1">
      <c r="A801" s="85"/>
    </row>
    <row r="802" spans="1:1">
      <c r="A802" s="85"/>
    </row>
    <row r="803" spans="1:1">
      <c r="A803" s="85"/>
    </row>
    <row r="804" spans="1:1">
      <c r="A804" s="85"/>
    </row>
    <row r="805" spans="1:1">
      <c r="A805" s="85"/>
    </row>
    <row r="806" spans="1:1">
      <c r="A806" s="85"/>
    </row>
    <row r="807" spans="1:1">
      <c r="A807" s="85"/>
    </row>
    <row r="808" spans="1:1">
      <c r="A808" s="85"/>
    </row>
    <row r="809" spans="1:1">
      <c r="A809" s="85"/>
    </row>
    <row r="810" spans="1:1">
      <c r="A810" s="85"/>
    </row>
    <row r="811" spans="1:1">
      <c r="A811" s="85"/>
    </row>
    <row r="812" spans="1:1">
      <c r="A812" s="85"/>
    </row>
    <row r="813" spans="1:1">
      <c r="A813" s="85"/>
    </row>
    <row r="814" spans="1:1">
      <c r="A814" s="85"/>
    </row>
    <row r="815" spans="1:1">
      <c r="A815" s="85"/>
    </row>
    <row r="816" spans="1:1">
      <c r="A816" s="85"/>
    </row>
    <row r="817" spans="1:1">
      <c r="A817" s="85"/>
    </row>
    <row r="818" spans="1:1">
      <c r="A818" s="85"/>
    </row>
    <row r="819" spans="1:1">
      <c r="A819" s="85"/>
    </row>
    <row r="820" spans="1:1">
      <c r="A820" s="85"/>
    </row>
    <row r="821" spans="1:1">
      <c r="A821" s="85"/>
    </row>
    <row r="822" spans="1:1">
      <c r="A822" s="85"/>
    </row>
    <row r="823" spans="1:1">
      <c r="A823" s="85"/>
    </row>
    <row r="824" spans="1:1">
      <c r="A824" s="85"/>
    </row>
    <row r="825" spans="1:1">
      <c r="A825" s="85"/>
    </row>
    <row r="826" spans="1:1">
      <c r="A826" s="85"/>
    </row>
    <row r="827" spans="1:1">
      <c r="A827" s="85"/>
    </row>
    <row r="828" spans="1:1">
      <c r="A828" s="85"/>
    </row>
    <row r="829" spans="1:1">
      <c r="A829" s="85"/>
    </row>
    <row r="830" spans="1:1">
      <c r="A830" s="85"/>
    </row>
    <row r="831" spans="1:1">
      <c r="A831" s="85"/>
    </row>
    <row r="832" spans="1:1">
      <c r="A832" s="85"/>
    </row>
    <row r="833" spans="1:1">
      <c r="A833" s="85"/>
    </row>
    <row r="834" spans="1:1">
      <c r="A834" s="85"/>
    </row>
    <row r="835" spans="1:1">
      <c r="A835" s="85"/>
    </row>
    <row r="836" spans="1:1">
      <c r="A836" s="85"/>
    </row>
    <row r="837" spans="1:1">
      <c r="A837" s="85"/>
    </row>
    <row r="838" spans="1:1">
      <c r="A838" s="85"/>
    </row>
    <row r="839" spans="1:1">
      <c r="A839" s="85"/>
    </row>
    <row r="840" spans="1:1">
      <c r="A840" s="85"/>
    </row>
    <row r="841" spans="1:1">
      <c r="A841" s="85"/>
    </row>
    <row r="842" spans="1:1">
      <c r="A842" s="85"/>
    </row>
    <row r="843" spans="1:1">
      <c r="A843" s="85"/>
    </row>
    <row r="844" spans="1:1">
      <c r="A844" s="85"/>
    </row>
    <row r="845" spans="1:1">
      <c r="A845" s="85"/>
    </row>
    <row r="846" spans="1:1">
      <c r="A846" s="85"/>
    </row>
    <row r="847" spans="1:1">
      <c r="A847" s="85"/>
    </row>
    <row r="848" spans="1:1">
      <c r="A848" s="85"/>
    </row>
    <row r="849" spans="1:1">
      <c r="A849" s="85"/>
    </row>
    <row r="850" spans="1:1">
      <c r="A850" s="85"/>
    </row>
    <row r="851" spans="1:1">
      <c r="A851" s="85"/>
    </row>
    <row r="852" spans="1:1">
      <c r="A852" s="85"/>
    </row>
    <row r="853" spans="1:1">
      <c r="A853" s="85"/>
    </row>
    <row r="854" spans="1:1">
      <c r="A854" s="85"/>
    </row>
    <row r="855" spans="1:1">
      <c r="A855" s="85"/>
    </row>
    <row r="856" spans="1:1">
      <c r="A856" s="85"/>
    </row>
    <row r="857" spans="1:1">
      <c r="A857" s="85"/>
    </row>
    <row r="858" spans="1:1">
      <c r="A858" s="85"/>
    </row>
    <row r="859" spans="1:1">
      <c r="A859" s="85"/>
    </row>
    <row r="860" spans="1:1">
      <c r="A860" s="85"/>
    </row>
    <row r="861" spans="1:1">
      <c r="A861" s="85"/>
    </row>
    <row r="862" spans="1:1">
      <c r="A862" s="85"/>
    </row>
    <row r="863" spans="1:1">
      <c r="A863" s="85"/>
    </row>
    <row r="864" spans="1:1">
      <c r="A864" s="85"/>
    </row>
    <row r="865" spans="1:1">
      <c r="A865" s="85"/>
    </row>
    <row r="866" spans="1:1">
      <c r="A866" s="85"/>
    </row>
    <row r="867" spans="1:1">
      <c r="A867" s="85"/>
    </row>
    <row r="868" spans="1:1">
      <c r="A868" s="85"/>
    </row>
    <row r="869" spans="1:1">
      <c r="A869" s="85"/>
    </row>
    <row r="870" spans="1:1">
      <c r="A870" s="85"/>
    </row>
    <row r="871" spans="1:1">
      <c r="A871" s="85"/>
    </row>
    <row r="872" spans="1:1">
      <c r="A872" s="85"/>
    </row>
    <row r="873" spans="1:1">
      <c r="A873" s="85"/>
    </row>
    <row r="874" spans="1:1">
      <c r="A874" s="85"/>
    </row>
    <row r="875" spans="1:1">
      <c r="A875" s="85"/>
    </row>
    <row r="876" spans="1:1">
      <c r="A876" s="85"/>
    </row>
    <row r="877" spans="1:1">
      <c r="A877" s="85"/>
    </row>
    <row r="878" spans="1:1">
      <c r="A878" s="85"/>
    </row>
    <row r="879" spans="1:1">
      <c r="A879" s="85"/>
    </row>
    <row r="880" spans="1:1">
      <c r="A880" s="85"/>
    </row>
    <row r="881" spans="1:1">
      <c r="A881" s="85"/>
    </row>
    <row r="882" spans="1:1">
      <c r="A882" s="85"/>
    </row>
    <row r="883" spans="1:1">
      <c r="A883" s="85"/>
    </row>
    <row r="884" spans="1:1">
      <c r="A884" s="85"/>
    </row>
    <row r="885" spans="1:1">
      <c r="A885" s="85"/>
    </row>
    <row r="886" spans="1:1">
      <c r="A886" s="85"/>
    </row>
    <row r="887" spans="1:1">
      <c r="A887" s="85"/>
    </row>
    <row r="888" spans="1:1">
      <c r="A888" s="85"/>
    </row>
    <row r="889" spans="1:1">
      <c r="A889" s="85"/>
    </row>
    <row r="890" spans="1:1">
      <c r="A890" s="85"/>
    </row>
    <row r="891" spans="1:1">
      <c r="A891" s="85"/>
    </row>
    <row r="892" spans="1:1">
      <c r="A892" s="85"/>
    </row>
    <row r="893" spans="1:1">
      <c r="A893" s="85"/>
    </row>
    <row r="894" spans="1:1">
      <c r="A894" s="85"/>
    </row>
    <row r="895" spans="1:1">
      <c r="A895" s="85"/>
    </row>
    <row r="896" spans="1:1">
      <c r="A896" s="85"/>
    </row>
    <row r="897" spans="1:1">
      <c r="A897" s="85"/>
    </row>
    <row r="898" spans="1:1">
      <c r="A898" s="85"/>
    </row>
    <row r="899" spans="1:1">
      <c r="A899" s="85"/>
    </row>
    <row r="900" spans="1:1">
      <c r="A900" s="85"/>
    </row>
    <row r="901" spans="1:1">
      <c r="A901" s="85"/>
    </row>
    <row r="902" spans="1:1">
      <c r="A902" s="85"/>
    </row>
    <row r="903" spans="1:1">
      <c r="A903" s="85"/>
    </row>
    <row r="904" spans="1:1">
      <c r="A904" s="85"/>
    </row>
    <row r="905" spans="1:1">
      <c r="A905" s="85"/>
    </row>
    <row r="906" spans="1:1">
      <c r="A906" s="85"/>
    </row>
    <row r="907" spans="1:1">
      <c r="A907" s="85"/>
    </row>
    <row r="908" spans="1:1">
      <c r="A908" s="85"/>
    </row>
    <row r="909" spans="1:1">
      <c r="A909" s="85"/>
    </row>
    <row r="910" spans="1:1">
      <c r="A910" s="85"/>
    </row>
    <row r="911" spans="1:1">
      <c r="A911" s="85"/>
    </row>
    <row r="912" spans="1:1">
      <c r="A912" s="85"/>
    </row>
    <row r="913" spans="1:1">
      <c r="A913" s="85"/>
    </row>
    <row r="914" spans="1:1">
      <c r="A914" s="85"/>
    </row>
    <row r="915" spans="1:1">
      <c r="A915" s="85"/>
    </row>
    <row r="916" spans="1:1">
      <c r="A916" s="85"/>
    </row>
    <row r="917" spans="1:1">
      <c r="A917" s="85"/>
    </row>
    <row r="918" spans="1:1">
      <c r="A918" s="85"/>
    </row>
    <row r="919" spans="1:1">
      <c r="A919" s="85"/>
    </row>
    <row r="920" spans="1:1">
      <c r="A920" s="85"/>
    </row>
    <row r="921" spans="1:1">
      <c r="A921" s="85"/>
    </row>
    <row r="922" spans="1:1">
      <c r="A922" s="85"/>
    </row>
    <row r="923" spans="1:1">
      <c r="A923" s="85"/>
    </row>
    <row r="924" spans="1:1">
      <c r="A924" s="85"/>
    </row>
    <row r="925" spans="1:1">
      <c r="A925" s="85"/>
    </row>
    <row r="926" spans="1:1">
      <c r="A926" s="85"/>
    </row>
    <row r="927" spans="1:1">
      <c r="A927" s="85"/>
    </row>
    <row r="928" spans="1:1">
      <c r="A928" s="85"/>
    </row>
    <row r="929" spans="1:1">
      <c r="A929" s="85"/>
    </row>
    <row r="930" spans="1:1">
      <c r="A930" s="85"/>
    </row>
    <row r="931" spans="1:1">
      <c r="A931" s="85"/>
    </row>
    <row r="932" spans="1:1">
      <c r="A932" s="85"/>
    </row>
    <row r="933" spans="1:1">
      <c r="A933" s="85"/>
    </row>
    <row r="934" spans="1:1">
      <c r="A934" s="85"/>
    </row>
    <row r="935" spans="1:1">
      <c r="A935" s="85"/>
    </row>
    <row r="936" spans="1:1">
      <c r="A936" s="85"/>
    </row>
    <row r="937" spans="1:1">
      <c r="A937" s="85"/>
    </row>
    <row r="938" spans="1:1">
      <c r="A938" s="85"/>
    </row>
    <row r="939" spans="1:1">
      <c r="A939" s="85"/>
    </row>
    <row r="940" spans="1:1">
      <c r="A940" s="85"/>
    </row>
    <row r="941" spans="1:1">
      <c r="A941" s="85"/>
    </row>
    <row r="942" spans="1:1">
      <c r="A942" s="85"/>
    </row>
    <row r="943" spans="1:1">
      <c r="A943" s="85"/>
    </row>
    <row r="944" spans="1:1">
      <c r="A944" s="85"/>
    </row>
    <row r="945" spans="1:1">
      <c r="A945" s="85"/>
    </row>
    <row r="946" spans="1:1">
      <c r="A946" s="85"/>
    </row>
    <row r="947" spans="1:1">
      <c r="A947" s="85"/>
    </row>
    <row r="948" spans="1:1">
      <c r="A948" s="85"/>
    </row>
    <row r="949" spans="1:1">
      <c r="A949" s="85"/>
    </row>
    <row r="950" spans="1:1">
      <c r="A950" s="85"/>
    </row>
    <row r="951" spans="1:1">
      <c r="A951" s="85"/>
    </row>
    <row r="952" spans="1:1">
      <c r="A952" s="85"/>
    </row>
    <row r="953" spans="1:1">
      <c r="A953" s="85"/>
    </row>
    <row r="954" spans="1:1">
      <c r="A954" s="85"/>
    </row>
    <row r="955" spans="1:1">
      <c r="A955" s="85"/>
    </row>
    <row r="956" spans="1:1">
      <c r="A956" s="85"/>
    </row>
    <row r="957" spans="1:1">
      <c r="A957" s="85"/>
    </row>
    <row r="958" spans="1:1">
      <c r="A958" s="85"/>
    </row>
    <row r="959" spans="1:1">
      <c r="A959" s="85"/>
    </row>
    <row r="960" spans="1:1">
      <c r="A960" s="85"/>
    </row>
    <row r="961" spans="1:1">
      <c r="A961" s="85"/>
    </row>
    <row r="962" spans="1:1">
      <c r="A962" s="85"/>
    </row>
    <row r="963" spans="1:1">
      <c r="A963" s="85"/>
    </row>
    <row r="964" spans="1:1">
      <c r="A964" s="85"/>
    </row>
    <row r="965" spans="1:1">
      <c r="A965" s="85"/>
    </row>
    <row r="966" spans="1:1">
      <c r="A966" s="85"/>
    </row>
    <row r="967" spans="1:1">
      <c r="A967" s="85"/>
    </row>
    <row r="968" spans="1:1">
      <c r="A968" s="85"/>
    </row>
    <row r="969" spans="1:1">
      <c r="A969" s="85"/>
    </row>
    <row r="970" spans="1:1">
      <c r="A970" s="85"/>
    </row>
    <row r="971" spans="1:1">
      <c r="A971" s="85"/>
    </row>
    <row r="972" spans="1:1">
      <c r="A972" s="85"/>
    </row>
    <row r="973" spans="1:1">
      <c r="A973" s="85"/>
    </row>
    <row r="974" spans="1:1">
      <c r="A974" s="85"/>
    </row>
    <row r="975" spans="1:1">
      <c r="A975" s="85"/>
    </row>
    <row r="976" spans="1:1">
      <c r="A976" s="85"/>
    </row>
    <row r="977" spans="1:1">
      <c r="A977" s="85"/>
    </row>
    <row r="978" spans="1:1">
      <c r="A978" s="85"/>
    </row>
    <row r="979" spans="1:1">
      <c r="A979" s="85"/>
    </row>
    <row r="980" spans="1:1">
      <c r="A980" s="85"/>
    </row>
    <row r="981" spans="1:1">
      <c r="A981" s="85"/>
    </row>
    <row r="982" spans="1:1">
      <c r="A982" s="85"/>
    </row>
    <row r="983" spans="1:1">
      <c r="A983" s="85"/>
    </row>
    <row r="984" spans="1:1">
      <c r="A984" s="85"/>
    </row>
    <row r="985" spans="1:1">
      <c r="A985" s="85"/>
    </row>
    <row r="986" spans="1:1">
      <c r="A986" s="85"/>
    </row>
    <row r="987" spans="1:1">
      <c r="A987" s="85"/>
    </row>
    <row r="988" spans="1:1">
      <c r="A988" s="85"/>
    </row>
    <row r="989" spans="1:1">
      <c r="A989" s="85"/>
    </row>
    <row r="990" spans="1:1">
      <c r="A990" s="85"/>
    </row>
    <row r="991" spans="1:1">
      <c r="A991" s="85"/>
    </row>
    <row r="992" spans="1:1">
      <c r="A992" s="85"/>
    </row>
    <row r="993" spans="1:1">
      <c r="A993" s="85"/>
    </row>
    <row r="994" spans="1:1">
      <c r="A994" s="85"/>
    </row>
    <row r="995" spans="1:1">
      <c r="A995" s="85"/>
    </row>
    <row r="996" spans="1:1">
      <c r="A996" s="85"/>
    </row>
    <row r="997" spans="1:1">
      <c r="A997" s="85"/>
    </row>
    <row r="998" spans="1:1">
      <c r="A998" s="85"/>
    </row>
    <row r="999" spans="1:1">
      <c r="A999" s="85"/>
    </row>
    <row r="1000" spans="1:1">
      <c r="A1000" s="85"/>
    </row>
    <row r="1001" spans="1:1">
      <c r="A1001" s="85"/>
    </row>
    <row r="1002" spans="1:1">
      <c r="A1002" s="85"/>
    </row>
    <row r="1003" spans="1:1">
      <c r="A1003" s="85"/>
    </row>
    <row r="1004" spans="1:1">
      <c r="A1004" s="85"/>
    </row>
    <row r="1005" spans="1:1">
      <c r="A1005" s="85"/>
    </row>
    <row r="1006" spans="1:1">
      <c r="A1006" s="85"/>
    </row>
    <row r="1007" spans="1:1">
      <c r="A1007" s="85"/>
    </row>
    <row r="1008" spans="1:1">
      <c r="A1008" s="85"/>
    </row>
    <row r="1009" spans="1:1">
      <c r="A1009" s="85"/>
    </row>
    <row r="1010" spans="1:1">
      <c r="A1010" s="85"/>
    </row>
    <row r="1011" spans="1:1">
      <c r="A1011" s="85"/>
    </row>
    <row r="1012" spans="1:1">
      <c r="A1012" s="85"/>
    </row>
    <row r="1013" spans="1:1">
      <c r="A1013" s="85"/>
    </row>
    <row r="1014" spans="1:1">
      <c r="A1014" s="85"/>
    </row>
    <row r="1015" spans="1:1">
      <c r="A1015" s="85"/>
    </row>
    <row r="1016" spans="1:1">
      <c r="A1016" s="85"/>
    </row>
    <row r="1017" spans="1:1">
      <c r="A1017" s="85"/>
    </row>
    <row r="1018" spans="1:1">
      <c r="A1018" s="85"/>
    </row>
    <row r="1019" spans="1:1">
      <c r="A1019" s="85"/>
    </row>
    <row r="1020" spans="1:1">
      <c r="A1020" s="85"/>
    </row>
    <row r="1021" spans="1:1">
      <c r="A1021" s="85"/>
    </row>
    <row r="1022" spans="1:1">
      <c r="A1022" s="85"/>
    </row>
    <row r="1023" spans="1:1">
      <c r="A1023" s="85"/>
    </row>
    <row r="1024" spans="1:1">
      <c r="A1024" s="85"/>
    </row>
    <row r="1025" spans="1:1">
      <c r="A1025" s="85"/>
    </row>
    <row r="1026" spans="1:1">
      <c r="A1026" s="85"/>
    </row>
    <row r="1027" spans="1:1">
      <c r="A1027" s="85"/>
    </row>
    <row r="1028" spans="1:1">
      <c r="A1028" s="85"/>
    </row>
    <row r="1029" spans="1:1">
      <c r="A1029" s="85"/>
    </row>
    <row r="1030" spans="1:1">
      <c r="A1030" s="85"/>
    </row>
    <row r="1031" spans="1:1">
      <c r="A1031" s="85"/>
    </row>
    <row r="1032" spans="1:1">
      <c r="A1032" s="85"/>
    </row>
    <row r="1033" spans="1:1">
      <c r="A1033" s="85"/>
    </row>
    <row r="1034" spans="1:1">
      <c r="A1034" s="85"/>
    </row>
    <row r="1035" spans="1:1">
      <c r="A1035" s="85"/>
    </row>
    <row r="1036" spans="1:1">
      <c r="A1036" s="85"/>
    </row>
    <row r="1037" spans="1:1">
      <c r="A1037" s="85"/>
    </row>
    <row r="1038" spans="1:1">
      <c r="A1038" s="85"/>
    </row>
    <row r="1039" spans="1:1">
      <c r="A1039" s="85"/>
    </row>
    <row r="1040" spans="1:1">
      <c r="A1040" s="85"/>
    </row>
    <row r="1041" spans="1:1">
      <c r="A1041" s="85"/>
    </row>
    <row r="1042" spans="1:1">
      <c r="A1042" s="85"/>
    </row>
    <row r="1043" spans="1:1">
      <c r="A1043" s="85"/>
    </row>
    <row r="1044" spans="1:1">
      <c r="A1044" s="85"/>
    </row>
    <row r="1045" spans="1:1">
      <c r="A1045" s="85"/>
    </row>
    <row r="1046" spans="1:1">
      <c r="A1046" s="85"/>
    </row>
    <row r="1047" spans="1:1">
      <c r="A1047" s="85"/>
    </row>
    <row r="1048" spans="1:1">
      <c r="A1048" s="85"/>
    </row>
    <row r="1049" spans="1:1">
      <c r="A1049" s="85"/>
    </row>
    <row r="1050" spans="1:1">
      <c r="A1050" s="85"/>
    </row>
    <row r="1051" spans="1:1">
      <c r="A1051" s="85"/>
    </row>
    <row r="1052" spans="1:1">
      <c r="A1052" s="85"/>
    </row>
    <row r="1053" spans="1:1">
      <c r="A1053" s="85"/>
    </row>
    <row r="1054" spans="1:1">
      <c r="A1054" s="85"/>
    </row>
    <row r="1055" spans="1:1">
      <c r="A1055" s="85"/>
    </row>
    <row r="1056" spans="1:1">
      <c r="A1056" s="85"/>
    </row>
    <row r="1057" spans="1:1">
      <c r="A1057" s="85"/>
    </row>
    <row r="1058" spans="1:1">
      <c r="A1058" s="85"/>
    </row>
    <row r="1059" spans="1:1">
      <c r="A1059" s="85"/>
    </row>
    <row r="1060" spans="1:1">
      <c r="A1060" s="85"/>
    </row>
    <row r="1061" spans="1:1">
      <c r="A1061" s="85"/>
    </row>
    <row r="1062" spans="1:1">
      <c r="A1062" s="85"/>
    </row>
    <row r="1063" spans="1:1">
      <c r="A1063" s="85"/>
    </row>
    <row r="1064" spans="1:1">
      <c r="A1064" s="85"/>
    </row>
    <row r="1065" spans="1:1">
      <c r="A1065" s="85"/>
    </row>
    <row r="1066" spans="1:1">
      <c r="A1066" s="85"/>
    </row>
    <row r="1067" spans="1:1">
      <c r="A1067" s="85"/>
    </row>
    <row r="1068" spans="1:1">
      <c r="A1068" s="85"/>
    </row>
    <row r="1069" spans="1:1">
      <c r="A1069" s="85"/>
    </row>
    <row r="1070" spans="1:1">
      <c r="A1070" s="85"/>
    </row>
    <row r="1071" spans="1:1">
      <c r="A1071" s="85"/>
    </row>
    <row r="1072" spans="1:1">
      <c r="A1072" s="85"/>
    </row>
    <row r="1073" spans="1:1">
      <c r="A1073" s="85"/>
    </row>
    <row r="1074" spans="1:1">
      <c r="A1074" s="85"/>
    </row>
    <row r="1075" spans="1:1">
      <c r="A1075" s="85"/>
    </row>
    <row r="1076" spans="1:1">
      <c r="A1076" s="85"/>
    </row>
    <row r="1077" spans="1:1">
      <c r="A1077" s="85"/>
    </row>
    <row r="1078" spans="1:1">
      <c r="A1078" s="85"/>
    </row>
    <row r="1079" spans="1:1">
      <c r="A1079" s="85"/>
    </row>
    <row r="1080" spans="1:1">
      <c r="A1080" s="85"/>
    </row>
    <row r="1081" spans="1:1">
      <c r="A1081" s="85"/>
    </row>
    <row r="1082" spans="1:1">
      <c r="A1082" s="85"/>
    </row>
    <row r="1083" spans="1:1">
      <c r="A1083" s="85"/>
    </row>
    <row r="1084" spans="1:1">
      <c r="A1084" s="85"/>
    </row>
    <row r="1085" spans="1:1">
      <c r="A1085" s="85"/>
    </row>
    <row r="1086" spans="1:1">
      <c r="A1086" s="85"/>
    </row>
    <row r="1087" spans="1:1">
      <c r="A1087" s="85"/>
    </row>
    <row r="1088" spans="1:1">
      <c r="A1088" s="85"/>
    </row>
    <row r="1089" spans="1:1">
      <c r="A1089" s="85"/>
    </row>
    <row r="1090" spans="1:1">
      <c r="A1090" s="85"/>
    </row>
    <row r="1091" spans="1:1">
      <c r="A1091" s="85"/>
    </row>
    <row r="1092" spans="1:1">
      <c r="A1092" s="85"/>
    </row>
    <row r="1093" spans="1:1">
      <c r="A1093" s="85"/>
    </row>
    <row r="1094" spans="1:1">
      <c r="A1094" s="85"/>
    </row>
    <row r="1095" spans="1:1">
      <c r="A1095" s="85"/>
    </row>
    <row r="1096" spans="1:1">
      <c r="A1096" s="85"/>
    </row>
    <row r="1097" spans="1:1">
      <c r="A1097" s="85"/>
    </row>
    <row r="1098" spans="1:1">
      <c r="A1098" s="85"/>
    </row>
    <row r="1099" spans="1:1">
      <c r="A1099" s="85"/>
    </row>
    <row r="1100" spans="1:1">
      <c r="A1100" s="85"/>
    </row>
    <row r="1101" spans="1:1">
      <c r="A1101" s="85"/>
    </row>
    <row r="1102" spans="1:1">
      <c r="A1102" s="85"/>
    </row>
    <row r="1103" spans="1:1">
      <c r="A1103" s="85"/>
    </row>
    <row r="1104" spans="1:1">
      <c r="A1104" s="85"/>
    </row>
    <row r="1105" spans="1:1">
      <c r="A1105" s="85"/>
    </row>
    <row r="1106" spans="1:1">
      <c r="A1106" s="85"/>
    </row>
    <row r="1107" spans="1:1">
      <c r="A1107" s="85"/>
    </row>
    <row r="1108" spans="1:1">
      <c r="A1108" s="85"/>
    </row>
    <row r="1109" spans="1:1">
      <c r="A1109" s="85"/>
    </row>
    <row r="1110" spans="1:1">
      <c r="A1110" s="85"/>
    </row>
    <row r="1111" spans="1:1">
      <c r="A1111" s="85"/>
    </row>
    <row r="1112" spans="1:1">
      <c r="A1112" s="85"/>
    </row>
    <row r="1113" spans="1:1">
      <c r="A1113" s="85"/>
    </row>
    <row r="1114" spans="1:1">
      <c r="A1114" s="85"/>
    </row>
    <row r="1115" spans="1:1">
      <c r="A1115" s="85"/>
    </row>
    <row r="1116" spans="1:1">
      <c r="A1116" s="85"/>
    </row>
    <row r="1117" spans="1:1">
      <c r="A1117" s="85"/>
    </row>
    <row r="1118" spans="1:1">
      <c r="A1118" s="85"/>
    </row>
    <row r="1119" spans="1:1">
      <c r="A1119" s="85"/>
    </row>
    <row r="1120" spans="1:1">
      <c r="A1120" s="85"/>
    </row>
    <row r="1121" spans="1:1">
      <c r="A1121" s="85"/>
    </row>
    <row r="1122" spans="1:1">
      <c r="A1122" s="85"/>
    </row>
    <row r="1123" spans="1:1">
      <c r="A1123" s="85"/>
    </row>
    <row r="1124" spans="1:1">
      <c r="A1124" s="85"/>
    </row>
    <row r="1125" spans="1:1">
      <c r="A1125" s="85"/>
    </row>
    <row r="1126" spans="1:1">
      <c r="A1126" s="85"/>
    </row>
    <row r="1127" spans="1:1">
      <c r="A1127" s="85"/>
    </row>
    <row r="1128" spans="1:1">
      <c r="A1128" s="85"/>
    </row>
    <row r="1129" spans="1:1">
      <c r="A1129" s="85"/>
    </row>
    <row r="1130" spans="1:1">
      <c r="A1130" s="85"/>
    </row>
    <row r="1131" spans="1:1">
      <c r="A1131" s="85"/>
    </row>
    <row r="1132" spans="1:1">
      <c r="A1132" s="85"/>
    </row>
    <row r="1133" spans="1:1">
      <c r="A1133" s="85"/>
    </row>
    <row r="1134" spans="1:1">
      <c r="A1134" s="85"/>
    </row>
    <row r="1135" spans="1:1">
      <c r="A1135" s="85"/>
    </row>
    <row r="1136" spans="1:1">
      <c r="A1136" s="85"/>
    </row>
    <row r="1137" spans="1:1">
      <c r="A1137" s="85"/>
    </row>
    <row r="1138" spans="1:1">
      <c r="A1138" s="85"/>
    </row>
    <row r="1139" spans="1:1">
      <c r="A1139" s="85"/>
    </row>
    <row r="1140" spans="1:1">
      <c r="A1140" s="85"/>
    </row>
    <row r="1141" spans="1:1">
      <c r="A1141" s="85"/>
    </row>
    <row r="1142" spans="1:1">
      <c r="A1142" s="85"/>
    </row>
    <row r="1143" spans="1:1">
      <c r="A1143" s="85"/>
    </row>
    <row r="1144" spans="1:1">
      <c r="A1144" s="85"/>
    </row>
    <row r="1145" spans="1:1">
      <c r="A1145" s="85"/>
    </row>
    <row r="1146" spans="1:1">
      <c r="A1146" s="85"/>
    </row>
    <row r="1147" spans="1:1">
      <c r="A1147" s="85"/>
    </row>
    <row r="1148" spans="1:1">
      <c r="A1148" s="85"/>
    </row>
    <row r="1149" spans="1:1">
      <c r="A1149" s="85"/>
    </row>
    <row r="1150" spans="1:1">
      <c r="A1150" s="85"/>
    </row>
    <row r="1151" spans="1:1">
      <c r="A1151" s="85"/>
    </row>
    <row r="1152" spans="1:1">
      <c r="A1152" s="85"/>
    </row>
    <row r="1153" spans="1:1">
      <c r="A1153" s="85"/>
    </row>
    <row r="1154" spans="1:1">
      <c r="A1154" s="85"/>
    </row>
    <row r="1155" spans="1:1">
      <c r="A1155" s="85"/>
    </row>
    <row r="1156" spans="1:1">
      <c r="A1156" s="85"/>
    </row>
    <row r="1157" spans="1:1">
      <c r="A1157" s="85"/>
    </row>
    <row r="1158" spans="1:1">
      <c r="A1158" s="85"/>
    </row>
    <row r="1159" spans="1:1">
      <c r="A1159" s="85"/>
    </row>
    <row r="1160" spans="1:1">
      <c r="A1160" s="85"/>
    </row>
    <row r="1161" spans="1:1">
      <c r="A1161" s="85"/>
    </row>
    <row r="1162" spans="1:1">
      <c r="A1162" s="85"/>
    </row>
    <row r="1163" spans="1:1">
      <c r="A1163" s="85"/>
    </row>
    <row r="1164" spans="1:1">
      <c r="A1164" s="85"/>
    </row>
    <row r="1165" spans="1:1">
      <c r="A1165" s="85"/>
    </row>
    <row r="1166" spans="1:1">
      <c r="A1166" s="85"/>
    </row>
    <row r="1167" spans="1:1">
      <c r="A1167" s="85"/>
    </row>
    <row r="1168" spans="1:1">
      <c r="A1168" s="85"/>
    </row>
    <row r="1169" spans="1:1">
      <c r="A1169" s="85"/>
    </row>
    <row r="1170" spans="1:1">
      <c r="A1170" s="85"/>
    </row>
    <row r="1171" spans="1:1">
      <c r="A1171" s="85"/>
    </row>
    <row r="1172" spans="1:1">
      <c r="A1172" s="85"/>
    </row>
    <row r="1173" spans="1:1">
      <c r="A1173" s="85"/>
    </row>
    <row r="1174" spans="1:1">
      <c r="A1174" s="85"/>
    </row>
    <row r="1175" spans="1:1">
      <c r="A1175" s="85"/>
    </row>
    <row r="1176" spans="1:1">
      <c r="A1176" s="85"/>
    </row>
    <row r="1177" spans="1:1">
      <c r="A1177" s="85"/>
    </row>
    <row r="1178" spans="1:1">
      <c r="A1178" s="85"/>
    </row>
    <row r="1179" spans="1:1">
      <c r="A1179" s="85"/>
    </row>
    <row r="1180" spans="1:1">
      <c r="A1180" s="85"/>
    </row>
    <row r="1181" spans="1:1">
      <c r="A1181" s="85"/>
    </row>
    <row r="1182" spans="1:1">
      <c r="A1182" s="85"/>
    </row>
    <row r="1183" spans="1:1">
      <c r="A1183" s="85"/>
    </row>
    <row r="1184" spans="1:1">
      <c r="A1184" s="85"/>
    </row>
    <row r="1185" spans="1:1">
      <c r="A1185" s="85"/>
    </row>
    <row r="1186" spans="1:1">
      <c r="A1186" s="85"/>
    </row>
    <row r="1187" spans="1:1">
      <c r="A1187" s="85"/>
    </row>
    <row r="1188" spans="1:1">
      <c r="A1188" s="85"/>
    </row>
    <row r="1189" spans="1:1">
      <c r="A1189" s="85"/>
    </row>
    <row r="1190" spans="1:1">
      <c r="A1190" s="85"/>
    </row>
    <row r="1191" spans="1:1">
      <c r="A1191" s="85"/>
    </row>
    <row r="1192" spans="1:1">
      <c r="A1192" s="85"/>
    </row>
    <row r="1193" spans="1:1">
      <c r="A1193" s="85"/>
    </row>
    <row r="1194" spans="1:1">
      <c r="A1194" s="85"/>
    </row>
    <row r="1195" spans="1:1">
      <c r="A1195" s="85"/>
    </row>
    <row r="1196" spans="1:1">
      <c r="A1196" s="85"/>
    </row>
    <row r="1197" spans="1:1">
      <c r="A1197" s="85"/>
    </row>
    <row r="1198" spans="1:1">
      <c r="A1198" s="85"/>
    </row>
    <row r="1199" spans="1:1">
      <c r="A1199" s="85"/>
    </row>
    <row r="1200" spans="1:1">
      <c r="A1200" s="85"/>
    </row>
    <row r="1201" spans="1:1">
      <c r="A1201" s="85"/>
    </row>
    <row r="1202" spans="1:1">
      <c r="A1202" s="85"/>
    </row>
    <row r="1203" spans="1:1">
      <c r="A1203" s="85"/>
    </row>
    <row r="1204" spans="1:1">
      <c r="A1204" s="85"/>
    </row>
    <row r="1205" spans="1:1">
      <c r="A1205" s="85"/>
    </row>
    <row r="1206" spans="1:1">
      <c r="A1206" s="85"/>
    </row>
    <row r="1207" spans="1:1">
      <c r="A1207" s="85"/>
    </row>
    <row r="1208" spans="1:1">
      <c r="A1208" s="85"/>
    </row>
    <row r="1209" spans="1:1">
      <c r="A1209" s="85"/>
    </row>
    <row r="1210" spans="1:1">
      <c r="A1210" s="85"/>
    </row>
    <row r="1211" spans="1:1">
      <c r="A1211" s="85"/>
    </row>
    <row r="1212" spans="1:1">
      <c r="A1212" s="85"/>
    </row>
    <row r="1213" spans="1:1">
      <c r="A1213" s="85"/>
    </row>
    <row r="1214" spans="1:1">
      <c r="A1214" s="85"/>
    </row>
    <row r="1215" spans="1:1">
      <c r="A1215" s="85"/>
    </row>
    <row r="1216" spans="1:1">
      <c r="A1216" s="85"/>
    </row>
    <row r="1217" spans="1:1">
      <c r="A1217" s="85"/>
    </row>
    <row r="1218" spans="1:1">
      <c r="A1218" s="85"/>
    </row>
    <row r="1219" spans="1:1">
      <c r="A1219" s="85"/>
    </row>
    <row r="1220" spans="1:1">
      <c r="A1220" s="85"/>
    </row>
    <row r="1221" spans="1:1">
      <c r="A1221" s="85"/>
    </row>
    <row r="1222" spans="1:1">
      <c r="A1222" s="85"/>
    </row>
    <row r="1223" spans="1:1">
      <c r="A1223" s="85"/>
    </row>
    <row r="1224" spans="1:1">
      <c r="A1224" s="85"/>
    </row>
    <row r="1225" spans="1:1">
      <c r="A1225" s="85"/>
    </row>
    <row r="1226" spans="1:1">
      <c r="A1226" s="85"/>
    </row>
    <row r="1227" spans="1:1">
      <c r="A1227" s="85"/>
    </row>
    <row r="1228" spans="1:1">
      <c r="A1228" s="85"/>
    </row>
    <row r="1229" spans="1:1">
      <c r="A1229" s="85"/>
    </row>
    <row r="1230" spans="1:1">
      <c r="A1230" s="85"/>
    </row>
    <row r="1231" spans="1:1">
      <c r="A1231" s="85"/>
    </row>
    <row r="1232" spans="1:1">
      <c r="A1232" s="85"/>
    </row>
    <row r="1233" spans="1:1">
      <c r="A1233" s="85"/>
    </row>
    <row r="1234" spans="1:1">
      <c r="A1234" s="85"/>
    </row>
    <row r="1235" spans="1:1">
      <c r="A1235" s="85"/>
    </row>
    <row r="1236" spans="1:1">
      <c r="A1236" s="85"/>
    </row>
    <row r="1237" spans="1:1">
      <c r="A1237" s="85"/>
    </row>
    <row r="1238" spans="1:1">
      <c r="A1238" s="85"/>
    </row>
    <row r="1239" spans="1:1">
      <c r="A1239" s="85"/>
    </row>
    <row r="1240" spans="1:1">
      <c r="A1240" s="85"/>
    </row>
    <row r="1241" spans="1:1">
      <c r="A1241" s="85"/>
    </row>
    <row r="1242" spans="1:1">
      <c r="A1242" s="85"/>
    </row>
    <row r="1243" spans="1:1">
      <c r="A1243" s="85"/>
    </row>
    <row r="1244" spans="1:1">
      <c r="A1244" s="85"/>
    </row>
    <row r="1245" spans="1:1">
      <c r="A1245" s="85"/>
    </row>
    <row r="1246" spans="1:1">
      <c r="A1246" s="85"/>
    </row>
  </sheetData>
  <mergeCells count="45">
    <mergeCell ref="R6:T6"/>
    <mergeCell ref="B7:B9"/>
    <mergeCell ref="C7:E7"/>
    <mergeCell ref="F7:H7"/>
    <mergeCell ref="C6:E6"/>
    <mergeCell ref="F6:H6"/>
    <mergeCell ref="I6:K6"/>
    <mergeCell ref="L6:N6"/>
    <mergeCell ref="O6:Q6"/>
    <mergeCell ref="C8:E8"/>
    <mergeCell ref="F8:H8"/>
    <mergeCell ref="C9:E9"/>
    <mergeCell ref="F9:H9"/>
    <mergeCell ref="A1:H3"/>
    <mergeCell ref="I1:P3"/>
    <mergeCell ref="Q1:X3"/>
    <mergeCell ref="A4:T4"/>
    <mergeCell ref="A5:H5"/>
    <mergeCell ref="B18:B20"/>
    <mergeCell ref="C18:E18"/>
    <mergeCell ref="F18:H18"/>
    <mergeCell ref="B10:B13"/>
    <mergeCell ref="C10:E10"/>
    <mergeCell ref="F10:H10"/>
    <mergeCell ref="C11:E11"/>
    <mergeCell ref="F11:H11"/>
    <mergeCell ref="C13:E13"/>
    <mergeCell ref="F13:H13"/>
    <mergeCell ref="C12:E12"/>
    <mergeCell ref="F12:H12"/>
    <mergeCell ref="B14:B17"/>
    <mergeCell ref="C14:E14"/>
    <mergeCell ref="F14:H14"/>
    <mergeCell ref="C15:E15"/>
    <mergeCell ref="F15:H15"/>
    <mergeCell ref="C16:E16"/>
    <mergeCell ref="F16:H16"/>
    <mergeCell ref="C17:E17"/>
    <mergeCell ref="F17:H17"/>
    <mergeCell ref="C19:E19"/>
    <mergeCell ref="F19:H19"/>
    <mergeCell ref="C20:E20"/>
    <mergeCell ref="F20:H20"/>
    <mergeCell ref="C21:E21"/>
    <mergeCell ref="F21:H21"/>
  </mergeCells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0D15-FC57-43F2-AD75-3EF2529CEE26}">
  <dimension ref="A1:O15"/>
  <sheetViews>
    <sheetView workbookViewId="0">
      <selection activeCell="J8" sqref="J8"/>
    </sheetView>
  </sheetViews>
  <sheetFormatPr defaultRowHeight="15"/>
  <cols>
    <col min="1" max="1" width="21.28515625" bestFit="1" customWidth="1"/>
    <col min="2" max="2" width="30.42578125" bestFit="1" customWidth="1"/>
    <col min="3" max="3" width="23.42578125" customWidth="1"/>
  </cols>
  <sheetData>
    <row r="1" spans="1:15" ht="15.75" thickBot="1">
      <c r="A1" s="70" t="s">
        <v>104</v>
      </c>
      <c r="B1" s="76"/>
      <c r="C1" s="126" t="s">
        <v>208</v>
      </c>
      <c r="D1" s="247">
        <v>2023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</row>
    <row r="2" spans="1:15">
      <c r="A2" s="52" t="s">
        <v>62</v>
      </c>
      <c r="B2" s="75" t="s">
        <v>90</v>
      </c>
      <c r="C2" s="75" t="s">
        <v>103</v>
      </c>
      <c r="D2" s="74" t="s">
        <v>95</v>
      </c>
      <c r="E2" s="74" t="s">
        <v>96</v>
      </c>
      <c r="F2" s="74" t="s">
        <v>97</v>
      </c>
      <c r="G2" s="74" t="s">
        <v>98</v>
      </c>
      <c r="H2" s="74" t="s">
        <v>99</v>
      </c>
      <c r="I2" s="74" t="s">
        <v>100</v>
      </c>
      <c r="J2" s="74" t="s">
        <v>101</v>
      </c>
      <c r="K2" s="74" t="s">
        <v>102</v>
      </c>
      <c r="L2" s="74" t="s">
        <v>91</v>
      </c>
      <c r="M2" s="74" t="s">
        <v>92</v>
      </c>
      <c r="N2" s="74" t="s">
        <v>93</v>
      </c>
      <c r="O2" s="74" t="s">
        <v>94</v>
      </c>
    </row>
    <row r="3" spans="1:15">
      <c r="A3" s="255" t="s">
        <v>221</v>
      </c>
      <c r="B3" s="249" t="s">
        <v>167</v>
      </c>
      <c r="C3" s="249" t="s">
        <v>123</v>
      </c>
      <c r="D3" s="1"/>
      <c r="E3" s="14"/>
      <c r="F3" s="72"/>
      <c r="G3" s="1"/>
      <c r="H3" s="14"/>
      <c r="I3" s="72"/>
      <c r="J3" s="30"/>
      <c r="K3" s="30"/>
      <c r="L3" s="104"/>
      <c r="M3" s="1"/>
      <c r="N3" s="14"/>
      <c r="O3" s="72"/>
    </row>
    <row r="4" spans="1:15">
      <c r="A4" s="256"/>
      <c r="B4" s="250"/>
      <c r="C4" s="250"/>
      <c r="D4" s="68"/>
      <c r="E4" s="14"/>
      <c r="F4" s="67"/>
      <c r="G4" s="68"/>
      <c r="H4" s="14"/>
      <c r="I4" s="67"/>
      <c r="J4" s="125"/>
      <c r="K4" s="30"/>
      <c r="L4" s="106"/>
      <c r="M4" s="68"/>
      <c r="N4" s="14"/>
      <c r="O4" s="67"/>
    </row>
    <row r="5" spans="1:15">
      <c r="A5" s="256"/>
      <c r="B5" s="250"/>
      <c r="C5" s="250"/>
      <c r="D5" s="1"/>
      <c r="E5" s="73"/>
      <c r="F5" s="67"/>
      <c r="G5" s="1"/>
      <c r="H5" s="73"/>
      <c r="I5" s="67"/>
      <c r="J5" s="30"/>
      <c r="K5" s="125"/>
      <c r="L5" s="106"/>
      <c r="M5" s="1"/>
      <c r="N5" s="73"/>
      <c r="O5" s="67"/>
    </row>
    <row r="6" spans="1:15">
      <c r="A6" s="256"/>
      <c r="B6" s="251"/>
      <c r="C6" s="251"/>
      <c r="D6" s="1"/>
      <c r="E6" s="14"/>
      <c r="F6" s="67"/>
      <c r="G6" s="1"/>
      <c r="H6" s="14"/>
      <c r="I6" s="67"/>
      <c r="J6" s="30"/>
      <c r="K6" s="30"/>
      <c r="L6" s="106"/>
      <c r="M6" s="1"/>
      <c r="N6" s="14"/>
      <c r="O6" s="67"/>
    </row>
    <row r="7" spans="1:15">
      <c r="A7" s="255" t="s">
        <v>222</v>
      </c>
      <c r="B7" s="249" t="s">
        <v>223</v>
      </c>
      <c r="C7" s="252" t="s">
        <v>224</v>
      </c>
      <c r="D7" s="1"/>
      <c r="E7" s="14"/>
      <c r="F7" s="72"/>
      <c r="G7" s="1"/>
      <c r="H7" s="14"/>
      <c r="I7" s="72"/>
      <c r="J7" s="1"/>
      <c r="K7" s="1"/>
      <c r="L7" s="72"/>
      <c r="M7" s="1"/>
      <c r="N7" s="14"/>
      <c r="O7" s="104"/>
    </row>
    <row r="8" spans="1:15">
      <c r="A8" s="256"/>
      <c r="B8" s="250"/>
      <c r="C8" s="253"/>
      <c r="D8" s="68"/>
      <c r="E8" s="14"/>
      <c r="F8" s="66"/>
      <c r="G8" s="68"/>
      <c r="H8" s="14"/>
      <c r="I8" s="66"/>
      <c r="J8" s="68"/>
      <c r="K8" s="1"/>
      <c r="L8" s="66"/>
      <c r="M8" s="68"/>
      <c r="N8" s="14"/>
      <c r="O8" s="105"/>
    </row>
    <row r="9" spans="1:15">
      <c r="A9" s="256"/>
      <c r="B9" s="250"/>
      <c r="C9" s="253"/>
      <c r="D9" s="1"/>
      <c r="E9" s="14"/>
      <c r="F9" s="67"/>
      <c r="G9" s="1"/>
      <c r="H9" s="14"/>
      <c r="I9" s="67"/>
      <c r="J9" s="1"/>
      <c r="K9" s="1"/>
      <c r="L9" s="67"/>
      <c r="M9" s="1"/>
      <c r="N9" s="14"/>
      <c r="O9" s="106"/>
    </row>
    <row r="10" spans="1:15">
      <c r="A10" s="256"/>
      <c r="B10" s="250"/>
      <c r="C10" s="253"/>
      <c r="D10" s="1"/>
      <c r="E10" s="14"/>
      <c r="F10" s="67"/>
      <c r="G10" s="1"/>
      <c r="H10" s="14"/>
      <c r="I10" s="67"/>
      <c r="J10" s="1"/>
      <c r="K10" s="1"/>
      <c r="L10" s="67"/>
      <c r="M10" s="1"/>
      <c r="N10" s="14"/>
      <c r="O10" s="106"/>
    </row>
    <row r="11" spans="1:15">
      <c r="A11" s="256"/>
      <c r="B11" s="251"/>
      <c r="C11" s="254"/>
      <c r="D11" s="1"/>
      <c r="E11" s="14"/>
      <c r="F11" s="67"/>
      <c r="G11" s="1"/>
      <c r="H11" s="14"/>
      <c r="I11" s="67"/>
      <c r="J11" s="1"/>
      <c r="K11" s="1"/>
      <c r="L11" s="67"/>
      <c r="M11" s="1"/>
      <c r="N11" s="14"/>
      <c r="O11" s="106"/>
    </row>
    <row r="12" spans="1:15">
      <c r="B12" s="70"/>
    </row>
    <row r="13" spans="1:15">
      <c r="B13" s="70"/>
    </row>
    <row r="15" spans="1:15">
      <c r="B15" s="71"/>
    </row>
  </sheetData>
  <mergeCells count="7">
    <mergeCell ref="D1:O1"/>
    <mergeCell ref="C3:C6"/>
    <mergeCell ref="C7:C11"/>
    <mergeCell ref="A3:A6"/>
    <mergeCell ref="A7:A11"/>
    <mergeCell ref="B3:B6"/>
    <mergeCell ref="B7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ANALISI DEL CONTESTO</vt:lpstr>
      <vt:lpstr>MATRICE DEI RISCHI</vt:lpstr>
      <vt:lpstr>(NO)_INDICATORI</vt:lpstr>
      <vt:lpstr>(NO)_MIGLIORAMENTO</vt:lpstr>
      <vt:lpstr>'MATRICE DEI RISCHI'!Area_stampa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andrea.mallo</dc:creator>
  <cp:lastModifiedBy>Agrumigel</cp:lastModifiedBy>
  <cp:lastPrinted>2018-02-22T11:04:00Z</cp:lastPrinted>
  <dcterms:created xsi:type="dcterms:W3CDTF">2018-02-14T14:19:00Z</dcterms:created>
  <dcterms:modified xsi:type="dcterms:W3CDTF">2024-05-17T09:43:07Z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1033-10.2.0.5824</vt:lpwstr>
  </property>
</Properties>
</file>