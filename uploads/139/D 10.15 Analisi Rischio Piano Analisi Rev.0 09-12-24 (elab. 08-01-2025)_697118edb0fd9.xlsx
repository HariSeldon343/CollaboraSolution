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Default Extension="png" ContentType="image/png"/>
  <Default Extension="vml" ContentType="application/vnd.openxmlformats-officedocument.vmlDrawing"/>
  <Default Extension="emf" ContentType="image/x-emf"/>
  <Override PartName="/_rels/.rels" ContentType="application/vnd.openxmlformats-package.relationships+xml"/>
  <Override PartName="/xl/_rels/workbook.xml.rels" ContentType="application/vnd.openxmlformats-package.relationships+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workbook.xml" ContentType="application/vnd.openxmlformats-officedocument.spreadsheetml.sheet.main+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workbookPr hidePivotFieldList="0" filterPrivacy="0"/>
  <workbookProtection workbookPassword="0000" lockWindows="0" lockStructure="0"/>
  <bookViews>
    <workbookView activeTab="5" firstSheet="0" tabRatio="600" windowHeight="11925" windowWidth="28800" yWindow="32760" xWindow="32760"/>
  </bookViews>
  <sheets>
    <sheet name="Prodotto finito" sheetId="1" state="visible" r:id="sId1"/>
    <sheet name="Acqua" sheetId="2" state="visible" r:id="sId2"/>
    <sheet name="Superfici" sheetId="3" state="visible" r:id="sId3"/>
    <sheet name="Materia prima fresca" sheetId="4" state="visible" r:id="sId4"/>
    <sheet name="(NO) Materia prima lavorata" sheetId="5" state="visible" r:id="sId5"/>
    <sheet name="(NO) Prodotto intermedio" sheetId="6" state="visible" r:id="sId6"/>
  </sheets>
  <definedNames>
    <definedName name="_xlnm._FilterDatabase" localSheetId="4" hidden="1">'(NO) Materia prima lavorata'!$C$4:$L$733</definedName>
    <definedName name="_xlnm._FilterDatabase" localSheetId="5" hidden="1">'(NO) Prodotto intermedio'!$C$4:$J$742</definedName>
    <definedName name="_xlnm._FilterDatabase" localSheetId="1" hidden="1">Acqua!$C$4:$J$760</definedName>
    <definedName name="_xlnm._FilterDatabase" localSheetId="0" hidden="1">'Prodotto finito'!$C$4:$L$743</definedName>
    <definedName name="_xlnm._FilterDatabase" localSheetId="2" hidden="1">Superfici!$C$4:$K$746</definedName>
  </definedNames>
</workbook>
</file>

<file path=xl/comments1.xml><?xml version="1.0" encoding="utf-8"?>
<comments xmlns="http://schemas.openxmlformats.org/spreadsheetml/2006/main">
  <authors>
    <author>QUALITA' GRUPPOFORMA</author>
    <author>Gianfranco Cubadda</author>
    <author>Francesca</author>
  </authors>
  <commentList>
    <comment ref="C4" authorId="0">
      <text>
        <r>
          <rPr>
            <color indexed="8"/>
            <family val="2"/>
            <rFont val="Tahoma"/>
            <sz val="8"/>
          </rPr>
          <t xml:space="preserve">1. PF/PRODUZIONE TOT &lt;20%  
2. 20% &lt; PF/PRODUZIONE TOT &lt;75%  
3. PF/PRODUZIONE TOT&gt;75%  </t>
        </r>
      </text>
    </comment>
    <comment ref="E4" authorId="0">
      <text>
        <r>
          <rPr>
            <color indexed="8"/>
            <family val="2"/>
            <rFont val="Tahoma"/>
            <sz val="8"/>
          </rPr>
          <t xml:space="preserve">1.Cliente non richiede analisi sul parametro in oggetto;
2. Cliente richiede analisi sul parametro in oggetto</t>
        </r>
        <r>
          <rPr>
            <color indexed="8"/>
            <family val="2"/>
            <rFont val="Tahoma"/>
            <sz val="9"/>
          </rPr>
          <t xml:space="preserve">
</t>
        </r>
      </text>
    </comment>
    <comment ref="F4" authorId="0">
      <text>
        <r>
          <rPr>
            <color indexed="8"/>
            <family val="2"/>
            <rFont val="Tahoma"/>
            <sz val="8"/>
          </rPr>
          <t xml:space="preserve">1. Nessuna NC/esito non conforme nell'ultimo anno;
2.Fino a 2 NC/esito non conforme nell'ultimo anno;
3. Oltre 3 NC/esito non conforme nell'ultimo anno.</t>
        </r>
        <r>
          <rPr>
            <color indexed="8"/>
            <family val="2"/>
            <rFont val="Tahoma"/>
            <sz val="9"/>
          </rPr>
          <t xml:space="preserve">
</t>
        </r>
      </text>
    </comment>
    <comment ref="G4" authorId="0">
      <text>
        <r>
          <rPr>
            <color indexed="8"/>
            <family val="2"/>
            <rFont val="Tahoma"/>
            <sz val="8"/>
          </rPr>
          <t xml:space="preserve">1. NC con gravità del pericolo 1 o 2
2. NC con gravità del pericolo 3
3. NC con gravità del pericolo 4</t>
        </r>
        <r>
          <rPr>
            <color indexed="8"/>
            <family val="2"/>
            <rFont val="Tahoma"/>
            <sz val="9"/>
          </rPr>
          <t xml:space="preserve">
</t>
        </r>
      </text>
    </comment>
    <comment ref="H4" authorId="0">
      <text>
        <r>
          <rPr>
            <color indexed="8"/>
            <family val="2"/>
            <rFont val="Tahoma"/>
            <sz val="8"/>
          </rPr>
          <t xml:space="preserve">1.Parametri nei limiti negli ultimi 3 anni
2. Parametri fuori limite nell'ultimo anno
3. Parametri fuori limite negli ultimi due anni</t>
        </r>
      </text>
    </comment>
    <comment ref="I4" authorId="0">
      <text>
        <r>
          <rPr>
            <color indexed="8"/>
            <family val="2"/>
            <rFont val="Tahoma"/>
            <sz val="8"/>
          </rPr>
          <t xml:space="preserve">1. Non normato;
2. Normativa solo su base volontaria (es. standard di certificazione volontaria) o valori raccomandati/valori guida
3. Normativa cogente</t>
        </r>
      </text>
    </comment>
    <comment ref="J4" authorId="0">
      <text>
        <r>
          <rPr>
            <color indexed="8"/>
            <family val="2"/>
            <rFont val="Tahoma"/>
            <sz val="8"/>
          </rPr>
          <t xml:space="preserve">1. Nessuna allerta su prodotto nell'ultimo anno;
2. Da 1 a 2 allerte su prodotto nell'ultimo anno;
3. Più di 3 allerte su prodotto nell'ultimo anno.</t>
        </r>
        <r>
          <rPr>
            <color indexed="8"/>
            <family val="2"/>
            <rFont val="Tahoma"/>
            <sz val="9"/>
          </rPr>
          <t xml:space="preserve">
</t>
        </r>
      </text>
    </comment>
    <comment ref="K4" authorId="1">
      <text>
        <r>
          <rPr>
            <color indexed="81"/>
            <family val="2"/>
            <rFont val="Tahoma"/>
            <sz val="9"/>
          </rPr>
          <t xml:space="preserve">Stabilita sulla base della media dei singoli parametri, moltiplicata per il peso del singolo parametro</t>
        </r>
      </text>
    </comment>
    <comment ref="L4" authorId="1">
      <text>
        <r>
          <rPr>
            <color indexed="81"/>
            <family val="2"/>
            <rFont val="Tahoma"/>
            <sz val="9"/>
          </rPr>
          <t xml:space="preserve">Frequenza minima definita</t>
        </r>
      </text>
    </comment>
    <comment ref="D4" authorId="2">
      <text>
        <r>
          <rPr>
            <color indexed="81"/>
            <family val="2"/>
            <rFont val="Tahoma"/>
            <sz val="9"/>
          </rPr>
          <t xml:space="preserve">1.BASSO: la matrice non costituisce terreno fertile per il potenziale pericolo o comunque non risulta impattante ai fini della sicurezza alimentare
2. MEDIO: la matrice è oggetto del potenziale pericolo impattante ai fini della sicurezza alimentare ma l'affidabilità delle GMP e GHP mantengono sotto controllo il rischio
3. ALTO: la matrice è particolrmente sensibile al pericolo impattante ai fini della sicurezza alimentare e devono essere costantemente applicate procedure di monitoraggio per mantenere sotto controlllo il rischio</t>
        </r>
        <r>
          <rPr>
            <color indexed="81"/>
            <family val="2"/>
            <rFont val="Tahoma"/>
            <sz val="9"/>
          </rPr>
          <t xml:space="preserve">
</t>
        </r>
      </text>
    </comment>
  </commentList>
</comments>
</file>

<file path=xl/comments2.xml><?xml version="1.0" encoding="utf-8"?>
<comments xmlns="http://schemas.openxmlformats.org/spreadsheetml/2006/main">
  <authors>
    <author>QUALITA' GRUPPOFORMA</author>
    <author>Francesca</author>
    <author>Gianfranco Cubadda</author>
  </authors>
  <commentList>
    <comment ref="D4" authorId="0">
      <text>
        <r>
          <rPr>
            <color indexed="8"/>
            <family val="2"/>
            <rFont val="Tahoma"/>
            <sz val="8"/>
          </rPr>
          <t xml:space="preserve">1. VASCA IN CEMENTO
2.VASCA IN RESINA
3. VASCA IN PE O ACCIAIO</t>
        </r>
      </text>
    </comment>
    <comment ref="E4" authorId="1">
      <text>
        <r>
          <rPr>
            <color indexed="81"/>
            <family val="2"/>
            <rFont val="Tahoma"/>
            <sz val="8"/>
          </rPr>
          <t xml:space="preserve">1. TUBI IN MATERIALI NON NOTI
2. TUBI IN FERRO/ALTRI METALLI
3. TUBI IN PET/ACCIAIO</t>
        </r>
      </text>
    </comment>
    <comment ref="F4" authorId="0">
      <text>
        <r>
          <rPr>
            <color indexed="8"/>
            <family val="2"/>
            <rFont val="Tahoma"/>
            <sz val="8"/>
          </rPr>
          <t xml:space="preserve">1. RACCORDI IN MATERIALI NON NOTI
2. RACCORDI IN FERRO
3. RACCODI IN PET/ACCIAIO</t>
        </r>
      </text>
    </comment>
    <comment ref="G4" authorId="0">
      <text>
        <r>
          <rPr>
            <color indexed="8"/>
            <family val="2"/>
            <rFont val="Tahoma"/>
            <sz val="8"/>
          </rPr>
          <t xml:space="preserve">1. Nessuna NC/esito non conforme nell'ultimo anno;
2.Fino a 2 NC/esito non conforme nell'ultimo anno;
3. Oltre 3 NC/esito non conforme nell'ultimo anno.</t>
        </r>
        <r>
          <rPr>
            <color indexed="8"/>
            <family val="2"/>
            <rFont val="Tahoma"/>
            <sz val="9"/>
          </rPr>
          <t xml:space="preserve">
</t>
        </r>
      </text>
    </comment>
    <comment ref="H4" authorId="0">
      <text>
        <r>
          <rPr>
            <color indexed="8"/>
            <family val="2"/>
            <rFont val="Tahoma"/>
            <sz val="8"/>
          </rPr>
          <t xml:space="preserve">1. Nessuna NC/esito non conforme nell'ultimo anno;
2.Fino a 2 NC/esito non conforme nell'ultimo anno;
3. Oltre 3 NC/esito non conforme nell'ultimo anno.</t>
        </r>
        <r>
          <rPr>
            <color indexed="8"/>
            <family val="2"/>
            <rFont val="Tahoma"/>
            <sz val="9"/>
          </rPr>
          <t xml:space="preserve">
</t>
        </r>
      </text>
    </comment>
    <comment ref="I4" authorId="0">
      <text>
        <r>
          <rPr>
            <color indexed="8"/>
            <family val="2"/>
            <rFont val="Tahoma"/>
            <sz val="8"/>
          </rPr>
          <t xml:space="preserve">1. NC con gravità del pericolo 1 o 2
2. NC con gravità del pericolo 3
3. NC con gravità del pericolo 4</t>
        </r>
        <r>
          <rPr>
            <color indexed="8"/>
            <family val="2"/>
            <rFont val="Tahoma"/>
            <sz val="9"/>
          </rPr>
          <t xml:space="preserve">
</t>
        </r>
      </text>
    </comment>
    <comment ref="J4" authorId="0">
      <text>
        <r>
          <rPr>
            <color indexed="8"/>
            <family val="2"/>
            <rFont val="Tahoma"/>
            <sz val="8"/>
          </rPr>
          <t xml:space="preserve">1.Parametri nei limiti negli ultimi 3 anni
2. Parametri fuori limite nell'ultimo anno
3. Parametri fuori limite negli ultimi due anni</t>
        </r>
      </text>
    </comment>
    <comment ref="K4" authorId="0">
      <text>
        <r>
          <rPr>
            <color indexed="8"/>
            <family val="2"/>
            <rFont val="Tahoma"/>
            <sz val="8"/>
          </rPr>
          <t xml:space="preserve">1. Non normato;
2. Normativa solo su base volontaria (es. standard di certificazione volontaria) o valori raccomandati/linee guida
3. Normativa cogente</t>
        </r>
      </text>
    </comment>
    <comment ref="L4" authorId="2">
      <text>
        <r>
          <rPr>
            <color indexed="81"/>
            <family val="2"/>
            <rFont val="Tahoma"/>
            <sz val="9"/>
          </rPr>
          <t xml:space="preserve">Stabilita sulla base della media dei singoli parametri, moltiplicata per il peso del singolo parametro</t>
        </r>
      </text>
    </comment>
  </commentList>
</comments>
</file>

<file path=xl/comments3.xml><?xml version="1.0" encoding="utf-8"?>
<comments xmlns="http://schemas.openxmlformats.org/spreadsheetml/2006/main">
  <authors>
    <author>QUALITA' GRUPPOFORMA</author>
    <author>Gianfranco Cubadda</author>
    <author>Francesca</author>
  </authors>
  <commentList>
    <comment ref="C4" authorId="0">
      <text>
        <r>
          <rPr>
            <color indexed="8"/>
            <family val="2"/>
            <rFont val="Tahoma"/>
            <sz val="8"/>
          </rPr>
          <t xml:space="preserve">1. Superficie non a contatto con il prodotto/Acqua/Vapore non utilizzato nel processo produttivo ;
2. Superficie a contatto indirettamente con il prodotto/Acqua/Vapore utilizzato marginalmente o comunque non a diretto contatto con il prodotto.
3. Superficie a contatto con il prodotto/Acqua/Vapore utilizzato nel processo produttivo.</t>
        </r>
      </text>
    </comment>
    <comment ref="E4" authorId="0">
      <text>
        <r>
          <rPr>
            <color indexed="8"/>
            <family val="2"/>
            <rFont val="Tahoma"/>
            <sz val="8"/>
          </rPr>
          <t xml:space="preserve">1. Superfici lisce e di facile sanificazione/Acqua di acquedotto/ Vapore da sistemi ad alta tecnologia
2. Superfici ruvide e di complessa sanificazione, Acqua di pozzo o ricircolo/ Vapore da sistemi convenzionali.</t>
        </r>
      </text>
    </comment>
    <comment ref="F4" authorId="0">
      <text>
        <r>
          <rPr>
            <color indexed="8"/>
            <family val="2"/>
            <rFont val="Tahoma"/>
            <sz val="8"/>
          </rPr>
          <t xml:space="preserve">1. Nessuna NC/esito non conforme nell'ultimo anno;
2.Fino a 2 NC/esito non conforme nell'ultimo anno;
3. Oltre 3 NC/esito non conforme nell'ultimo anno.</t>
        </r>
        <r>
          <rPr>
            <color indexed="8"/>
            <family val="2"/>
            <rFont val="Tahoma"/>
            <sz val="9"/>
          </rPr>
          <t xml:space="preserve">
</t>
        </r>
      </text>
    </comment>
    <comment ref="G4" authorId="0">
      <text>
        <r>
          <rPr>
            <color indexed="8"/>
            <family val="2"/>
            <rFont val="Tahoma"/>
            <sz val="8"/>
          </rPr>
          <t xml:space="preserve">1. NC con gravità del pericolo 1 o 2
2. NC con gravità del pericolo 3
3. NC con gravità del pericolo 4</t>
        </r>
        <r>
          <rPr>
            <color indexed="8"/>
            <family val="2"/>
            <rFont val="Tahoma"/>
            <sz val="9"/>
          </rPr>
          <t xml:space="preserve">
</t>
        </r>
      </text>
    </comment>
    <comment ref="H4" authorId="0">
      <text>
        <r>
          <rPr>
            <color indexed="8"/>
            <family val="2"/>
            <rFont val="Tahoma"/>
            <sz val="8"/>
          </rPr>
          <t xml:space="preserve">1.Parametri nei limiti negli ultimi 3 anni
2. Parametri fuori limite nell'ultimo anno
3. Parametri fuori limite negli ultimi due anni</t>
        </r>
      </text>
    </comment>
    <comment ref="I4" authorId="0">
      <text>
        <r>
          <rPr>
            <color indexed="8"/>
            <family val="2"/>
            <rFont val="Tahoma"/>
            <sz val="8"/>
          </rPr>
          <t xml:space="preserve">1. Non normato;
2. Normativa solo su base volontaria (es. standard di certificazione volontaria) o valori raccomandati/linee guida
3. Normativa cogente</t>
        </r>
      </text>
    </comment>
    <comment ref="J4" authorId="1">
      <text>
        <r>
          <rPr>
            <color indexed="81"/>
            <family val="2"/>
            <rFont val="Tahoma"/>
            <sz val="9"/>
          </rPr>
          <t xml:space="preserve">Stabilita sulla base della media dei singoli parametri, moltiplicata per il peso del singolo parametro</t>
        </r>
      </text>
    </comment>
    <comment ref="K4" authorId="1">
      <text>
        <r>
          <rPr>
            <color indexed="81"/>
            <family val="2"/>
            <rFont val="Tahoma"/>
            <sz val="9"/>
          </rPr>
          <t xml:space="preserve">Frequenza minima definita</t>
        </r>
      </text>
    </comment>
    <comment ref="D4" authorId="2">
      <text>
        <r>
          <rPr>
            <color indexed="81"/>
            <family val="2"/>
            <rFont val="Tahoma"/>
            <sz val="8"/>
          </rPr>
          <t xml:space="preserve">1. Buono stato di manutenzione delle strutture/ impianti/condutture/ cisterne e superfici;
2. Sufficiente stato di manutenzione delle strutture/impianti/ condutture/ cisterne e superfici;
3. Scadente stato di manutenzione delle strutture/impianti/ condutture/ cisterne e superfici o non sottoposto a manutenzione.</t>
        </r>
        <r>
          <rPr>
            <color indexed="81"/>
            <family val="2"/>
            <rFont val="Tahoma"/>
            <sz val="9"/>
          </rPr>
          <t xml:space="preserve">
 </t>
        </r>
      </text>
    </comment>
  </commentList>
</comments>
</file>

<file path=xl/comments4.xml><?xml version="1.0" encoding="utf-8"?>
<comments xmlns="http://schemas.openxmlformats.org/spreadsheetml/2006/main">
  <authors>
    <author>QUALITA' GRUPPOFORMA</author>
    <author>Francesca</author>
    <author>Gianfranco Cubadda</author>
  </authors>
  <commentList>
    <comment ref="C4" authorId="0">
      <text>
        <r>
          <rPr>
            <color indexed="8"/>
            <family val="2"/>
            <rFont val="Tahoma"/>
            <sz val="8"/>
          </rPr>
          <t xml:space="preserve">1. MP/MP IN INGRESSO TOT &lt;20%  
2. 20% &lt; MP/MP IN INGRESSO TOT &lt;75%  
3. MP/MP IN INGRESSO TOT&gt;75%  </t>
        </r>
      </text>
    </comment>
    <comment ref="D4" authorId="1">
      <text>
        <r>
          <rPr>
            <color indexed="81"/>
            <family val="2"/>
            <rFont val="Tahoma"/>
            <sz val="9"/>
          </rPr>
          <t xml:space="preserve">1.BASSO: la matrice non costituisce terreno fertile per il potenziale pericolo o comunque non risulta impattante ai fini della sicurezza alimentare
2. MEDIO: la matrice è oggetto del potenziale pericolo impattante ai fini della sicurezza alimentare ma l'affidabilità delle GMP e GHP mantengono sotto controllo il rischio
3. ALTO: la matrice è particolrmente sensibile al pericolo impattante ai fini della sicurezza alimentare e devono essere costantemente applicate procedure di monitoraggio per mantenere sotto controlllo il rischio</t>
        </r>
        <r>
          <rPr>
            <color indexed="81"/>
            <family val="2"/>
            <rFont val="Tahoma"/>
            <sz val="9"/>
          </rPr>
          <t xml:space="preserve">
</t>
        </r>
      </text>
    </comment>
    <comment ref="E4" authorId="0">
      <text>
        <r>
          <rPr>
            <color indexed="8"/>
            <family val="2"/>
            <rFont val="Tahoma"/>
            <sz val="8"/>
          </rPr>
          <t xml:space="preserve">1.Cliente non richiede analisi sul parametro in oggetto;
2. Cliente richiede analisi sul parametro in oggetto</t>
        </r>
        <r>
          <rPr>
            <color indexed="8"/>
            <family val="2"/>
            <rFont val="Tahoma"/>
            <sz val="9"/>
          </rPr>
          <t xml:space="preserve">
</t>
        </r>
      </text>
    </comment>
    <comment ref="F4" authorId="0">
      <text>
        <r>
          <rPr>
            <color indexed="8"/>
            <family val="2"/>
            <rFont val="Tahoma"/>
            <sz val="8"/>
          </rPr>
          <t xml:space="preserve">1. Nessuna NC/esito non conforme nell'ultimo anno;
2.Fino a 2 NC/esito non conforme nell'ultimo anno;
3. Oltre 3 NC/esito non conforme nell'ultimo anno.</t>
        </r>
        <r>
          <rPr>
            <color indexed="8"/>
            <family val="2"/>
            <rFont val="Tahoma"/>
            <sz val="9"/>
          </rPr>
          <t xml:space="preserve">
</t>
        </r>
      </text>
    </comment>
    <comment ref="G4" authorId="0">
      <text>
        <r>
          <rPr>
            <color indexed="8"/>
            <family val="2"/>
            <rFont val="Tahoma"/>
            <sz val="8"/>
          </rPr>
          <t xml:space="preserve">1. NC con gravità del pericolo 1 o 2
2. NC con gravità del pericolo 3
3. NC con gravità del pericolo 4</t>
        </r>
        <r>
          <rPr>
            <color indexed="8"/>
            <family val="2"/>
            <rFont val="Tahoma"/>
            <sz val="9"/>
          </rPr>
          <t xml:space="preserve">
</t>
        </r>
      </text>
    </comment>
    <comment ref="H4" authorId="0">
      <text>
        <r>
          <rPr>
            <color indexed="8"/>
            <family val="2"/>
            <rFont val="Tahoma"/>
            <sz val="8"/>
          </rPr>
          <t xml:space="preserve">1.Parametri nei limiti negli ultimi 3 anni
2. Parametri fuori limite nell'ultimo anno
3. Parametri fuori limite negli ultimi due anni</t>
        </r>
      </text>
    </comment>
    <comment ref="I4" authorId="0">
      <text>
        <r>
          <rPr>
            <color indexed="8"/>
            <family val="2"/>
            <rFont val="Tahoma"/>
            <sz val="8"/>
          </rPr>
          <t xml:space="preserve">1. Non normato;
2. Normativa solo su base volontaria (es. standard di certificazione volontaria) o valori raccomandati/valori guida
3. Normativa cogente</t>
        </r>
      </text>
    </comment>
    <comment ref="J4" authorId="0">
      <text>
        <r>
          <rPr>
            <color indexed="8"/>
            <family val="2"/>
            <rFont val="Tahoma"/>
            <sz val="8"/>
          </rPr>
          <t xml:space="preserve">1. Nessuna allerta su prodotto nell'ultimo anno;
2. Da 1 a 2 allerte su prodotto nell'ultimo anno;
3. Più di 3 allerte su prodotto nell'ultimo anno.</t>
        </r>
        <r>
          <rPr>
            <color indexed="8"/>
            <family val="2"/>
            <rFont val="Tahoma"/>
            <sz val="9"/>
          </rPr>
          <t xml:space="preserve">
</t>
        </r>
      </text>
    </comment>
    <comment ref="K4" authorId="2">
      <text>
        <r>
          <rPr>
            <color indexed="81"/>
            <family val="2"/>
            <rFont val="Tahoma"/>
            <sz val="9"/>
          </rPr>
          <t xml:space="preserve">Stabilita sulla base della media dei singoli parametri, moltiplicata per il peso del singolo parametro</t>
        </r>
      </text>
    </comment>
    <comment ref="L4" authorId="2">
      <text>
        <r>
          <rPr>
            <color indexed="81"/>
            <family val="2"/>
            <rFont val="Tahoma"/>
            <sz val="9"/>
          </rPr>
          <t xml:space="preserve">Frequenza minima definita</t>
        </r>
      </text>
    </comment>
  </commentList>
</comments>
</file>

<file path=xl/comments5.xml><?xml version="1.0" encoding="utf-8"?>
<comments xmlns="http://schemas.openxmlformats.org/spreadsheetml/2006/main">
  <authors>
    <author>QUALITA' GRUPPOFORMA</author>
    <author>Francesca</author>
    <author>Gianfranco Cubadda</author>
  </authors>
  <commentList>
    <comment ref="C4" authorId="0">
      <text>
        <r>
          <rPr>
            <color indexed="8"/>
            <family val="2"/>
            <rFont val="Tahoma"/>
            <sz val="8"/>
          </rPr>
          <t xml:space="preserve">1. Il parametro è indice irrilevante per il prodotto finito
2. Il parametro è indice irrilevante per il prodotto finito ma comunque un indicatore della corretta produzione  
3. Il parametro è indice rilevante per il prodotto finito </t>
        </r>
      </text>
    </comment>
    <comment ref="D4" authorId="1">
      <text>
        <r>
          <rPr>
            <color indexed="81"/>
            <family val="2"/>
            <rFont val="Tahoma"/>
            <sz val="9"/>
          </rPr>
          <t xml:space="preserve">1.BASSO: la matrice non costituisce terreno fertile per il potenziale pericolo o comunque non risulta impattante ai fini della sicurezza alimentare
2. MEDIO: la matrice è oggetto del potenziale pericolo impattante ai fini della sicurezza alimentare ma l'affidabilità delle GMP e GHP mantengono sotto controllo il rischio
3. ALTO: la matrice è particolrmente sensibile al pericolo impattante ai fini della sicurezza alimentare e devono essere costantemente applicate procedure di monitoraggio per mantenere sotto controlllo il rischio</t>
        </r>
        <r>
          <rPr>
            <color indexed="81"/>
            <family val="2"/>
            <rFont val="Tahoma"/>
            <sz val="9"/>
          </rPr>
          <t xml:space="preserve">
</t>
        </r>
      </text>
    </comment>
    <comment ref="F4" authorId="0">
      <text>
        <r>
          <rPr>
            <color indexed="8"/>
            <family val="2"/>
            <rFont val="Tahoma"/>
            <sz val="8"/>
          </rPr>
          <t xml:space="preserve">1.Il parametro non è indice della corretta esecuzione del processo produttivo
2. Il parametro è indice delle corrette condizioni ambientali </t>
        </r>
        <r>
          <rPr>
            <color indexed="8"/>
            <family val="2"/>
            <rFont val="Tahoma"/>
            <sz val="9"/>
          </rPr>
          <t xml:space="preserve">
</t>
        </r>
        <r>
          <rPr>
            <color indexed="8"/>
            <family val="2"/>
            <rFont val="Tahoma"/>
            <sz val="8"/>
          </rPr>
          <t xml:space="preserve">3. Il parametro è indice della corretta esecuzione del processo produttivo </t>
        </r>
      </text>
    </comment>
    <comment ref="G4" authorId="0">
      <text>
        <r>
          <rPr>
            <color indexed="8"/>
            <family val="2"/>
            <rFont val="Tahoma"/>
            <sz val="8"/>
          </rPr>
          <t xml:space="preserve">1.Parametro nei limiti nell'ultimo mese
2. Parametro fuori limite nell'ultimo mese
3. Parametro fuori limite in almeno due campioni nell'ultimo mese</t>
        </r>
      </text>
    </comment>
    <comment ref="I4" authorId="2">
      <text>
        <r>
          <rPr>
            <color indexed="81"/>
            <family val="2"/>
            <rFont val="Tahoma"/>
            <sz val="9"/>
          </rPr>
          <t xml:space="preserve">Stabilita sulla base della media dei singoli parametri, moltiplicata per il peso del singolo parametro</t>
        </r>
      </text>
    </comment>
    <comment ref="J4" authorId="2">
      <text>
        <r>
          <rPr>
            <color indexed="81"/>
            <family val="2"/>
            <rFont val="Tahoma"/>
            <sz val="9"/>
          </rPr>
          <t xml:space="preserve">Frequenza minima definita</t>
        </r>
      </text>
    </comment>
    <comment ref="H4" authorId="0">
      <text>
        <r>
          <rPr>
            <color indexed="8"/>
            <family val="2"/>
            <rFont val="Tahoma"/>
            <sz val="8"/>
          </rPr>
          <t xml:space="preserve">1. Non normato;
2. Normativa solo su base volontaria (es. standard di certificazione volontaria) o valori raccomandati/valori guida
3. Normativa cogente</t>
        </r>
      </text>
    </comment>
    <comment ref="E4" authorId="1">
      <text>
        <r>
          <rPr>
            <color indexed="81"/>
            <family val="2"/>
            <rFont val="Tahoma"/>
            <sz val="8"/>
          </rPr>
          <t xml:space="preserve">1. Il tempo di ottenimento risultati è superiore/uguale a 3 giorni
2. Il tempo di ottenimento risultati è inferiore a 3 giorni 
</t>
        </r>
        <r>
          <rPr>
            <color indexed="81"/>
            <family val="2"/>
            <rFont val="Tahoma"/>
            <sz val="9"/>
          </rPr>
          <t xml:space="preserve">
</t>
        </r>
      </text>
    </comment>
  </commentList>
</comments>
</file>

<file path=xl/sharedStrings.xml><?xml version="1.0" encoding="utf-8"?>
<sst xmlns="http://schemas.openxmlformats.org/spreadsheetml/2006/main" uniqueCount="135">
  <si>
    <t xml:space="preserve">FIRMA DIR______________________________________</t>
  </si>
  <si>
    <t xml:space="preserve">DESCRIZIONE REFERENZE</t>
  </si>
  <si>
    <t xml:space="preserve">NOTE</t>
  </si>
  <si>
    <t xml:space="preserve">STATO MANUTENTIVO</t>
  </si>
  <si>
    <t xml:space="preserve">PARAMETRI di VALUTAZIONE RISCHIO </t>
  </si>
  <si>
    <t xml:space="preserve">mensile</t>
  </si>
  <si>
    <t xml:space="preserve">STORICO ANALISI IN AUTOCONTROLLO</t>
  </si>
  <si>
    <t xml:space="preserve">FREQUENZA ANALISI
</t>
  </si>
  <si>
    <t xml:space="preserve">NORMATIVA </t>
  </si>
  <si>
    <t xml:space="preserve">NUMERO DI NC </t>
  </si>
  <si>
    <t xml:space="preserve">PESO DELLE NON CONFORMITA</t>
  </si>
  <si>
    <t xml:space="preserve">Valore del rischio</t>
  </si>
  <si>
    <t xml:space="preserve">CLASSE APPARTENENZA </t>
  </si>
  <si>
    <t xml:space="preserve">RASFF</t>
  </si>
  <si>
    <t xml:space="preserve">RICHIESTO DAL CLIENTE</t>
  </si>
  <si>
    <t xml:space="preserve">QUALITA</t>
  </si>
  <si>
    <t xml:space="preserve">SICUREZZA ALIMENTARE</t>
  </si>
  <si>
    <t xml:space="preserve">LEGALITA</t>
  </si>
  <si>
    <t xml:space="preserve">Parametri microbiologici e chimici considerati</t>
  </si>
  <si>
    <t xml:space="preserve">PF SU TOTALE PRODUZIONE</t>
  </si>
  <si>
    <t xml:space="preserve">UTILIZZO </t>
  </si>
  <si>
    <t xml:space="preserve">TIPOLOGIA</t>
  </si>
  <si>
    <t xml:space="preserve">SUPERFICI</t>
  </si>
  <si>
    <t xml:space="preserve">LIVELLO DI RISCHIO</t>
  </si>
  <si>
    <t xml:space="preserve">Enterobatteriacee</t>
  </si>
  <si>
    <t xml:space="preserve">Escherichia coli</t>
  </si>
  <si>
    <t xml:space="preserve">Salmonella spp</t>
  </si>
  <si>
    <t xml:space="preserve">Listeria monocytogenes</t>
  </si>
  <si>
    <t xml:space="preserve">Annuale</t>
  </si>
  <si>
    <t xml:space="preserve">almeno 3 punti a rotazione
 (tra pavimenti e pareti)
Patogeni (Listeria, Salmonella)</t>
  </si>
  <si>
    <t xml:space="preserve">Linee di lavorazione</t>
  </si>
  <si>
    <t xml:space="preserve">Mani</t>
  </si>
  <si>
    <t xml:space="preserve">Indumenti</t>
  </si>
  <si>
    <t xml:space="preserve">su un punto a rotazione</t>
  </si>
  <si>
    <t xml:space="preserve">Allergeni Sedano/Glutine su 2 punti a rotazione</t>
  </si>
  <si>
    <t xml:space="preserve">Attrezzature di linea di trasformazione o confezionamento</t>
  </si>
  <si>
    <t xml:space="preserve">Pavimenti /pareti</t>
  </si>
  <si>
    <t xml:space="preserve">su 5 operatori tra produzione e confezionamento</t>
  </si>
  <si>
    <t xml:space="preserve">Superfici post lavaggio Residui chimici</t>
  </si>
  <si>
    <t xml:space="preserve">Carica batterica totale</t>
  </si>
  <si>
    <t xml:space="preserve">Prodotto intermedio</t>
  </si>
  <si>
    <t xml:space="preserve">Analisi chimica</t>
  </si>
  <si>
    <t xml:space="preserve">INFLUENZA SUL PROCESSO</t>
  </si>
  <si>
    <t xml:space="preserve">Attività perossidasica</t>
  </si>
  <si>
    <t xml:space="preserve">INFLUENZA SUL PRODOTTO FINITO</t>
  </si>
  <si>
    <t xml:space="preserve">Sicurezza alimentare</t>
  </si>
  <si>
    <t xml:space="preserve">Solo per verdura a foglia (nitrati e nitriti)</t>
  </si>
  <si>
    <t xml:space="preserve">TEMPI DI ESECUZIONE</t>
  </si>
  <si>
    <t xml:space="preserve">1 campione per ogni referenza prodotta</t>
  </si>
  <si>
    <t xml:space="preserve">2 campioni per ogni referenza</t>
  </si>
  <si>
    <t xml:space="preserve">Solo per prodotti blenciati/scottati
Su ogni lotto almeno 3 volte a turno</t>
  </si>
  <si>
    <t xml:space="preserve">Le analisi chimiche sulle materie prime al ricevimento sono basate su un'analisi del rischio effettuata dall'ufficio agronomico. Ad integrazione delle analisi risultanti da tale studio effettuato annualmente l'azienda ha inserito sul piano di analisi altri indici per richiesta del cliente</t>
  </si>
  <si>
    <t xml:space="preserve">Laboratorio</t>
  </si>
  <si>
    <t xml:space="preserve">Canaline e uscita aria raffreddamento reparto miscelazione</t>
  </si>
  <si>
    <t xml:space="preserve">Effettuata ad ogni lavaggio</t>
  </si>
  <si>
    <t xml:space="preserve">Acrilammide</t>
  </si>
  <si>
    <t xml:space="preserve">Analisi chimica prodotti pre-fritti e a base di pasta di patate</t>
  </si>
  <si>
    <t xml:space="preserve">MP SU TOTALE </t>
  </si>
  <si>
    <t xml:space="preserve">Surgelato acquistato</t>
  </si>
  <si>
    <t xml:space="preserve">Fitofarmaci</t>
  </si>
  <si>
    <t xml:space="preserve">SUCCO prodotto finito  campione di massa BIOLOGICO e  CONVENZIONALE </t>
  </si>
  <si>
    <t xml:space="preserve">Fitofarmaci CONVENZIONALE</t>
  </si>
  <si>
    <t xml:space="preserve">Fitofarmaci BIOLOGICO</t>
  </si>
  <si>
    <t xml:space="preserve">Patulina</t>
  </si>
  <si>
    <t xml:space="preserve">Ocratossina</t>
  </si>
  <si>
    <t xml:space="preserve">Metalli pesanti (Cadmio, Piombo, Arsenico)</t>
  </si>
  <si>
    <t xml:space="preserve">Lieviti e muffe</t>
  </si>
  <si>
    <t xml:space="preserve">Conta dei microganismi a 30°C</t>
  </si>
  <si>
    <t xml:space="preserve">LAB. ESTERNO</t>
  </si>
  <si>
    <t xml:space="preserve">LAB. ESTERNO
mensile LAB CQ</t>
  </si>
  <si>
    <t xml:space="preserve">MATERIALE VASCA DI STOCCAGGIO</t>
  </si>
  <si>
    <t xml:space="preserve">MATERIALI TUBATURE</t>
  </si>
  <si>
    <t xml:space="preserve">MATERILE RACCODI</t>
  </si>
  <si>
    <t xml:space="preserve">INFLUEZA MP SU SICURERZZA PRODOTTO FINITO</t>
  </si>
  <si>
    <t xml:space="preserve">NUMERO DI NC DA ULTIMO RISAME</t>
  </si>
  <si>
    <t xml:space="preserve">ACQUA DESTINATA AL CONSUMO UMANO E DI PROCESSO</t>
  </si>
  <si>
    <t xml:space="preserve">pH</t>
  </si>
  <si>
    <t xml:space="preserve">X</t>
  </si>
  <si>
    <t xml:space="preserve">Conducibilità a 20°C</t>
  </si>
  <si>
    <t xml:space="preserve">Solidi totali disciolti (TDS)</t>
  </si>
  <si>
    <t xml:space="preserve">Torbidità</t>
  </si>
  <si>
    <t xml:space="preserve">Ossidabilità al permanganato (kubel)</t>
  </si>
  <si>
    <t xml:space="preserve">Fluoruri</t>
  </si>
  <si>
    <t xml:space="preserve">Cloruri</t>
  </si>
  <si>
    <t xml:space="preserve">Solfati</t>
  </si>
  <si>
    <t xml:space="preserve">Nitrati (NO3)</t>
  </si>
  <si>
    <t xml:space="preserve">Nitriti (NO2)</t>
  </si>
  <si>
    <t xml:space="preserve">Ammonio (NH4)</t>
  </si>
  <si>
    <t xml:space="preserve">Carbonio organico totale (TOC)</t>
  </si>
  <si>
    <t xml:space="preserve">Durezza</t>
  </si>
  <si>
    <t xml:space="preserve">Cloro totale</t>
  </si>
  <si>
    <t xml:space="preserve">Cloro libero residuo</t>
  </si>
  <si>
    <t xml:space="preserve">Cianuri</t>
  </si>
  <si>
    <t xml:space="preserve">Sodio</t>
  </si>
  <si>
    <t xml:space="preserve">Selenio</t>
  </si>
  <si>
    <t xml:space="preserve">Alluminio</t>
  </si>
  <si>
    <t xml:space="preserve">Antimonio</t>
  </si>
  <si>
    <t xml:space="preserve">Arsenico</t>
  </si>
  <si>
    <t xml:space="preserve">Calcio</t>
  </si>
  <si>
    <t xml:space="preserve">Magnesio</t>
  </si>
  <si>
    <t xml:space="preserve">Manganese</t>
  </si>
  <si>
    <t xml:space="preserve">Piombo</t>
  </si>
  <si>
    <t xml:space="preserve">Mercurio</t>
  </si>
  <si>
    <t xml:space="preserve">Nichel</t>
  </si>
  <si>
    <t xml:space="preserve">Cadmio</t>
  </si>
  <si>
    <t xml:space="preserve">Cromo</t>
  </si>
  <si>
    <t xml:space="preserve">Rame</t>
  </si>
  <si>
    <t xml:space="preserve">Ferro</t>
  </si>
  <si>
    <t xml:space="preserve">Vanadio</t>
  </si>
  <si>
    <t xml:space="preserve">Boro</t>
  </si>
  <si>
    <t xml:space="preserve">Benzene</t>
  </si>
  <si>
    <t xml:space="preserve">1-2 Dicloroetano</t>
  </si>
  <si>
    <t xml:space="preserve">Cloruro di vinile</t>
  </si>
  <si>
    <t xml:space="preserve">Tetra e Tri-cloroetilene</t>
  </si>
  <si>
    <t xml:space="preserve">Trialomentani totali</t>
  </si>
  <si>
    <t xml:space="preserve">Idrocarburi policiclici aromatici (IPA)</t>
  </si>
  <si>
    <t xml:space="preserve">Antiparassitari (*)</t>
  </si>
  <si>
    <t xml:space="preserve">Conteggio colonie su agar a 22°C</t>
  </si>
  <si>
    <t xml:space="preserve">Colformi Totali</t>
  </si>
  <si>
    <t xml:space="preserve">Enterococchi</t>
  </si>
  <si>
    <t xml:space="preserve">(*) Antiparassitari testati: 
INSETTICIDI F0SF0RATI: acefate, ometoato, forate, dimetoato, formotion, clorpirifos metil, paration metil, pirimifos metil, fenitrotion, malation, clorpirifos eEil, fencion, paration etil, fostiazate, isofenfos, quinalfos, metidation, fenamifos, piridafention, fosmet, fosalone, azinfos metil, pirazofos, triclorfon; 
INSETTICIDI CLORURATI: Aldrin, Dieldrin, Endrjn, Eptacloro, Isodrin, Lindano, 4,4’-DDT, 2,4'-DDT, 4,4’-DDE, 2,4’-DDE.</t>
  </si>
  <si>
    <t xml:space="preserve">n. PARAMETRI</t>
  </si>
  <si>
    <t xml:space="preserve">ANALISI acqua di pozzo</t>
  </si>
  <si>
    <t xml:space="preserve">Elaborazione del 08/01/2025 eseguita RSA e CSA</t>
  </si>
  <si>
    <t xml:space="preserve">ANALISI DA ESEGUIRE</t>
  </si>
  <si>
    <t xml:space="preserve">carbonati</t>
  </si>
  <si>
    <t xml:space="preserve">bicarbonati</t>
  </si>
  <si>
    <t xml:space="preserve">silice</t>
  </si>
  <si>
    <t xml:space="preserve">Residuo fisso a 180°C</t>
  </si>
  <si>
    <t xml:space="preserve">clostridium perfrigens</t>
  </si>
  <si>
    <t xml:space="preserve">Colore (sensoriale)</t>
  </si>
  <si>
    <t xml:space="preserve">Odore (sensoriale)</t>
  </si>
  <si>
    <t xml:space="preserve">Sapore (sensoriale)</t>
  </si>
  <si>
    <t xml:space="preserve">ACQUA FILTRATA + ACQUA CLORATA + ACQUA OSMOSI </t>
  </si>
  <si>
    <t xml:space="preserve">Conteggio colonie su agar a 36°C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</si>
</sst>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9">
    <numFmt numFmtId="5" formatCode="#,##0\ &quot;€&quot;;\-#,##0\ &quot;€&quot;"/>
    <numFmt numFmtId="6" formatCode="#,##0\ &quot;€&quot;;[Red]\-#,##0\ &quot;€&quot;"/>
    <numFmt numFmtId="7" formatCode="#,##0.00\ &quot;€&quot;;\-#,##0.00\ &quot;€&quot;"/>
    <numFmt numFmtId="8" formatCode="#,##0.00\ &quot;€&quot;;[Red]\-#,##0.00\ &quot;€&quot;"/>
    <numFmt numFmtId="41" formatCode="_-* #,##0_-;\-* #,##0_-;_-* &quot;-&quot;_-;_-@_-"/>
    <numFmt numFmtId="42" formatCode="_-* #,##0\ &quot;€&quot;_-;\-* #,##0\ &quot;€&quot;_-;_-* &quot;-&quot;\ &quot;€&quot;_-;_-@_-"/>
    <numFmt numFmtId="43" formatCode="_-* #,##0.00_-;\-* #,##0.00_-;_-* &quot;-&quot;??_-;_-@_-"/>
    <numFmt numFmtId="44" formatCode="_-* #,##0.00\ &quot;€&quot;_-;\-* #,##0.00\ &quot;€&quot;_-;_-* &quot;-&quot;??\ &quot;€&quot;_-;_-@_-"/>
    <numFmt numFmtId="165" formatCode="#,##0.0"/>
    <numFmt numFmtId="166" formatCode="[$-410]dddd\ d\ mmmm\ yyyy"/>
    <numFmt numFmtId="167" formatCode="0.000"/>
    <numFmt numFmtId="168" formatCode="0.0000"/>
    <numFmt numFmtId="169" formatCode="0.00000"/>
    <numFmt numFmtId="170" formatCode="0.0"/>
    <numFmt numFmtId="171" formatCode="_-* #,##0.00\ &quot;£&quot;_-;\-* #,##0.00\ &quot;£&quot;_-;_-* &quot;-&quot;??\ &quot;£&quot;_-;_-@_-"/>
    <numFmt numFmtId="172" formatCode="_-* #,##0\ &quot;£&quot;_-;\-* #,##0\ &quot;£&quot;_-;_-* &quot;-&quot;\ &quot;£&quot;_-;_-@_-"/>
    <numFmt numFmtId="173" formatCode="#,##0.00\ &quot;£&quot;;[Red]\-#,##0.00\ &quot;£&quot;"/>
    <numFmt numFmtId="174" formatCode="#,##0.00\ &quot;£&quot;;\-#,##0.00\ &quot;£&quot;"/>
    <numFmt numFmtId="175" formatCode="#,##0\ &quot;£&quot;;[Red]\-#,##0\ &quot;£&quot;"/>
    <numFmt numFmtId="176" formatCode="#,##0\ &quot;£&quot;;\-#,##0\ &quot;£&quot;"/>
    <numFmt numFmtId="177" formatCode="_-&quot;€&quot;\ * #,##0.00_-;\-&quot;€&quot;\ * #,##0.00_-;_-&quot;€&quot;\ * &quot;-&quot;??_-;_-@_-"/>
    <numFmt numFmtId="178" formatCode="_-&quot;€&quot;\ * #,##0_-;\-&quot;€&quot;\ * #,##0_-;_-&quot;€&quot;\ * &quot;-&quot;_-;_-@_-"/>
    <numFmt numFmtId="179" formatCode="&quot;€&quot;\ #,##0.00;[Red]\-&quot;€&quot;\ #,##0.00"/>
    <numFmt numFmtId="180" formatCode="&quot;€&quot;\ #,##0.00;\-&quot;€&quot;\ #,##0.00"/>
    <numFmt numFmtId="181" formatCode="&quot;€&quot;\ #,##0;[Red]\-&quot;€&quot;\ #,##0"/>
    <numFmt numFmtId="182" formatCode="&quot;€&quot;\ #,##0;\-&quot;€&quot;\ #,##0"/>
    <numFmt numFmtId="183" formatCode="_ * #,##0.00_ ;_ * \-#,##0.00_ ;_ * &quot;-&quot;??_ ;_ @_ "/>
    <numFmt numFmtId="184" formatCode="_ &quot;CHF&quot;\ * #,##0.00_ ;_ &quot;CHF&quot;\ * \-#,##0.00_ ;_ &quot;CHF&quot;\ * &quot;-&quot;??_ ;_ @_ "/>
    <numFmt numFmtId="185" formatCode="_ * #,##0_ ;_ * \-#,##0_ ;_ * &quot;-&quot;_ ;_ @_ "/>
    <numFmt numFmtId="186" formatCode="_ &quot;CHF&quot;\ * #,##0_ ;_ &quot;CHF&quot;\ * \-#,##0_ ;_ &quot;CHF&quot;\ * &quot;-&quot;_ ;_ @_ "/>
    <numFmt numFmtId="187" formatCode="&quot;CHF&quot;\ #,##0.00;[Red]&quot;CHF&quot;\ \-#,##0.00"/>
    <numFmt numFmtId="188" formatCode="&quot;CHF&quot;\ #,##0.00;&quot;CHF&quot;\ \-#,##0.00"/>
    <numFmt numFmtId="189" formatCode="&quot;CHF&quot;\ #,##0;[Red]&quot;CHF&quot;\ \-#,##0"/>
    <numFmt numFmtId="190" formatCode="&quot;CHF&quot;\ #,##0;&quot;CHF&quot;\ \-#,##0"/>
  </numFmts>
  <fonts count="35">
    <font>
      <color theme="1" tint="0"/>
      <family val="2"/>
      <name val="Calibri"/>
      <scheme val="minor"/>
      <sz val="11"/>
    </font>
    <font>
      <family val="2"/>
      <name val="Arial"/>
      <sz val="10"/>
    </font>
    <font>
      <b val="1"/>
      <color rgb="FFFA7D00"/>
      <family val="2"/>
      <name val="Calibri"/>
      <scheme val="minor"/>
      <sz val="11"/>
    </font>
    <font>
      <color rgb="FFFA7D00"/>
      <family val="2"/>
      <name val="Calibri"/>
      <scheme val="minor"/>
      <sz val="11"/>
    </font>
    <font>
      <b val="1"/>
      <color theme="0" tint="0"/>
      <family val="2"/>
      <name val="Calibri"/>
      <scheme val="minor"/>
      <sz val="11"/>
    </font>
    <font>
      <color theme="0" tint="0"/>
      <family val="2"/>
      <name val="Calibri"/>
      <scheme val="minor"/>
      <sz val="11"/>
    </font>
    <font>
      <color rgb="FF3F3F76"/>
      <family val="2"/>
      <name val="Calibri"/>
      <scheme val="minor"/>
      <sz val="11"/>
    </font>
    <font>
      <color rgb="FF9C5700"/>
      <family val="2"/>
      <name val="Calibri"/>
      <scheme val="minor"/>
      <sz val="11"/>
    </font>
    <font>
      <b val="1"/>
      <color rgb="FF3F3F3F"/>
      <family val="2"/>
      <name val="Calibri"/>
      <scheme val="minor"/>
      <sz val="11"/>
    </font>
    <font>
      <color rgb="FFFF0000"/>
      <family val="2"/>
      <name val="Calibri"/>
      <scheme val="minor"/>
      <sz val="11"/>
    </font>
    <font>
      <color rgb="FF7F7F7F"/>
      <family val="2"/>
      <i val="1"/>
      <name val="Calibri"/>
      <scheme val="minor"/>
      <sz val="11"/>
    </font>
    <font>
      <color theme="3" tint="0"/>
      <family val="2"/>
      <name val="Calibri Light"/>
      <scheme val="major"/>
      <sz val="18"/>
    </font>
    <font>
      <b val="1"/>
      <color theme="3" tint="0"/>
      <family val="2"/>
      <name val="Calibri"/>
      <scheme val="minor"/>
      <sz val="15"/>
    </font>
    <font>
      <b val="1"/>
      <color theme="3" tint="0"/>
      <family val="2"/>
      <name val="Calibri"/>
      <scheme val="minor"/>
      <sz val="13"/>
    </font>
    <font>
      <b val="1"/>
      <color theme="3" tint="0"/>
      <family val="2"/>
      <name val="Calibri"/>
      <scheme val="minor"/>
      <sz val="11"/>
    </font>
    <font>
      <b val="1"/>
      <color theme="1" tint="0"/>
      <family val="2"/>
      <name val="Calibri"/>
      <scheme val="minor"/>
      <sz val="11"/>
    </font>
    <font>
      <color rgb="FF9C0006"/>
      <family val="2"/>
      <name val="Calibri"/>
      <scheme val="minor"/>
      <sz val="11"/>
    </font>
    <font>
      <color rgb="FF006100"/>
      <family val="2"/>
      <name val="Calibri"/>
      <scheme val="minor"/>
      <sz val="11"/>
    </font>
    <font>
      <color indexed="56"/>
      <family val="2"/>
      <name val="Calibri"/>
      <sz val="11"/>
    </font>
    <font>
      <color indexed="8"/>
      <family val="2"/>
      <name val="Arial"/>
      <sz val="10"/>
    </font>
    <font>
      <color indexed="56"/>
      <family val="2"/>
      <name val="Calibri"/>
      <sz val="12"/>
    </font>
    <font>
      <b val="1"/>
      <color indexed="20"/>
      <family val="2"/>
      <name val="Calibri"/>
      <sz val="12"/>
    </font>
    <font>
      <color theme="1" tint="0"/>
      <family val="2"/>
      <name val="Calibri Light"/>
      <scheme val="major"/>
      <sz val="11"/>
    </font>
    <font>
      <b val="1"/>
      <color indexed="8"/>
      <family val="2"/>
      <name val="Arial"/>
      <sz val="10"/>
    </font>
    <font>
      <color theme="1" tint="0"/>
      <family val="2"/>
      <name val="Calibri"/>
      <scheme val="minor"/>
      <sz val="8"/>
    </font>
    <font>
      <color indexed="8"/>
      <family val="2"/>
      <name val="Arial"/>
      <sz val="9"/>
    </font>
    <font>
      <b val="1"/>
      <color indexed="8"/>
      <family val="2"/>
      <name val="Arial"/>
      <sz val="9"/>
    </font>
    <font>
      <family val="2"/>
      <name val="Arial"/>
      <sz val="8"/>
    </font>
    <font>
      <color indexed="8"/>
      <family val="2"/>
      <name val="Arial"/>
      <sz val="8"/>
    </font>
    <font>
      <b val="1"/>
      <color theme="1" tint="0"/>
      <family val="2"/>
      <name val="Calibri"/>
      <scheme val="minor"/>
      <sz val="8"/>
    </font>
    <font>
      <b val="1"/>
      <color indexed="8"/>
      <family val="2"/>
      <name val="Arial"/>
      <sz val="8"/>
    </font>
    <font>
      <color indexed="8"/>
      <family val="2"/>
      <name val="Calibri"/>
      <scheme val="minor"/>
      <sz val="11"/>
    </font>
    <font>
      <color theme="1" tint="0"/>
      <family val="2"/>
      <name val="Calibri"/>
      <scheme val="minor"/>
      <sz val="10"/>
    </font>
    <font>
      <color theme="1" tint="0"/>
      <family val="2"/>
      <name val="Calibri"/>
      <scheme val="minor"/>
      <sz val="9"/>
    </font>
    <font>
      <b val="1"/>
      <color theme="1" tint="0"/>
      <family val="2"/>
      <i val="1"/>
      <name val="Calibri"/>
      <scheme val="minor"/>
      <sz val="11"/>
    </font>
  </fonts>
  <fills count="47">
    <fill>
      <patternFill patternType="none"/>
    </fill>
    <fill>
      <patternFill patternType="gray125">
        <fgColor indexed="64"/>
        <bgColor indexed="65"/>
      </patternFill>
    </fill>
    <fill>
      <patternFill patternType="solid">
        <fgColor theme="4" tint="0.799982"/>
        <bgColor indexed="65"/>
      </patternFill>
    </fill>
    <fill>
      <patternFill patternType="solid">
        <fgColor theme="5" tint="0.799982"/>
        <bgColor indexed="65"/>
      </patternFill>
    </fill>
    <fill>
      <patternFill patternType="solid">
        <fgColor theme="6" tint="0.799982"/>
        <bgColor indexed="65"/>
      </patternFill>
    </fill>
    <fill>
      <patternFill patternType="solid">
        <fgColor theme="7" tint="0.799982"/>
        <bgColor indexed="65"/>
      </patternFill>
    </fill>
    <fill>
      <patternFill patternType="solid">
        <fgColor theme="8" tint="0.799982"/>
        <bgColor indexed="65"/>
      </patternFill>
    </fill>
    <fill>
      <patternFill patternType="solid">
        <fgColor theme="9" tint="0.799982"/>
        <bgColor indexed="65"/>
      </patternFill>
    </fill>
    <fill>
      <patternFill patternType="solid">
        <fgColor theme="4" tint="0.599994"/>
        <bgColor indexed="65"/>
      </patternFill>
    </fill>
    <fill>
      <patternFill patternType="solid">
        <fgColor theme="5" tint="0.599994"/>
        <bgColor indexed="65"/>
      </patternFill>
    </fill>
    <fill>
      <patternFill patternType="solid">
        <fgColor theme="6" tint="0.599994"/>
        <bgColor indexed="65"/>
      </patternFill>
    </fill>
    <fill>
      <patternFill patternType="solid">
        <fgColor theme="7" tint="0.599994"/>
        <bgColor indexed="65"/>
      </patternFill>
    </fill>
    <fill>
      <patternFill patternType="solid">
        <fgColor theme="8" tint="0.599994"/>
        <bgColor indexed="65"/>
      </patternFill>
    </fill>
    <fill>
      <patternFill patternType="solid">
        <fgColor theme="9" tint="0.599994"/>
        <bgColor indexed="65"/>
      </patternFill>
    </fill>
    <fill>
      <patternFill patternType="solid">
        <fgColor theme="4" tint="0.399976"/>
        <bgColor indexed="65"/>
      </patternFill>
    </fill>
    <fill>
      <patternFill patternType="solid">
        <fgColor theme="5" tint="0.399976"/>
        <bgColor indexed="65"/>
      </patternFill>
    </fill>
    <fill>
      <patternFill patternType="solid">
        <fgColor theme="6" tint="0.399976"/>
        <bgColor indexed="65"/>
      </patternFill>
    </fill>
    <fill>
      <patternFill patternType="solid">
        <fgColor theme="7" tint="0.399976"/>
        <bgColor indexed="65"/>
      </patternFill>
    </fill>
    <fill>
      <patternFill patternType="solid">
        <fgColor theme="8" tint="0.399976"/>
        <bgColor indexed="65"/>
      </patternFill>
    </fill>
    <fill>
      <patternFill patternType="solid">
        <fgColor theme="9" tint="0.399976"/>
        <bgColor indexed="65"/>
      </patternFill>
    </fill>
    <fill>
      <patternFill patternType="solid">
        <fgColor rgb="FFF2F2F2"/>
        <bgColor indexed="65"/>
      </patternFill>
    </fill>
    <fill>
      <patternFill patternType="solid">
        <fgColor rgb="FFA5A5A5"/>
        <bgColor indexed="65"/>
      </patternFill>
    </fill>
    <fill>
      <patternFill patternType="solid">
        <fgColor theme="4" tint="0"/>
        <bgColor indexed="65"/>
      </patternFill>
    </fill>
    <fill>
      <patternFill patternType="solid">
        <fgColor theme="5" tint="0"/>
        <bgColor indexed="65"/>
      </patternFill>
    </fill>
    <fill>
      <patternFill patternType="solid">
        <fgColor theme="6" tint="0"/>
        <bgColor indexed="65"/>
      </patternFill>
    </fill>
    <fill>
      <patternFill patternType="solid">
        <fgColor theme="7" tint="0"/>
        <bgColor indexed="65"/>
      </patternFill>
    </fill>
    <fill>
      <patternFill patternType="solid">
        <fgColor theme="8" tint="0"/>
        <bgColor indexed="65"/>
      </patternFill>
    </fill>
    <fill>
      <patternFill patternType="solid">
        <fgColor theme="9" tint="0"/>
        <bgColor indexed="65"/>
      </patternFill>
    </fill>
    <fill>
      <patternFill patternType="solid">
        <fgColor rgb="FFFFCC99"/>
        <bgColor indexed="65"/>
      </patternFill>
    </fill>
    <fill>
      <patternFill patternType="solid">
        <fgColor rgb="FFFFEB9C"/>
        <bgColor indexed="65"/>
      </patternFill>
    </fill>
    <fill>
      <patternFill patternType="solid">
        <fgColor rgb="FFFFFFCC"/>
        <bgColor indexed="65"/>
      </patternFill>
    </fill>
    <fill>
      <patternFill patternType="solid">
        <fgColor rgb="FFFFC7CE"/>
        <bgColor indexed="65"/>
      </patternFill>
    </fill>
    <fill>
      <patternFill patternType="solid">
        <fgColor rgb="FFC6EFCE"/>
        <bgColor indexed="65"/>
      </patternFill>
    </fill>
    <fill>
      <patternFill patternType="solid">
        <fgColor rgb="FFF1FED0"/>
        <bgColor indexed="64"/>
      </patternFill>
    </fill>
    <fill>
      <patternFill patternType="solid">
        <fgColor theme="4" tint="0.399976"/>
        <bgColor indexed="64"/>
      </patternFill>
    </fill>
    <fill>
      <patternFill patternType="solid">
        <fgColor theme="7" tint="0.599994"/>
        <bgColor indexed="64"/>
      </patternFill>
    </fill>
    <fill>
      <patternFill patternType="solid">
        <fgColor theme="9" tint="0.399976"/>
        <bgColor indexed="64"/>
      </patternFill>
    </fill>
    <fill>
      <patternFill patternType="solid">
        <fgColor indexed="9"/>
        <bgColor indexed="64"/>
      </patternFill>
    </fill>
    <fill>
      <patternFill patternType="solid">
        <fgColor indexed="22"/>
        <bgColor indexed="64"/>
      </patternFill>
    </fill>
    <fill>
      <patternFill patternType="solid">
        <fgColor theme="2" tint="0"/>
        <bgColor indexed="64"/>
      </patternFill>
    </fill>
    <fill>
      <patternFill patternType="solid">
        <fgColor theme="0" tint="0"/>
        <bgColor indexed="64"/>
      </patternFill>
    </fill>
    <fill>
      <patternFill patternType="solid">
        <fgColor theme="0" tint="-0.149998"/>
        <bgColor indexed="64"/>
      </patternFill>
    </fill>
    <fill>
      <patternFill patternType="solid">
        <fgColor rgb="FF92D050"/>
        <bgColor indexed="64"/>
      </patternFill>
    </fill>
    <fill>
      <patternFill patternType="solid">
        <fgColor theme="6" tint="0.799982"/>
        <bgColor indexed="64"/>
      </patternFill>
    </fill>
    <fill>
      <patternFill patternType="solid">
        <fgColor theme="9" tint="0.799982"/>
        <bgColor indexed="64"/>
      </patternFill>
    </fill>
    <fill>
      <patternFill patternType="solid">
        <fgColor theme="8" tint="0.799982"/>
        <bgColor indexed="64"/>
      </patternFill>
    </fill>
    <fill>
      <patternFill patternType="solid">
        <fgColor rgb="FFFFFF00"/>
        <bgColor indexed="64"/>
      </patternFill>
    </fill>
  </fills>
  <borders count="21">
    <border>
      <left/>
      <right/>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
      </bottom>
      <diagonal/>
    </border>
    <border>
      <left/>
      <right/>
      <top/>
      <bottom style="thick">
        <color theme="4" tint="0.499985"/>
      </bottom>
      <diagonal/>
    </border>
    <border>
      <left/>
      <right/>
      <top/>
      <bottom style="medium">
        <color theme="4" tint="0.399976"/>
      </bottom>
      <diagonal/>
    </border>
    <border>
      <left/>
      <right/>
      <top style="thin">
        <color theme="4" tint="0"/>
      </top>
      <bottom style="double">
        <color theme="4" tint="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1">
    <xf fontId="0" numFmtId="0" borderId="0" fillId="0">
      <alignment horizontal="general" vertical="bottom" shrinkToFit="0" wrapText="0"/>
    </xf>
    <xf fontId="0" numFmtId="0" borderId="0" fillId="0">
      <alignment horizontal="general" vertical="bottom" shrinkToFit="0" wrapText="0"/>
    </xf>
    <xf fontId="0" numFmtId="0" borderId="0" fillId="0">
      <alignment horizontal="general" vertical="bottom" shrinkToFit="0" wrapText="0"/>
    </xf>
    <xf fontId="0" numFmtId="0" borderId="0" fillId="0">
      <alignment horizontal="general" vertical="bottom" shrinkToFit="0" wrapText="0"/>
    </xf>
    <xf fontId="0" numFmtId="0" borderId="0" fillId="0">
      <alignment horizontal="general" vertical="bottom" shrinkToFit="0" wrapText="0"/>
    </xf>
    <xf fontId="0" numFmtId="0" borderId="0" fillId="0">
      <alignment horizontal="general" vertical="bottom" shrinkToFit="0" wrapText="0"/>
    </xf>
    <xf fontId="0" numFmtId="0" borderId="0" fillId="0">
      <alignment horizontal="general" vertical="bottom" shrinkToFit="0" wrapText="0"/>
    </xf>
    <xf fontId="1" numFmtId="0" borderId="0" fillId="0">
      <alignment horizontal="general" vertical="bottom" shrinkToFit="0" wrapText="0"/>
    </xf>
    <xf fontId="0" numFmtId="0" borderId="0" fillId="0">
      <alignment horizontal="general" vertical="bottom" shrinkToFit="0" wrapText="0"/>
    </xf>
    <xf fontId="0" numFmtId="0" borderId="0" fillId="0">
      <alignment horizontal="general" vertical="bottom" shrinkToFit="0" wrapText="0"/>
    </xf>
    <xf fontId="0" numFmtId="0" borderId="0" fillId="0">
      <alignment horizontal="general" vertical="bottom" shrinkToFit="0" wrapText="0"/>
    </xf>
    <xf fontId="0" numFmtId="0" borderId="0" fillId="0">
      <alignment horizontal="general" vertical="bottom" shrinkToFit="0" wrapText="0"/>
    </xf>
    <xf fontId="0" numFmtId="0" borderId="0" fillId="0">
      <alignment horizontal="general" vertical="bottom" shrinkToFit="0" wrapText="0"/>
    </xf>
    <xf fontId="0" numFmtId="0" borderId="0" fillId="0">
      <alignment horizontal="general" vertical="bottom" shrinkToFit="0" wrapText="0"/>
    </xf>
    <xf fontId="0" numFmtId="0" borderId="0" fillId="0">
      <alignment horizontal="general" vertical="bottom" shrinkToFit="0" wrapText="0"/>
    </xf>
    <xf fontId="0" numFmtId="0" borderId="0" fillId="2">
      <alignment horizontal="general" vertical="bottom" shrinkToFit="0" wrapText="0"/>
    </xf>
    <xf fontId="0" numFmtId="0" borderId="0" fillId="3">
      <alignment horizontal="general" vertical="bottom" shrinkToFit="0" wrapText="0"/>
    </xf>
    <xf fontId="0" numFmtId="0" borderId="0" fillId="4">
      <alignment horizontal="general" vertical="bottom" shrinkToFit="0" wrapText="0"/>
    </xf>
    <xf fontId="0" numFmtId="0" borderId="0" fillId="5">
      <alignment horizontal="general" vertical="bottom" shrinkToFit="0" wrapText="0"/>
    </xf>
    <xf fontId="0" numFmtId="0" borderId="0" fillId="6">
      <alignment horizontal="general" vertical="bottom" shrinkToFit="0" wrapText="0"/>
    </xf>
    <xf fontId="0" numFmtId="0" borderId="0" fillId="7">
      <alignment horizontal="general" vertical="bottom" shrinkToFit="0" wrapText="0"/>
    </xf>
    <xf fontId="0" numFmtId="0" borderId="0" fillId="8">
      <alignment horizontal="general" vertical="bottom" shrinkToFit="0" wrapText="0"/>
    </xf>
    <xf fontId="0" numFmtId="0" borderId="0" fillId="9">
      <alignment horizontal="general" vertical="bottom" shrinkToFit="0" wrapText="0"/>
    </xf>
    <xf fontId="0" numFmtId="0" borderId="0" fillId="10">
      <alignment horizontal="general" vertical="bottom" shrinkToFit="0" wrapText="0"/>
    </xf>
    <xf fontId="0" numFmtId="0" borderId="0" fillId="11">
      <alignment horizontal="general" vertical="bottom" shrinkToFit="0" wrapText="0"/>
    </xf>
    <xf fontId="0" numFmtId="0" borderId="0" fillId="12">
      <alignment horizontal="general" vertical="bottom" shrinkToFit="0" wrapText="0"/>
    </xf>
    <xf fontId="0" numFmtId="0" borderId="0" fillId="13">
      <alignment horizontal="general" vertical="bottom" shrinkToFit="0" wrapText="0"/>
    </xf>
    <xf fontId="0" numFmtId="0" borderId="0" fillId="14">
      <alignment horizontal="general" vertical="bottom" shrinkToFit="0" wrapText="0"/>
    </xf>
    <xf fontId="0" numFmtId="0" borderId="0" fillId="15">
      <alignment horizontal="general" vertical="bottom" shrinkToFit="0" wrapText="0"/>
    </xf>
    <xf fontId="0" numFmtId="0" borderId="0" fillId="16">
      <alignment horizontal="general" vertical="bottom" shrinkToFit="0" wrapText="0"/>
    </xf>
    <xf fontId="0" numFmtId="0" borderId="0" fillId="17">
      <alignment horizontal="general" vertical="bottom" shrinkToFit="0" wrapText="0"/>
    </xf>
    <xf fontId="0" numFmtId="0" borderId="0" fillId="18">
      <alignment horizontal="general" vertical="bottom" shrinkToFit="0" wrapText="0"/>
    </xf>
    <xf fontId="0" numFmtId="0" borderId="0" fillId="19">
      <alignment horizontal="general" vertical="bottom" shrinkToFit="0" wrapText="0"/>
    </xf>
    <xf fontId="2" numFmtId="0" borderId="1" fillId="20">
      <alignment horizontal="general" vertical="bottom" shrinkToFit="0" wrapText="0"/>
    </xf>
    <xf fontId="3" numFmtId="0" borderId="2" fillId="0">
      <alignment horizontal="general" vertical="bottom" shrinkToFit="0" wrapText="0"/>
    </xf>
    <xf fontId="4" numFmtId="0" borderId="3" fillId="21">
      <alignment horizontal="general" vertical="bottom" shrinkToFit="0" wrapText="0"/>
    </xf>
    <xf fontId="5" numFmtId="0" borderId="0" fillId="22">
      <alignment horizontal="general" vertical="bottom" shrinkToFit="0" wrapText="0"/>
    </xf>
    <xf fontId="5" numFmtId="0" borderId="0" fillId="23">
      <alignment horizontal="general" vertical="bottom" shrinkToFit="0" wrapText="0"/>
    </xf>
    <xf fontId="5" numFmtId="0" borderId="0" fillId="24">
      <alignment horizontal="general" vertical="bottom" shrinkToFit="0" wrapText="0"/>
    </xf>
    <xf fontId="5" numFmtId="0" borderId="0" fillId="25">
      <alignment horizontal="general" vertical="bottom" shrinkToFit="0" wrapText="0"/>
    </xf>
    <xf fontId="5" numFmtId="0" borderId="0" fillId="26">
      <alignment horizontal="general" vertical="bottom" shrinkToFit="0" wrapText="0"/>
    </xf>
    <xf fontId="5" numFmtId="0" borderId="0" fillId="27">
      <alignment horizontal="general" vertical="bottom" shrinkToFit="0" wrapText="0"/>
    </xf>
    <xf fontId="6" numFmtId="0" borderId="1" fillId="28">
      <alignment horizontal="general" vertical="bottom" shrinkToFit="0" wrapText="0"/>
    </xf>
    <xf fontId="0" numFmtId="43" borderId="0" fillId="0">
      <alignment horizontal="general" vertical="bottom" shrinkToFit="0" wrapText="0"/>
    </xf>
    <xf fontId="0" numFmtId="41" borderId="0" fillId="0">
      <alignment horizontal="general" vertical="bottom" shrinkToFit="0" wrapText="0"/>
    </xf>
    <xf fontId="7" numFmtId="0" borderId="0" fillId="29">
      <alignment horizontal="general" vertical="bottom" shrinkToFit="0" wrapText="0"/>
    </xf>
    <xf fontId="0" numFmtId="0" borderId="4" fillId="30">
      <alignment horizontal="general" vertical="bottom" shrinkToFit="0" wrapText="0"/>
    </xf>
    <xf fontId="8" numFmtId="0" borderId="5" fillId="20">
      <alignment horizontal="general" vertical="bottom" shrinkToFit="0" wrapText="0"/>
    </xf>
    <xf fontId="0" numFmtId="9" borderId="0" fillId="0">
      <alignment horizontal="general" vertical="bottom" shrinkToFit="0" wrapText="0"/>
    </xf>
    <xf fontId="9" numFmtId="0" borderId="0" fillId="0">
      <alignment horizontal="general" vertical="bottom" shrinkToFit="0" wrapText="0"/>
    </xf>
    <xf fontId="10" numFmtId="0" borderId="0" fillId="0">
      <alignment horizontal="general" vertical="bottom" shrinkToFit="0" wrapText="0"/>
    </xf>
    <xf fontId="11" numFmtId="0" borderId="0" fillId="0">
      <alignment horizontal="general" vertical="bottom" shrinkToFit="0" wrapText="0"/>
    </xf>
    <xf fontId="12" numFmtId="0" borderId="6" fillId="0">
      <alignment horizontal="general" vertical="bottom" shrinkToFit="0" wrapText="0"/>
    </xf>
    <xf fontId="13" numFmtId="0" borderId="7" fillId="0">
      <alignment horizontal="general" vertical="bottom" shrinkToFit="0" wrapText="0"/>
    </xf>
    <xf fontId="14" numFmtId="0" borderId="8" fillId="0">
      <alignment horizontal="general" vertical="bottom" shrinkToFit="0" wrapText="0"/>
    </xf>
    <xf fontId="14" numFmtId="0" borderId="0" fillId="0">
      <alignment horizontal="general" vertical="bottom" shrinkToFit="0" wrapText="0"/>
    </xf>
    <xf fontId="15" numFmtId="0" borderId="9" fillId="0">
      <alignment horizontal="general" vertical="bottom" shrinkToFit="0" wrapText="0"/>
    </xf>
    <xf fontId="16" numFmtId="0" borderId="0" fillId="31">
      <alignment horizontal="general" vertical="bottom" shrinkToFit="0" wrapText="0"/>
    </xf>
    <xf fontId="17" numFmtId="0" borderId="0" fillId="32">
      <alignment horizontal="general" vertical="bottom" shrinkToFit="0" wrapText="0"/>
    </xf>
    <xf fontId="0" numFmtId="44" borderId="0" fillId="0">
      <alignment horizontal="general" vertical="bottom" shrinkToFit="0" wrapText="0"/>
    </xf>
    <xf fontId="0" numFmtId="42" borderId="0" fillId="0">
      <alignment horizontal="general" vertical="bottom" shrinkToFit="0" wrapText="0"/>
    </xf>
  </cellStyleXfs>
  <cellXfs count="99">
    <xf fontId="0" numFmtId="0" xfId="0" borderId="0" fillId="0" applyFill="0" applyBorder="0" applyNumberFormat="0" applyFont="0" applyAlignment="0">
      <alignment horizontal="general" vertical="bottom" shrinkToFit="0" wrapText="0"/>
    </xf>
    <xf fontId="18" numFmtId="0" xfId="0" borderId="0" fillId="0" applyFill="0" applyBorder="0" applyNumberFormat="0" applyFont="1" applyAlignment="1">
      <alignment horizontal="center" vertical="bottom" shrinkToFit="0" wrapText="0"/>
    </xf>
    <xf fontId="19" numFmtId="0" xfId="0" borderId="0" fillId="0" applyFill="0" applyBorder="0" applyNumberFormat="0" applyFont="1" applyAlignment="1" applyProtection="1">
      <alignment horizontal="general" vertical="center" shrinkToFit="0" wrapText="0"/>
      <protection locked="0"/>
    </xf>
    <xf fontId="19" numFmtId="0" xfId="0" borderId="0" fillId="0" applyFill="0" applyBorder="0" applyNumberFormat="0" applyFont="1" applyAlignment="1" applyProtection="1">
      <alignment horizontal="center" vertical="bottom" shrinkToFit="0" wrapText="0"/>
      <protection locked="0"/>
    </xf>
    <xf fontId="0" numFmtId="14" xfId="0" borderId="10" fillId="0" applyFill="1" applyBorder="1" applyNumberFormat="1" applyFont="0" applyAlignment="1">
      <alignment horizontal="center" vertical="bottom" shrinkToFit="0" wrapText="0"/>
    </xf>
    <xf fontId="0" numFmtId="0" xfId="0" borderId="0" fillId="0" applyFill="0" applyBorder="1" applyNumberFormat="0" applyFont="0" applyAlignment="0">
      <alignment horizontal="general" vertical="bottom" shrinkToFit="0" wrapText="0"/>
    </xf>
    <xf fontId="0" numFmtId="0" xfId="0" borderId="0" fillId="0" applyFill="1" applyBorder="1" applyNumberFormat="0" applyFont="0" applyAlignment="1">
      <alignment horizontal="center" vertical="bottom" shrinkToFit="0" wrapText="0"/>
    </xf>
    <xf fontId="20" numFmtId="0" xfId="0" borderId="0" fillId="0" applyFill="1" applyBorder="0" applyNumberFormat="0" applyFont="1" applyAlignment="1">
      <alignment horizontal="center" vertical="bottom" shrinkToFit="0" wrapText="0"/>
    </xf>
    <xf fontId="0" numFmtId="0" xfId="0" borderId="0" fillId="0" applyFill="1" applyBorder="0" applyNumberFormat="0" applyFont="0" applyAlignment="1">
      <alignment horizontal="center" vertical="bottom" shrinkToFit="0" wrapText="0"/>
    </xf>
    <xf fontId="0" numFmtId="0" xfId="0" borderId="0" fillId="0" applyFill="0" applyBorder="1" applyNumberFormat="0" applyFont="0" applyAlignment="1">
      <alignment horizontal="center" vertical="bottom" shrinkToFit="0" wrapText="0"/>
    </xf>
    <xf fontId="0" numFmtId="0" xfId="0" borderId="0" fillId="0" applyFill="0" applyBorder="0" applyNumberFormat="0" applyFont="0" applyAlignment="1">
      <alignment horizontal="center" vertical="bottom" shrinkToFit="0" wrapText="0"/>
    </xf>
    <xf fontId="0" numFmtId="0" xfId="0" borderId="11" fillId="0" applyFill="0" applyBorder="1" applyNumberFormat="0" applyFont="0" applyAlignment="1">
      <alignment horizontal="center" vertical="center" shrinkToFit="0" wrapText="1"/>
    </xf>
    <xf fontId="0" numFmtId="0" xfId="0" borderId="0" fillId="0" applyFill="0" applyBorder="0" applyNumberFormat="0" applyFont="0" applyAlignment="1">
      <alignment horizontal="general" vertical="bottom" shrinkToFit="0" wrapText="1"/>
    </xf>
    <xf fontId="0" numFmtId="14" xfId="0" borderId="12" fillId="0" applyFill="1" applyBorder="1" applyNumberFormat="1" applyFont="0" applyAlignment="1">
      <alignment horizontal="center" vertical="bottom" shrinkToFit="0" wrapText="0"/>
    </xf>
    <xf fontId="0" numFmtId="0" xfId="0" borderId="10" fillId="0" applyFill="0" applyBorder="1" applyNumberFormat="0" applyFont="0" applyAlignment="0">
      <alignment horizontal="general" vertical="bottom" shrinkToFit="0" wrapText="0"/>
    </xf>
    <xf fontId="18" numFmtId="0" xfId="0" borderId="0" fillId="0" applyFill="0" applyBorder="0" applyNumberFormat="0" applyFont="1" applyAlignment="1">
      <alignment horizontal="general" vertical="bottom" shrinkToFit="0" wrapText="0"/>
    </xf>
    <xf fontId="0" numFmtId="14" xfId="0" borderId="0" fillId="0" applyFill="0" applyBorder="1" applyNumberFormat="1" applyFont="0" applyAlignment="1">
      <alignment horizontal="center" vertical="bottom" shrinkToFit="0" wrapText="0"/>
    </xf>
    <xf fontId="21" numFmtId="0" xfId="0" borderId="0" fillId="0" applyFill="1" applyBorder="1" applyNumberFormat="0" applyFont="1" applyAlignment="1">
      <alignment horizontal="center" vertical="center" shrinkToFit="0" wrapText="0"/>
    </xf>
    <xf fontId="0" numFmtId="0" xfId="0" borderId="0" fillId="0" applyFill="0" applyBorder="0" applyNumberFormat="0" applyFont="0" applyAlignment="1">
      <alignment horizontal="left" vertical="bottom" shrinkToFit="0" wrapText="0"/>
    </xf>
    <xf fontId="22" numFmtId="0" xfId="0" borderId="0" fillId="0" applyFill="0" applyBorder="1" applyNumberFormat="0" applyFont="1" applyAlignment="1">
      <alignment horizontal="center" vertical="center" shrinkToFit="0" wrapText="1"/>
    </xf>
    <xf fontId="23" numFmtId="0" xfId="0" borderId="11" fillId="33" applyFill="1" applyBorder="1" applyNumberFormat="0" applyFont="1" applyAlignment="1">
      <alignment horizontal="center" vertical="center" shrinkToFit="0" wrapText="1"/>
    </xf>
    <xf fontId="24" numFmtId="1" xfId="0" borderId="11" fillId="34" applyFill="1" applyBorder="1" applyNumberFormat="1" applyFont="1" applyAlignment="1">
      <alignment horizontal="center" vertical="center" shrinkToFit="0" wrapText="0"/>
    </xf>
    <xf fontId="24" numFmtId="1" xfId="0" borderId="11" fillId="35" applyFill="1" applyBorder="1" applyNumberFormat="1" applyFont="1" applyAlignment="1">
      <alignment horizontal="center" vertical="center" shrinkToFit="0" wrapText="0"/>
    </xf>
    <xf fontId="24" numFmtId="1" xfId="0" borderId="11" fillId="36" applyFill="1" applyBorder="1" applyNumberFormat="1" applyFont="1" applyAlignment="1">
      <alignment horizontal="center" vertical="center" shrinkToFit="0" wrapText="0"/>
    </xf>
    <xf fontId="25" numFmtId="0" xfId="0" borderId="11" fillId="34" applyFill="1" applyBorder="1" applyNumberFormat="0" applyFont="1" applyAlignment="1">
      <alignment horizontal="center" vertical="center" shrinkToFit="0" wrapText="1" textRotation="90"/>
    </xf>
    <xf fontId="25" numFmtId="0" xfId="0" borderId="13" fillId="34" applyFill="1" applyBorder="1" applyNumberFormat="0" applyFont="1" applyAlignment="1">
      <alignment horizontal="center" vertical="center" shrinkToFit="0" wrapText="1" textRotation="90"/>
    </xf>
    <xf fontId="25" numFmtId="0" xfId="0" borderId="13" fillId="35" applyFill="1" applyBorder="1" applyNumberFormat="0" applyFont="1" applyAlignment="1">
      <alignment horizontal="center" vertical="center" shrinkToFit="0" wrapText="1" textRotation="90"/>
    </xf>
    <xf fontId="25" numFmtId="0" xfId="0" borderId="13" fillId="35" applyFill="1" applyBorder="1" applyNumberFormat="0" applyFont="1" applyAlignment="1" applyProtection="1">
      <alignment horizontal="center" vertical="center" shrinkToFit="0" wrapText="1" textRotation="90"/>
      <protection locked="0"/>
    </xf>
    <xf fontId="25" numFmtId="0" xfId="0" borderId="14" fillId="35" applyFill="1" applyBorder="1" applyNumberFormat="0" applyFont="1" applyAlignment="1">
      <alignment horizontal="center" vertical="center" shrinkToFit="0" wrapText="1" textRotation="90"/>
    </xf>
    <xf fontId="25" numFmtId="0" xfId="0" borderId="11" fillId="36" applyFill="1" applyBorder="1" applyNumberFormat="0" applyFont="1" applyAlignment="1">
      <alignment horizontal="center" vertical="center" shrinkToFit="0" wrapText="1" textRotation="90"/>
    </xf>
    <xf fontId="25" numFmtId="0" xfId="0" borderId="13" fillId="36" applyFill="1" applyBorder="1" applyNumberFormat="0" applyFont="1" applyAlignment="1">
      <alignment horizontal="center" vertical="center" shrinkToFit="0" wrapText="1" textRotation="90"/>
    </xf>
    <xf fontId="26" numFmtId="0" xfId="0" borderId="13" fillId="37" applyFill="1" applyBorder="1" applyNumberFormat="0" applyFont="1" applyAlignment="1">
      <alignment horizontal="center" vertical="center" shrinkToFit="0" wrapText="1" textRotation="90"/>
    </xf>
    <xf fontId="25" numFmtId="0" xfId="0" borderId="11" fillId="38" applyFill="1" applyBorder="1" applyNumberFormat="0" applyFont="1" applyAlignment="1">
      <alignment horizontal="center" vertical="center" shrinkToFit="0" wrapText="1" textRotation="90"/>
    </xf>
    <xf fontId="25" numFmtId="0" xfId="0" borderId="11" fillId="0" applyFill="0" applyBorder="1" applyNumberFormat="0" applyFont="1" applyAlignment="1" applyProtection="1">
      <alignment horizontal="center" vertical="center" shrinkToFit="0" wrapText="0"/>
      <protection locked="0"/>
    </xf>
    <xf fontId="25" numFmtId="0" xfId="0" borderId="11" fillId="39" applyFill="1" applyBorder="1" applyNumberFormat="0" applyFont="1" applyAlignment="1">
      <alignment horizontal="center" vertical="center" shrinkToFit="0" wrapText="1"/>
    </xf>
    <xf fontId="25" numFmtId="0" xfId="0" borderId="15" fillId="39" applyFill="1" applyBorder="1" applyNumberFormat="0" applyFont="1" applyAlignment="1">
      <alignment horizontal="center" vertical="center" shrinkToFit="0" wrapText="1"/>
    </xf>
    <xf fontId="24" numFmtId="14" xfId="0" borderId="11" fillId="36" applyFill="1" applyBorder="1" applyNumberFormat="1" applyFont="1" applyAlignment="1">
      <alignment horizontal="center" vertical="center" shrinkToFit="0" wrapText="0"/>
    </xf>
    <xf fontId="0" numFmtId="14" xfId="0" borderId="16" fillId="0" applyFill="1" applyBorder="1" applyNumberFormat="1" applyFont="0" applyAlignment="1">
      <alignment horizontal="center" vertical="bottom" shrinkToFit="0" wrapText="0"/>
    </xf>
    <xf fontId="0" numFmtId="14" xfId="0" borderId="0" fillId="0" applyFill="1" applyBorder="1" applyNumberFormat="1" applyFont="0" applyAlignment="1">
      <alignment horizontal="center" vertical="bottom" shrinkToFit="0" wrapText="0"/>
    </xf>
    <xf fontId="15" numFmtId="4" xfId="0" borderId="11" fillId="40" applyFill="1" applyBorder="1" applyNumberFormat="1" applyFont="1" applyAlignment="1">
      <alignment horizontal="center" vertical="center" shrinkToFit="0" wrapText="1"/>
    </xf>
    <xf fontId="27" numFmtId="0" xfId="0" borderId="11" fillId="0" applyFill="0" applyBorder="1" applyNumberFormat="0" applyFont="1" applyAlignment="1">
      <alignment horizontal="center" vertical="center" shrinkToFit="0" wrapText="1"/>
    </xf>
    <xf fontId="28" numFmtId="0" xfId="0" borderId="11" fillId="0" applyFill="1" applyBorder="1" applyNumberFormat="0" applyFont="1" applyAlignment="1">
      <alignment horizontal="center" vertical="center" shrinkToFit="0" wrapText="1"/>
    </xf>
    <xf fontId="29" numFmtId="0" xfId="0" borderId="15" fillId="41" applyFill="1" applyBorder="1" applyNumberFormat="0" applyFont="1" applyAlignment="1">
      <alignment horizontal="general" vertical="center" shrinkToFit="0" wrapText="1"/>
    </xf>
    <xf fontId="24" numFmtId="0" xfId="0" borderId="11" fillId="0" applyFill="0" applyBorder="1" applyNumberFormat="0" applyFont="1" applyAlignment="1">
      <alignment horizontal="center" vertical="center" shrinkToFit="0" wrapText="1"/>
    </xf>
    <xf fontId="29" numFmtId="4" xfId="0" borderId="11" fillId="40" applyFill="1" applyBorder="1" applyNumberFormat="1" applyFont="1" applyAlignment="1">
      <alignment horizontal="center" vertical="center" shrinkToFit="0" wrapText="1"/>
    </xf>
    <xf fontId="30" numFmtId="0" xfId="0" borderId="11" fillId="33" applyFill="1" applyBorder="1" applyNumberFormat="0" applyFont="1" applyAlignment="1">
      <alignment horizontal="center" vertical="center" shrinkToFit="0" wrapText="1"/>
    </xf>
    <xf fontId="29" numFmtId="0" xfId="0" borderId="14" fillId="41" applyFill="1" applyBorder="1" applyNumberFormat="0" applyFont="1" applyAlignment="1">
      <alignment horizontal="general" vertical="center" shrinkToFit="0" wrapText="1"/>
    </xf>
    <xf fontId="28" numFmtId="0" xfId="0" borderId="15" fillId="39" applyFill="1" applyBorder="1" applyNumberFormat="0" applyFont="1" applyAlignment="1">
      <alignment horizontal="center" vertical="center" shrinkToFit="0" wrapText="1"/>
    </xf>
    <xf fontId="29" numFmtId="0" xfId="0" borderId="11" fillId="41" applyFill="1" applyBorder="1" applyNumberFormat="0" applyFont="1" applyAlignment="1">
      <alignment horizontal="general" vertical="center" shrinkToFit="0" wrapText="1"/>
    </xf>
    <xf fontId="29" numFmtId="0" xfId="0" borderId="0" fillId="41" applyFill="1" applyBorder="1" applyNumberFormat="0" applyFont="1" applyAlignment="1">
      <alignment horizontal="general" vertical="center" shrinkToFit="0" wrapText="1"/>
    </xf>
    <xf fontId="29" numFmtId="0" xfId="0" borderId="10" fillId="41" applyFill="1" applyBorder="1" applyNumberFormat="0" applyFont="1" applyAlignment="1">
      <alignment horizontal="general" vertical="center" shrinkToFit="0" wrapText="1"/>
    </xf>
    <xf fontId="29" numFmtId="0" xfId="0" borderId="17" fillId="41" applyFill="1" applyBorder="1" applyNumberFormat="0" applyFont="1" applyAlignment="1">
      <alignment horizontal="general" vertical="center" shrinkToFit="0" wrapText="1"/>
    </xf>
    <xf fontId="29" numFmtId="0" xfId="0" borderId="16" fillId="41" applyFill="1" applyBorder="1" applyNumberFormat="0" applyFont="1" applyAlignment="1">
      <alignment horizontal="general" vertical="center" shrinkToFit="0" wrapText="1"/>
    </xf>
    <xf fontId="24" numFmtId="0" xfId="0" borderId="11" fillId="0" applyFill="0" applyBorder="1" applyNumberFormat="0" applyFont="1" applyAlignment="1">
      <alignment horizontal="general" vertical="center" shrinkToFit="0" wrapText="1"/>
    </xf>
    <xf fontId="24" numFmtId="1" xfId="0" borderId="12" fillId="42" applyFill="1" applyBorder="1" applyNumberFormat="1" applyFont="1" applyAlignment="1">
      <alignment horizontal="center" vertical="center" shrinkToFit="0" wrapText="0"/>
    </xf>
    <xf fontId="29" numFmtId="0" xfId="0" borderId="13" fillId="41" applyFill="1" applyBorder="1" applyNumberFormat="0" applyFont="1" applyAlignment="1">
      <alignment horizontal="general" vertical="center" shrinkToFit="0" wrapText="1"/>
    </xf>
    <xf fontId="24" numFmtId="14" xfId="0" borderId="13" fillId="35" applyFill="1" applyBorder="1" applyNumberFormat="1" applyFont="1" applyAlignment="1">
      <alignment horizontal="center" vertical="center" shrinkToFit="0" wrapText="1"/>
    </xf>
    <xf fontId="24" numFmtId="14" xfId="0" borderId="11" fillId="42" applyFill="1" applyBorder="1" applyNumberFormat="1" applyFont="1" applyAlignment="1">
      <alignment horizontal="center" vertical="center" shrinkToFit="0" wrapText="1"/>
    </xf>
    <xf fontId="18" numFmtId="0" xfId="0" borderId="0" fillId="0" applyFill="0" applyBorder="0" applyNumberFormat="0" applyFont="1" applyAlignment="1">
      <alignment horizontal="center" vertical="bottom" shrinkToFit="0" wrapText="1"/>
    </xf>
    <xf fontId="23" numFmtId="0" xfId="0" borderId="11" fillId="43" applyFill="1" applyBorder="1" applyNumberFormat="0" applyFont="1" applyAlignment="1" applyProtection="1">
      <alignment horizontal="center" vertical="center" shrinkToFit="0" wrapText="1"/>
      <protection locked="0"/>
    </xf>
    <xf fontId="24" numFmtId="14" xfId="0" borderId="11" fillId="36" applyFill="1" applyBorder="1" applyNumberFormat="1" applyFont="1" applyAlignment="1">
      <alignment horizontal="center" vertical="center" shrinkToFit="0" wrapText="0"/>
    </xf>
    <xf fontId="23" numFmtId="0" xfId="0" borderId="18" fillId="43" applyFill="1" applyBorder="1" applyNumberFormat="0" applyFont="1" applyAlignment="1" applyProtection="1">
      <alignment horizontal="center" vertical="center" shrinkToFit="0" wrapText="1"/>
      <protection locked="0"/>
    </xf>
    <xf fontId="0" numFmtId="14" xfId="0" borderId="16" fillId="0" applyFill="0" applyBorder="1" applyNumberFormat="1" applyFont="0" applyAlignment="1">
      <alignment horizontal="center" vertical="bottom" shrinkToFit="0" wrapText="0"/>
    </xf>
    <xf fontId="0" numFmtId="14" xfId="0" borderId="0" fillId="0" applyFill="0" applyBorder="0" applyNumberFormat="1" applyFont="0" applyAlignment="1">
      <alignment horizontal="center" vertical="bottom" shrinkToFit="0" wrapText="0"/>
    </xf>
    <xf fontId="0" numFmtId="14" xfId="0" borderId="12" fillId="0" applyFill="0" applyBorder="1" applyNumberFormat="1" applyFont="0" applyAlignment="1">
      <alignment horizontal="center" vertical="bottom" shrinkToFit="0" wrapText="0"/>
    </xf>
    <xf fontId="0" numFmtId="14" xfId="0" borderId="10" fillId="0" applyFill="0" applyBorder="1" applyNumberFormat="1" applyFont="0" applyAlignment="1">
      <alignment horizontal="center" vertical="bottom" shrinkToFit="0" wrapText="0"/>
    </xf>
    <xf fontId="0" numFmtId="0" xfId="0" borderId="11" fillId="0" applyFill="0" applyBorder="1" applyNumberFormat="0" applyFont="0" applyAlignment="0">
      <alignment horizontal="general" vertical="bottom" shrinkToFit="0" wrapText="0"/>
    </xf>
    <xf fontId="0" numFmtId="0" xfId="0" borderId="11" fillId="0" applyFill="0" applyBorder="1" applyNumberFormat="0" applyFont="0" applyAlignment="1">
      <alignment horizontal="center" vertical="bottom" shrinkToFit="0" wrapText="1"/>
    </xf>
    <xf fontId="25" numFmtId="0" xfId="0" borderId="11" fillId="35" applyFill="1" applyBorder="1" applyNumberFormat="0" applyFont="1" applyAlignment="1">
      <alignment horizontal="center" vertical="center" shrinkToFit="0" wrapText="1" textRotation="90"/>
    </xf>
    <xf fontId="26" numFmtId="0" xfId="0" borderId="11" fillId="44" applyFill="1" applyBorder="1" applyNumberFormat="0" applyFont="1" applyAlignment="1">
      <alignment horizontal="center" vertical="center" shrinkToFit="0" wrapText="1" textRotation="90"/>
    </xf>
    <xf fontId="0" numFmtId="0" xfId="0" borderId="11" fillId="0" applyFill="0" applyBorder="1" applyNumberFormat="0" applyFont="0" applyAlignment="1">
      <alignment horizontal="center" vertical="bottom" shrinkToFit="0" wrapText="0"/>
    </xf>
    <xf fontId="0" numFmtId="4" xfId="0" borderId="11" fillId="40" applyFill="1" applyBorder="1" applyNumberFormat="1" applyFont="0" applyAlignment="1">
      <alignment horizontal="center" vertical="center" shrinkToFit="0" wrapText="1"/>
    </xf>
    <xf fontId="31" numFmtId="0" xfId="0" borderId="11" fillId="33" applyFill="1" applyBorder="1" applyNumberFormat="0" applyFont="1" applyAlignment="1">
      <alignment horizontal="center" vertical="center" shrinkToFit="0" wrapText="1"/>
    </xf>
    <xf fontId="22" numFmtId="0" xfId="0" borderId="0" fillId="0" applyFill="0" applyBorder="0" applyNumberFormat="0" applyFont="1" applyAlignment="1">
      <alignment horizontal="center" vertical="center" shrinkToFit="0" wrapText="1"/>
    </xf>
    <xf fontId="24" numFmtId="0" xfId="0" borderId="0" fillId="0" applyFill="0" applyBorder="0" applyNumberFormat="0" applyFont="1" applyAlignment="1">
      <alignment horizontal="general" vertical="center" shrinkToFit="0" wrapText="1"/>
    </xf>
    <xf fontId="32" numFmtId="14" xfId="0" borderId="18" fillId="45" applyFill="1" applyBorder="1" applyNumberFormat="1" applyFont="1" applyAlignment="1">
      <alignment horizontal="center" vertical="center" shrinkToFit="0" wrapText="0"/>
    </xf>
    <xf fontId="32" numFmtId="14" xfId="0" borderId="19" fillId="45" applyFill="1" applyBorder="1" applyNumberFormat="1" applyFont="1" applyAlignment="1">
      <alignment horizontal="center" vertical="center" shrinkToFit="0" wrapText="0"/>
    </xf>
    <xf fontId="32" numFmtId="14" xfId="0" borderId="20" fillId="45" applyFill="1" applyBorder="1" applyNumberFormat="1" applyFont="1" applyAlignment="1">
      <alignment horizontal="center" vertical="center" shrinkToFit="0" wrapText="0"/>
    </xf>
    <xf fontId="24" numFmtId="14" xfId="0" borderId="11" fillId="34" applyFill="1" applyBorder="1" applyNumberFormat="1" applyFont="1" applyAlignment="1">
      <alignment horizontal="center" vertical="center" shrinkToFit="0" wrapText="0"/>
    </xf>
    <xf fontId="24" numFmtId="14" xfId="0" borderId="11" fillId="35" applyFill="1" applyBorder="1" applyNumberFormat="1" applyFont="1" applyAlignment="1">
      <alignment horizontal="center" vertical="center" shrinkToFit="0" wrapText="0"/>
    </xf>
    <xf fontId="24" numFmtId="14" xfId="0" borderId="11" fillId="36" applyFill="1" applyBorder="1" applyNumberFormat="1" applyFont="1" applyAlignment="1">
      <alignment horizontal="center" vertical="center" shrinkToFit="0" wrapText="0"/>
    </xf>
    <xf fontId="23" numFmtId="0" xfId="0" borderId="11" fillId="43" applyFill="1" applyBorder="1" applyNumberFormat="0" applyFont="1" applyAlignment="1" applyProtection="1">
      <alignment horizontal="center" vertical="center" shrinkToFit="0" wrapText="1"/>
      <protection locked="0"/>
    </xf>
    <xf fontId="29" numFmtId="0" xfId="0" borderId="15" fillId="41" applyFill="1" applyBorder="1" applyNumberFormat="0" applyFont="1" applyAlignment="1">
      <alignment horizontal="center" vertical="center" shrinkToFit="0" wrapText="1"/>
    </xf>
    <xf fontId="29" numFmtId="0" xfId="0" borderId="14" fillId="41" applyFill="1" applyBorder="1" applyNumberFormat="0" applyFont="1" applyAlignment="1">
      <alignment horizontal="center" vertical="center" shrinkToFit="0" wrapText="1"/>
    </xf>
    <xf fontId="24" numFmtId="14" xfId="0" borderId="18" fillId="35" applyFill="1" applyBorder="1" applyNumberFormat="1" applyFont="1" applyAlignment="1">
      <alignment horizontal="center" vertical="center" shrinkToFit="0" wrapText="0"/>
    </xf>
    <xf fontId="24" numFmtId="14" xfId="0" borderId="19" fillId="35" applyFill="1" applyBorder="1" applyNumberFormat="1" applyFont="1" applyAlignment="1">
      <alignment horizontal="center" vertical="center" shrinkToFit="0" wrapText="0"/>
    </xf>
    <xf fontId="24" numFmtId="14" xfId="0" borderId="20" fillId="35" applyFill="1" applyBorder="1" applyNumberFormat="1" applyFont="1" applyAlignment="1">
      <alignment horizontal="center" vertical="center" shrinkToFit="0" wrapText="0"/>
    </xf>
    <xf fontId="33" numFmtId="0" xfId="0" borderId="15" fillId="0" applyFill="0" applyBorder="1" applyNumberFormat="0" applyFont="1" applyAlignment="1">
      <alignment horizontal="center" vertical="bottom" shrinkToFit="0" wrapText="1"/>
    </xf>
    <xf fontId="33" numFmtId="0" xfId="0" borderId="13" fillId="0" applyFill="0" applyBorder="1" applyNumberFormat="0" applyFont="1" applyAlignment="1">
      <alignment horizontal="center" vertical="bottom" shrinkToFit="0" wrapText="1"/>
    </xf>
    <xf fontId="34" numFmtId="0" xfId="0" borderId="11" fillId="0" applyFill="0" applyBorder="1" applyNumberFormat="0" applyFont="1" applyAlignment="1">
      <alignment horizontal="left" vertical="bottom" shrinkToFit="0" wrapText="0"/>
    </xf>
    <xf fontId="0" numFmtId="0" xfId="0" borderId="11" fillId="0" applyFill="0" applyBorder="1" applyNumberFormat="0" applyFont="0" applyAlignment="0">
      <alignment horizontal="general" vertical="bottom" shrinkToFit="0" wrapText="0"/>
    </xf>
    <xf fontId="19" numFmtId="0" xfId="0" borderId="0" fillId="0" applyFill="0" applyBorder="0" applyNumberFormat="0" applyFont="1" applyAlignment="1" applyProtection="1">
      <alignment horizontal="left" vertical="center" shrinkToFit="0" wrapText="1"/>
      <protection locked="0"/>
    </xf>
    <xf fontId="24" numFmtId="14" xfId="0" borderId="13" fillId="34" applyFill="1" applyBorder="1" applyNumberFormat="1" applyFont="1" applyAlignment="1">
      <alignment horizontal="center" vertical="center" shrinkToFit="0" wrapText="0"/>
    </xf>
    <xf fontId="32" numFmtId="14" xfId="0" borderId="11" fillId="45" applyFill="1" applyBorder="1" applyNumberFormat="1" applyFont="1" applyAlignment="1">
      <alignment horizontal="center" vertical="center" shrinkToFit="0" wrapText="0"/>
    </xf>
    <xf fontId="0" numFmtId="0" xfId="0" borderId="11" fillId="46" applyFill="1" applyBorder="1" applyNumberFormat="0" applyFont="0" applyAlignment="0">
      <alignment horizontal="general" vertical="bottom" shrinkToFit="0" wrapText="0"/>
    </xf>
    <xf fontId="33" numFmtId="0" xfId="0" borderId="18" fillId="46" applyFill="1" applyBorder="1" applyNumberFormat="0" applyFont="1" applyAlignment="1">
      <alignment horizontal="left" vertical="top" shrinkToFit="0" wrapText="1"/>
    </xf>
    <xf fontId="33" numFmtId="0" xfId="0" borderId="19" fillId="46" applyFill="1" applyBorder="1" applyNumberFormat="0" applyFont="1" applyAlignment="1">
      <alignment horizontal="left" vertical="top" shrinkToFit="0" wrapText="1"/>
    </xf>
    <xf fontId="0" numFmtId="0" xfId="0" borderId="11" fillId="44" applyFill="1" applyBorder="1" applyNumberFormat="0" applyFont="0" applyAlignment="0">
      <alignment horizontal="general" vertical="bottom" shrinkToFit="0" wrapText="0"/>
    </xf>
    <xf fontId="0" numFmtId="0" xfId="0" borderId="11" fillId="44" applyFill="1" applyBorder="1" applyNumberFormat="0" applyFont="0" applyAlignment="1">
      <alignment horizontal="left" vertical="bottom" shrinkToFit="0" wrapText="0"/>
    </xf>
  </cellXfs>
  <cellStyles count="48">
    <cellStyle name="20% - Colore 1" builtinId="30" xfId="15"/>
    <cellStyle name="20% - Colore 2" builtinId="34" xfId="16"/>
    <cellStyle name="20% - Colore 3" builtinId="38" xfId="17"/>
    <cellStyle name="20% - Colore 4" builtinId="42" xfId="18"/>
    <cellStyle name="20% - Colore 5" builtinId="46" xfId="19"/>
    <cellStyle name="20% - Colore 6" builtinId="50" xfId="20"/>
    <cellStyle name="40% - Colore 1" builtinId="31" xfId="21"/>
    <cellStyle name="40% - Colore 2" builtinId="35" xfId="22"/>
    <cellStyle name="40% - Colore 3" builtinId="39" xfId="23"/>
    <cellStyle name="40% - Colore 4" builtinId="43" xfId="24"/>
    <cellStyle name="40% - Colore 5" builtinId="47" xfId="25"/>
    <cellStyle name="40% - Colore 6" builtinId="51" xfId="26"/>
    <cellStyle name="60% - Colore 1" builtinId="32" xfId="27"/>
    <cellStyle name="60% - Colore 2" builtinId="36" xfId="28"/>
    <cellStyle name="60% - Colore 3" builtinId="40" xfId="29"/>
    <cellStyle name="60% - Colore 4" builtinId="44" xfId="30"/>
    <cellStyle name="60% - Colore 5" builtinId="48" xfId="31"/>
    <cellStyle name="60% - Colore 6" builtinId="52" xfId="32"/>
    <cellStyle name="Calcolo" builtinId="22" xfId="33"/>
    <cellStyle name="Cella collegata" builtinId="24" xfId="34"/>
    <cellStyle name="Cella da controllare" builtinId="23" xfId="35"/>
    <cellStyle name="Colore 1" builtinId="29" xfId="36"/>
    <cellStyle name="Colore 2" builtinId="33" xfId="37"/>
    <cellStyle name="Colore 3" builtinId="37" xfId="38"/>
    <cellStyle name="Colore 4" builtinId="41" xfId="39"/>
    <cellStyle name="Colore 5" builtinId="45" xfId="40"/>
    <cellStyle name="Colore 6" builtinId="49" xfId="41"/>
    <cellStyle name="Input" builtinId="20" xfId="42"/>
    <cellStyle name="LivelloRiga_4" builtinId="1" iLevel="3" xfId="6"/>
    <cellStyle name="Migliaia" builtinId="3" xfId="43"/>
    <cellStyle name="Migliaia [0]" builtinId="6" xfId="44"/>
    <cellStyle name="Neutrale" builtinId="28" xfId="45"/>
    <cellStyle name="Normale" builtinId="0" xfId="0"/>
    <cellStyle name="Nota" builtinId="10" xfId="46"/>
    <cellStyle name="Output" builtinId="21" xfId="47"/>
    <cellStyle name="Percentuale" builtinId="5" xfId="48"/>
    <cellStyle name="Testo avviso" builtinId="11" xfId="49"/>
    <cellStyle name="Testo descrittivo" builtinId="53" xfId="50"/>
    <cellStyle name="Titolo" builtinId="15" xfId="51"/>
    <cellStyle name="Titolo 1" builtinId="16" xfId="52"/>
    <cellStyle name="Titolo 2" builtinId="17" xfId="53"/>
    <cellStyle name="Titolo 3" builtinId="18" xfId="54"/>
    <cellStyle name="Titolo 4" builtinId="19" xfId="55"/>
    <cellStyle name="Totale" builtinId="25" xfId="56"/>
    <cellStyle name="Valore non valido" builtinId="27" xfId="57"/>
    <cellStyle name="Valore valido" builtinId="26" xfId="58"/>
    <cellStyle name="Valuta" builtinId="4" xfId="59"/>
    <cellStyle name="Valuta [0]" builtinId="7" xfId="60"/>
  </cellStyles>
  <dxfs count="69">
    <dxf>
      <fill>
        <patternFill>
          <bgColor rgb="00B0F0"/>
        </patternFill>
      </fill>
    </dxf>
    <dxf>
      <fill>
        <patternFill>
          <bgColor rgb="92D050"/>
        </patternFill>
      </fill>
    </dxf>
    <dxf>
      <fill>
        <patternFill>
          <bgColor rgb="FFFF00"/>
        </patternFill>
      </fill>
    </dxf>
    <dxf>
      <fill>
        <patternFill>
          <bgColor rgb="FF0000"/>
        </patternFill>
      </fill>
    </dxf>
    <dxf>
      <fill>
        <patternFill>
          <bgColor indexed="47"/>
        </patternFill>
      </fill>
    </dxf>
    <dxf>
      <fill>
        <patternFill>
          <bgColor rgb="92D050"/>
        </patternFill>
      </fill>
    </dxf>
    <dxf>
      <fill>
        <patternFill>
          <bgColor rgb="FFFF00"/>
        </patternFill>
      </fill>
    </dxf>
    <dxf>
      <fill>
        <patternFill>
          <bgColor rgb="FF0000"/>
        </patternFill>
      </fill>
    </dxf>
    <dxf>
      <fill>
        <patternFill>
          <bgColor indexed="47"/>
        </patternFill>
      </fill>
    </dxf>
    <dxf>
      <fill>
        <patternFill>
          <bgColor rgb="00B0F0"/>
        </patternFill>
      </fill>
    </dxf>
    <dxf>
      <fill>
        <patternFill>
          <bgColor rgb="00B0F0"/>
        </patternFill>
      </fill>
    </dxf>
    <dxf>
      <fill>
        <patternFill>
          <bgColor rgb="92D050"/>
        </patternFill>
      </fill>
    </dxf>
    <dxf>
      <fill>
        <patternFill>
          <bgColor rgb="FFFF00"/>
        </patternFill>
      </fill>
    </dxf>
    <dxf>
      <fill>
        <patternFill>
          <bgColor rgb="FF0000"/>
        </patternFill>
      </fill>
    </dxf>
    <dxf>
      <fill>
        <patternFill>
          <bgColor indexed="47"/>
        </patternFill>
      </fill>
    </dxf>
    <dxf>
      <fill>
        <patternFill>
          <bgColor rgb="92D050"/>
        </patternFill>
      </fill>
    </dxf>
    <dxf>
      <fill>
        <patternFill>
          <bgColor rgb="FFFF00"/>
        </patternFill>
      </fill>
    </dxf>
    <dxf>
      <fill>
        <patternFill>
          <bgColor rgb="FF0000"/>
        </patternFill>
      </fill>
    </dxf>
    <dxf>
      <fill>
        <patternFill>
          <bgColor indexed="47"/>
        </patternFill>
      </fill>
    </dxf>
    <dxf>
      <fill>
        <patternFill>
          <bgColor rgb="00B0F0"/>
        </patternFill>
      </fill>
    </dxf>
    <dxf>
      <fill>
        <patternFill>
          <bgColor rgb="00B0F0"/>
        </patternFill>
      </fill>
    </dxf>
    <dxf>
      <fill>
        <patternFill>
          <bgColor rgb="92D050"/>
        </patternFill>
      </fill>
    </dxf>
    <dxf>
      <fill>
        <patternFill>
          <bgColor rgb="FFFF00"/>
        </patternFill>
      </fill>
    </dxf>
    <dxf>
      <fill>
        <patternFill>
          <bgColor rgb="FF0000"/>
        </patternFill>
      </fill>
    </dxf>
    <dxf>
      <fill>
        <patternFill>
          <bgColor indexed="47"/>
        </patternFill>
      </fill>
    </dxf>
    <dxf>
      <fill>
        <patternFill>
          <bgColor rgb="92D050"/>
        </patternFill>
      </fill>
    </dxf>
    <dxf>
      <fill>
        <patternFill>
          <bgColor rgb="FFFF00"/>
        </patternFill>
      </fill>
    </dxf>
    <dxf>
      <fill>
        <patternFill>
          <bgColor rgb="FF0000"/>
        </patternFill>
      </fill>
    </dxf>
    <dxf>
      <fill>
        <patternFill>
          <bgColor indexed="47"/>
        </patternFill>
      </fill>
    </dxf>
    <dxf>
      <fill>
        <patternFill>
          <bgColor rgb="00B0F0"/>
        </patternFill>
      </fill>
    </dxf>
    <dxf>
      <fill>
        <patternFill>
          <bgColor rgb="00B0F0"/>
        </patternFill>
      </fill>
    </dxf>
    <dxf>
      <fill>
        <patternFill>
          <bgColor rgb="92D050"/>
        </patternFill>
      </fill>
    </dxf>
    <dxf>
      <fill>
        <patternFill>
          <bgColor rgb="FFFF00"/>
        </patternFill>
      </fill>
    </dxf>
    <dxf>
      <fill>
        <patternFill>
          <bgColor rgb="FF0000"/>
        </patternFill>
      </fill>
    </dxf>
    <dxf>
      <fill>
        <patternFill>
          <bgColor indexed="47"/>
        </patternFill>
      </fill>
    </dxf>
    <dxf>
      <fill>
        <patternFill>
          <bgColor rgb="00B0F0"/>
        </patternFill>
      </fill>
    </dxf>
    <dxf>
      <fill>
        <patternFill>
          <bgColor rgb="92D050"/>
        </patternFill>
      </fill>
    </dxf>
    <dxf>
      <fill>
        <patternFill>
          <bgColor rgb="FFFF00"/>
        </patternFill>
      </fill>
    </dxf>
    <dxf>
      <fill>
        <patternFill>
          <bgColor rgb="FF0000"/>
        </patternFill>
      </fill>
    </dxf>
    <dxf>
      <fill>
        <patternFill>
          <bgColor indexed="47"/>
        </patternFill>
      </fill>
    </dxf>
    <dxf>
      <fill>
        <patternFill>
          <bgColor rgb="00B0F0"/>
        </patternFill>
      </fill>
    </dxf>
    <dxf>
      <fill>
        <patternFill>
          <bgColor rgb="92D050"/>
        </patternFill>
      </fill>
    </dxf>
    <dxf>
      <fill>
        <patternFill>
          <bgColor rgb="FFFF00"/>
        </patternFill>
      </fill>
    </dxf>
    <dxf>
      <fill>
        <patternFill>
          <bgColor rgb="FF0000"/>
        </patternFill>
      </fill>
    </dxf>
    <dxf>
      <fill>
        <patternFill>
          <bgColor indexed="47"/>
        </patternFill>
      </fill>
    </dxf>
    <dxf>
      <fill>
        <patternFill>
          <bgColor indexed="47"/>
        </patternFill>
      </fill>
    </dxf>
    <dxf>
      <fill>
        <patternFill>
          <bgColor rgb="92D050"/>
        </patternFill>
      </fill>
    </dxf>
    <dxf>
      <fill>
        <patternFill>
          <bgColor rgb="FFFF00"/>
        </patternFill>
      </fill>
    </dxf>
    <dxf>
      <fill>
        <patternFill>
          <bgColor rgb="FF0000"/>
        </patternFill>
      </fill>
    </dxf>
    <dxf>
      <fill>
        <patternFill>
          <bgColor rgb="00B0F0"/>
        </patternFill>
      </fill>
    </dxf>
    <dxf>
      <fill>
        <patternFill>
          <bgColor rgb="92D050"/>
        </patternFill>
      </fill>
    </dxf>
    <dxf>
      <fill>
        <patternFill>
          <bgColor rgb="FFFF00"/>
        </patternFill>
      </fill>
    </dxf>
    <dxf>
      <fill>
        <patternFill>
          <bgColor rgb="FF0000"/>
        </patternFill>
      </fill>
    </dxf>
    <dxf>
      <fill>
        <patternFill>
          <bgColor indexed="47"/>
        </patternFill>
      </fill>
    </dxf>
    <dxf>
      <fill>
        <patternFill>
          <bgColor rgb="00B0F0"/>
        </patternFill>
      </fill>
    </dxf>
    <dxf>
      <fill>
        <patternFill>
          <bgColor rgb="00B0F0"/>
        </patternFill>
      </fill>
    </dxf>
    <dxf>
      <fill>
        <patternFill>
          <bgColor rgb="92D050"/>
        </patternFill>
      </fill>
    </dxf>
    <dxf>
      <fill>
        <patternFill>
          <bgColor rgb="FFFF00"/>
        </patternFill>
      </fill>
    </dxf>
    <dxf>
      <fill>
        <patternFill>
          <bgColor rgb="FF0000"/>
        </patternFill>
      </fill>
    </dxf>
    <dxf>
      <fill>
        <patternFill>
          <bgColor indexed="47"/>
        </patternFill>
      </fill>
    </dxf>
    <dxf>
      <fill>
        <patternFill>
          <bgColor indexed="47"/>
        </patternFill>
      </fill>
    </dxf>
    <dxf>
      <fill>
        <patternFill>
          <bgColor indexed="10"/>
        </patternFill>
      </fill>
    </dxf>
    <dxf>
      <fill>
        <patternFill>
          <bgColor indexed="13"/>
        </patternFill>
      </fill>
    </dxf>
    <dxf>
      <fill>
        <patternFill>
          <bgColor indexed="50"/>
        </patternFill>
      </fill>
    </dxf>
    <dxf>
      <fill>
        <patternFill>
          <bgColor indexed="40"/>
        </patternFill>
      </fill>
    </dxf>
    <dxf>
      <fill>
        <patternFill>
          <bgColor rgb="FFFF0000"/>
        </patternFill>
      </fill>
    </dxf>
    <dxf>
      <fill>
        <patternFill>
          <bgColor rgb="FFFFFF00"/>
        </patternFill>
      </fill>
    </dxf>
    <dxf>
      <fill>
        <patternFill>
          <bgColor rgb="FF92D050"/>
        </patternFill>
      </fill>
    </dxf>
    <dxf>
      <fill>
        <patternFill>
          <bgColor rgb="FF00B0F0"/>
        </patternFill>
      </fill>
    </dxf>
  </dxfs>
  <tableStyles count="0" defaultPivotStyle="PivotStyleLight16" defaultTableStyle="TableStyleMedium2"/>
</styleSheet>
</file>

<file path=xl/_rels/workbook.xml.rels><?xml version="1.0" encoding="UTF-8" standalone="yes"?><Relationships xmlns="http://schemas.openxmlformats.org/package/2006/relationships"><Relationship Id="sId1" Type="http://schemas.openxmlformats.org/officeDocument/2006/relationships/worksheet" Target="worksheets/sheet1.xml"/><Relationship Id="sId2" Type="http://schemas.openxmlformats.org/officeDocument/2006/relationships/worksheet" Target="worksheets/sheet2.xml"/><Relationship Id="sId3" Type="http://schemas.openxmlformats.org/officeDocument/2006/relationships/worksheet" Target="worksheets/sheet3.xml"/><Relationship Id="sId4" Type="http://schemas.openxmlformats.org/officeDocument/2006/relationships/worksheet" Target="worksheets/sheet4.xml"/><Relationship Id="sId5" Type="http://schemas.openxmlformats.org/officeDocument/2006/relationships/worksheet" Target="worksheets/sheet5.xml"/><Relationship Id="sId6" Type="http://schemas.openxmlformats.org/officeDocument/2006/relationships/worksheet" Target="worksheets/sheet6.xml"/><Relationship Id="shId1" Type="http://schemas.openxmlformats.org/officeDocument/2006/relationships/sharedStrings" Target="sharedStrings.xml"/><Relationship Id="thmId1" Type="http://schemas.openxmlformats.org/officeDocument/2006/relationships/theme" Target="theme/theme1.xml"/><Relationship Id="stId1" Type="http://schemas.openxmlformats.org/officeDocument/2006/relationships/styles" Target="styles.xml"/></Relationships>
</file>

<file path=xl/drawings/_rels/vmlDrawing1.vml.rels><?xml version="1.0" encoding="UTF-8" standalone="yes"?><Relationships xmlns="http://schemas.openxmlformats.org/package/2006/relationships"/>
</file>

<file path=xl/drawings/_rels/vmlDrawing2.vml.rels><?xml version="1.0" encoding="UTF-8" standalone="yes"?><Relationships xmlns="http://schemas.openxmlformats.org/package/2006/relationships"/>
</file>

<file path=xl/drawings/_rels/vmlDrawing3.vml.rels><?xml version="1.0" encoding="UTF-8" standalone="yes"?><Relationships xmlns="http://schemas.openxmlformats.org/package/2006/relationships"/>
</file>

<file path=xl/drawings/_rels/vmlDrawing4.vml.rels><?xml version="1.0" encoding="UTF-8" standalone="yes"?><Relationships xmlns="http://schemas.openxmlformats.org/package/2006/relationships"/>
</file>

<file path=xl/drawings/_rels/vmlDrawing5.vml.rels><?xml version="1.0" encoding="UTF-8" standalone="yes"?><Relationships xmlns="http://schemas.openxmlformats.org/package/2006/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comId1"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comId2"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comId3" Type="http://schemas.openxmlformats.org/officeDocument/2006/relationships/comments" Target="../comments3.xml"/><Relationship Id="rId3" Type="http://schemas.openxmlformats.org/officeDocument/2006/relationships/vmlDrawing" Target="../drawings/vmlDrawing3.vml"/></Relationships>
</file>

<file path=xl/worksheets/_rels/sheet4.xml.rels><?xml version="1.0" encoding="UTF-8" standalone="yes"?><Relationships xmlns="http://schemas.openxmlformats.org/package/2006/relationships"/>
</file>

<file path=xl/worksheets/_rels/sheet5.xml.rels><?xml version="1.0" encoding="UTF-8" standalone="yes"?><Relationships xmlns="http://schemas.openxmlformats.org/package/2006/relationships"><Relationship Id="comId4"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Relationships xmlns="http://schemas.openxmlformats.org/package/2006/relationships"><Relationship Id="comId5" Type="http://schemas.openxmlformats.org/officeDocument/2006/relationships/comments" Target="../comments5.xml"/><Relationship Id="rId5"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http://schemas.microsoft.com/office/spreadsheetml/2009/9/main" xmlns:x14ac="http://schemas.microsoft.com/office/spreadsheetml/2009/9/ac" mc:Ignorable="x14ac">
  <sheetPr/>
  <dimension ref="A1:S319"/>
  <sheetViews>
    <sheetView topLeftCell="B13" zoomScale="175" workbookViewId="0">
      <selection activeCell="F28" sqref="F28"/>
    </sheetView>
  </sheetViews>
  <sheetFormatPr defaultRowHeight="15" customHeight="1" baseColWidth="8"/>
  <cols>
    <col width="15.1406" customWidth="1" min="1" max="1"/>
    <col width="20.2852" customWidth="1" min="2" max="2"/>
    <col width="4.85547" customWidth="1" min="3" max="4" style="8"/>
    <col width="4.85547" customWidth="1" min="5" max="5" style="10"/>
    <col width="5.42578" customWidth="1" min="6" max="7" style="10"/>
    <col width="5.57031" customWidth="1" min="8" max="8" style="10"/>
    <col width="4.85547" customWidth="1" min="9" max="10" style="10"/>
    <col width="7.14062" customWidth="1" min="11" max="11" style="10"/>
    <col width="13.1406" customWidth="1" min="12" max="12" style="10" bestFit="1"/>
    <col width="18.5703" customWidth="1" min="13" max="13"/>
    <col width="29.1406" customWidth="1" min="14" max="14"/>
    <col width="8.85547" customWidth="1" min="15" max="15"/>
    <col width="25.2852" customWidth="1" min="16" max="16"/>
    <col width="35" customWidth="1" min="17" max="17"/>
  </cols>
  <sheetData>
    <row r="1" spans="1:19" ht="15" customHeight="1">
      <c r="A1" s="81" t="s">
        <v>1</v>
      </c>
      <c r="B1" s="81"/>
      <c r="C1" s="75" t="s">
        <v>4</v>
      </c>
      <c r="D1" s="76"/>
      <c r="E1" s="76"/>
      <c r="F1" s="76"/>
      <c r="G1" s="76"/>
      <c r="H1" s="76"/>
      <c r="I1" s="76"/>
      <c r="J1" s="77"/>
      <c r="K1" s="37"/>
      <c r="L1" s="38"/>
      <c r="M1" s="5"/>
    </row>
    <row r="2" spans="1:19" ht="15" customHeight="1">
      <c r="A2" s="81"/>
      <c r="B2" s="81"/>
      <c r="C2" s="78" t="s">
        <v>15</v>
      </c>
      <c r="D2" s="78"/>
      <c r="E2" s="78"/>
      <c r="F2" s="79" t="s">
        <v>16</v>
      </c>
      <c r="G2" s="79"/>
      <c r="H2" s="79"/>
      <c r="I2" s="80" t="s">
        <v>17</v>
      </c>
      <c r="J2" s="80"/>
      <c r="K2" s="38"/>
      <c r="L2" s="38"/>
      <c r="M2" s="5"/>
    </row>
    <row r="3" spans="1:19" ht="11.45" customHeight="1">
      <c r="A3" s="81"/>
      <c r="B3" s="81"/>
      <c r="C3" s="21">
        <v>2</v>
      </c>
      <c r="D3" s="21">
        <v>3</v>
      </c>
      <c r="E3" s="21">
        <v>1</v>
      </c>
      <c r="F3" s="22">
        <v>2</v>
      </c>
      <c r="G3" s="22">
        <v>3</v>
      </c>
      <c r="H3" s="22">
        <v>2</v>
      </c>
      <c r="I3" s="23">
        <v>3</v>
      </c>
      <c r="J3" s="23">
        <v>2</v>
      </c>
      <c r="K3" s="13"/>
      <c r="L3" s="4"/>
      <c r="M3" s="14"/>
    </row>
    <row r="4" spans="1:19" s="3" customFormat="1" ht="171.75" customHeight="1">
      <c r="A4" s="35" t="s">
        <v>12</v>
      </c>
      <c r="B4" s="34" t="s">
        <v>18</v>
      </c>
      <c r="C4" s="24" t="s">
        <v>19</v>
      </c>
      <c r="D4" s="25" t="s">
        <v>23</v>
      </c>
      <c r="E4" s="25" t="s">
        <v>14</v>
      </c>
      <c r="F4" s="26" t="s">
        <v>9</v>
      </c>
      <c r="G4" s="27" t="s">
        <v>10</v>
      </c>
      <c r="H4" s="28" t="s">
        <v>6</v>
      </c>
      <c r="I4" s="29" t="s">
        <v>8</v>
      </c>
      <c r="J4" s="30" t="s">
        <v>13</v>
      </c>
      <c r="K4" s="31" t="s">
        <v>11</v>
      </c>
      <c r="L4" s="32" t="s">
        <v>7</v>
      </c>
      <c r="M4" s="33" t="s">
        <v>2</v>
      </c>
    </row>
    <row r="5" spans="1:19" s="12" customFormat="1" ht="26.1" customHeight="1">
      <c r="A5" s="82" t="s">
        <v>60</v>
      </c>
      <c r="B5" s="40" t="s">
        <v>61</v>
      </c>
      <c r="C5" s="43">
        <v>3</v>
      </c>
      <c r="D5" s="43">
        <v>3</v>
      </c>
      <c r="E5" s="43">
        <v>2</v>
      </c>
      <c r="F5" s="43">
        <v>1</v>
      </c>
      <c r="G5" s="43">
        <v>3</v>
      </c>
      <c r="H5" s="43">
        <v>1</v>
      </c>
      <c r="I5" s="43">
        <v>3</v>
      </c>
      <c r="J5" s="43">
        <v>2</v>
      </c>
      <c r="K5" s="44">
        <f>((C5*C3)+(D5*D3)+(E5*E3)+(F5*F3)+(G5*G3)+(H5*H3)+(I5*I3)+(J5*J3))/8</f>
        <v>5.375</v>
      </c>
      <c r="L5" t="str" s="45">
        <f>IF(AND(K5&gt;=0.5,K5&lt;=3.5),"Almeno 1/Anno",IF(AND(K5&gt;3.5,K5&lt;=4),"2/Anno",IF(AND(K5&gt;4,K5&lt;=4.5),"3/Anno",IF(AND(K5&gt;4.5,K5&lt;=5),"4/Anno",IF(K5&gt;5,"mensile","?")))))</f>
        <v>mensile</v>
      </c>
      <c r="M5" s="41" t="s">
        <v>68</v>
      </c>
    </row>
    <row r="6" spans="1:19" s="12" customFormat="1" ht="26.1" customHeight="1">
      <c r="A6" s="83"/>
      <c r="B6" s="40" t="s">
        <v>62</v>
      </c>
      <c r="C6" s="43">
        <v>3</v>
      </c>
      <c r="D6" s="43">
        <v>3</v>
      </c>
      <c r="E6" s="43">
        <v>3</v>
      </c>
      <c r="F6" s="43">
        <v>1</v>
      </c>
      <c r="G6" s="43">
        <v>3</v>
      </c>
      <c r="H6" s="43">
        <v>1</v>
      </c>
      <c r="I6" s="43">
        <v>3</v>
      </c>
      <c r="J6" s="43">
        <v>2</v>
      </c>
      <c r="K6" s="44">
        <f>((C6*C3)+(D6*D3)+(E6*E3)+(F6*F3)+(G6*G3)+(H6*H3)+(I6*I3)+(J6*J3))/8</f>
        <v>5.5</v>
      </c>
      <c r="L6" t="str" s="45">
        <f>IF(AND(K6&gt;=0.5,K6&lt;=3.5),"Almeno 1/Anno",IF(AND(K6&gt;3.5,K6&lt;=4),"2/Anno",IF(AND(K6&gt;4,K6&lt;=4.5),"3/Anno",IF(AND(K6&gt;4.5,K6&lt;=5),"4/Anno",IF(K6&gt;5,"ogni massa","?")))))</f>
        <v>ogni massa</v>
      </c>
      <c r="M6" s="41" t="s">
        <v>68</v>
      </c>
      <c r="O6" s="19"/>
      <c r="P6" s="19"/>
      <c r="Q6" s="19"/>
      <c r="R6" s="19"/>
      <c r="S6" s="19"/>
    </row>
    <row r="7" spans="1:19" s="12" customFormat="1" ht="26.1" customHeight="1">
      <c r="A7" s="83"/>
      <c r="B7" s="40" t="s">
        <v>63</v>
      </c>
      <c r="C7" s="43">
        <v>3</v>
      </c>
      <c r="D7" s="43">
        <v>1</v>
      </c>
      <c r="E7" s="43">
        <v>1</v>
      </c>
      <c r="F7" s="43">
        <v>1</v>
      </c>
      <c r="G7" s="43">
        <v>1</v>
      </c>
      <c r="H7" s="43">
        <v>1</v>
      </c>
      <c r="I7" s="43">
        <v>3</v>
      </c>
      <c r="J7" s="43">
        <v>1</v>
      </c>
      <c r="K7" s="44">
        <f>((C7*C3)+(D7*D3)+(E7*E3)+(F7*F3)+(G7*G3)+(H7*H3)+(I7*I3)+(J7*J3))/8</f>
        <v>3.5</v>
      </c>
      <c r="L7" t="str" s="45">
        <f>IF(AND(K7&gt;=0.5,K7&lt;=3.5),"Almeno 1/Anno",IF(AND(K7&gt;3.5,K7&lt;=4),"2/Anno",IF(AND(K7&gt;4,K7&lt;=4.5),"3/Anno",IF(AND(K7&gt;4.5,K7&lt;=5),"4/Anno",IF(K7&gt;5,"mensile","?")))))</f>
        <v>Almeno 1/Anno</v>
      </c>
      <c r="M7" s="41" t="s">
        <v>68</v>
      </c>
      <c r="O7" s="19"/>
      <c r="P7" s="19"/>
      <c r="Q7" s="19"/>
      <c r="R7" s="19"/>
      <c r="S7" s="19"/>
    </row>
    <row r="8" spans="1:19" s="12" customFormat="1" ht="23.1" customHeight="1">
      <c r="A8" s="83"/>
      <c r="B8" s="40" t="s">
        <v>64</v>
      </c>
      <c r="C8" s="43">
        <v>3</v>
      </c>
      <c r="D8" s="43">
        <v>1</v>
      </c>
      <c r="E8" s="43">
        <v>1</v>
      </c>
      <c r="F8" s="43">
        <v>1</v>
      </c>
      <c r="G8" s="43">
        <v>1</v>
      </c>
      <c r="H8" s="43">
        <v>1</v>
      </c>
      <c r="I8" s="43">
        <v>2</v>
      </c>
      <c r="J8" s="43">
        <v>1</v>
      </c>
      <c r="K8" s="44">
        <f>((C8*C3)+(D8*D3)+(E8*E3)+(F8*F3)+(G8*G3)+(H8*H3)+(I8*I3)+(J8*J3))/8</f>
        <v>3.125</v>
      </c>
      <c r="L8" t="str" s="45">
        <f>IF(AND(K8&gt;=0.5,K8&lt;=3.5),"Almeno 1/Anno",IF(AND(K8&gt;3.5,K8&lt;=4),"2/Anno",IF(AND(K8&gt;4,K8&lt;=4.5),"3/Anno",IF(AND(K8&gt;4.5,K8&lt;=5),"4/Anno",IF(K8&gt;5,"mensile","?")))))</f>
        <v>Almeno 1/Anno</v>
      </c>
      <c r="M8" s="41" t="s">
        <v>68</v>
      </c>
      <c r="O8" s="19"/>
      <c r="P8" s="19"/>
      <c r="Q8" s="19"/>
      <c r="R8" s="19"/>
      <c r="S8" s="19"/>
    </row>
    <row r="9" spans="1:19" s="12" customFormat="1" ht="23.1" customHeight="1">
      <c r="A9" s="83"/>
      <c r="B9" s="40" t="s">
        <v>65</v>
      </c>
      <c r="C9" s="43">
        <v>3</v>
      </c>
      <c r="D9" s="43">
        <v>2</v>
      </c>
      <c r="E9" s="43">
        <v>1</v>
      </c>
      <c r="F9" s="43">
        <v>1</v>
      </c>
      <c r="G9" s="43">
        <v>1</v>
      </c>
      <c r="H9" s="43">
        <v>1</v>
      </c>
      <c r="I9" s="43">
        <v>2</v>
      </c>
      <c r="J9" s="43">
        <v>1</v>
      </c>
      <c r="K9" s="44">
        <f>((C9*C3)+(D9*D3)+(E9*E3)+(F9*F3)+(G9*G3)+(H9*H3)+(I9*I3)+(J9*J3))/8</f>
        <v>3.5</v>
      </c>
      <c r="L9" t="str" s="45">
        <f>IF(AND(K9&gt;=0.5,K9&lt;=3.5),"Almeno 1/Anno",IF(AND(K9&gt;3.5,K9&lt;=4),"2/Anno",IF(AND(K9&gt;4,K9&lt;=4.5),"3/Anno",IF(AND(K9&gt;4.5,K9&lt;=5),"4/Anno",IF(K9&gt;5,"mensile","?")))))</f>
        <v>Almeno 1/Anno</v>
      </c>
      <c r="M9" s="41" t="s">
        <v>68</v>
      </c>
      <c r="O9" s="19"/>
      <c r="P9" s="19"/>
      <c r="Q9" s="19"/>
      <c r="R9" s="19"/>
      <c r="S9" s="19"/>
    </row>
    <row r="10" spans="1:19" s="12" customFormat="1" ht="22.5" customHeight="1">
      <c r="A10" s="83"/>
      <c r="B10" s="40" t="s">
        <v>66</v>
      </c>
      <c r="C10" s="43">
        <v>3</v>
      </c>
      <c r="D10" s="43">
        <v>1</v>
      </c>
      <c r="E10" s="43">
        <v>1</v>
      </c>
      <c r="F10" s="43">
        <v>1</v>
      </c>
      <c r="G10" s="43">
        <v>1</v>
      </c>
      <c r="H10" s="43">
        <v>1</v>
      </c>
      <c r="I10" s="43">
        <v>2</v>
      </c>
      <c r="J10" s="43">
        <v>1</v>
      </c>
      <c r="K10" s="44">
        <f>((C10*C3)+(D10*D3)+(E10*E3)+(F10*F3)+(G10*G3)+(H10*H3)+(I10*I3)+(J10*J3))/8</f>
        <v>3.125</v>
      </c>
      <c r="L10" t="str" s="45">
        <f>IF(AND(K10&gt;=0.5,K10&lt;=3.5),"Almeno 1/Anno",IF(AND(K10&gt;3.5,K10&lt;=4),"2/Anno",IF(AND(K10&gt;4,K10&lt;=4.5),"3/Anno",IF(AND(K10&gt;4.5,K10&lt;=5),"4/Anno",IF(K10&gt;5,"mensile","?")))))</f>
        <v>Almeno 1/Anno</v>
      </c>
      <c r="M10" s="41" t="s">
        <v>69</v>
      </c>
      <c r="O10" s="19"/>
      <c r="P10" s="19"/>
      <c r="Q10" s="19"/>
      <c r="R10" s="19"/>
      <c r="S10" s="19"/>
    </row>
    <row r="11" spans="1:19" s="12" customFormat="1" ht="22.5" customHeight="1">
      <c r="A11" s="83"/>
      <c r="B11" s="40" t="s">
        <v>67</v>
      </c>
      <c r="C11" s="43">
        <v>3</v>
      </c>
      <c r="D11" s="43">
        <v>2</v>
      </c>
      <c r="E11" s="43">
        <v>1</v>
      </c>
      <c r="F11" s="43">
        <v>1</v>
      </c>
      <c r="G11" s="43">
        <v>1</v>
      </c>
      <c r="H11" s="43">
        <v>1</v>
      </c>
      <c r="I11" s="43">
        <v>2</v>
      </c>
      <c r="J11" s="43">
        <v>1</v>
      </c>
      <c r="K11" s="44">
        <f>((C11*C3)+(D11*D3)+(E11*E3)+(F11*F3)+(G11*G3)+(H11*H3)+(I11*I3)+(J11*J3))/8</f>
        <v>3.5</v>
      </c>
      <c r="L11" t="str" s="45">
        <f>IF(AND(K11&gt;=0.5,K11&lt;=3.5),"Almeno 1/Anno",IF(AND(K11&gt;3.5,K11&lt;=4),"2/Anno",IF(AND(K11&gt;4,K11&lt;=4.5),"3/Anno",IF(AND(K11&gt;4.5,K11&lt;=5),"4/Anno",IF(K11&gt;5,"mensile","?")))))</f>
        <v>Almeno 1/Anno</v>
      </c>
      <c r="M11" s="41" t="s">
        <v>69</v>
      </c>
      <c r="O11" s="19"/>
      <c r="P11" s="19"/>
      <c r="Q11" s="19"/>
      <c r="R11" s="19"/>
      <c r="S11" s="19"/>
    </row>
    <row r="12" spans="1:19" s="10" customFormat="1">
      <c r="C12" s="8"/>
      <c r="D12" s="8"/>
      <c r="E12" s="9"/>
    </row>
    <row r="13" spans="1:19" s="10" customFormat="1">
      <c r="C13" s="8"/>
      <c r="D13" s="8"/>
      <c r="E13" s="9"/>
    </row>
    <row r="14" spans="1:19" s="10" customFormat="1">
      <c r="C14" s="8"/>
      <c r="D14" s="8"/>
      <c r="E14" s="9"/>
    </row>
    <row r="15" spans="1:19" s="10" customFormat="1">
      <c r="C15" s="8"/>
      <c r="D15" s="8"/>
      <c r="E15" s="9"/>
    </row>
    <row r="16" spans="1:19" s="10" customFormat="1">
      <c r="C16" s="8"/>
      <c r="D16" s="8"/>
      <c r="E16" s="9"/>
    </row>
    <row r="17" spans="3:5" s="10" customFormat="1">
      <c r="C17" s="8"/>
      <c r="D17" s="8"/>
      <c r="E17" s="9"/>
    </row>
    <row r="18" spans="3:5" s="10" customFormat="1">
      <c r="C18" s="8"/>
      <c r="D18" s="8"/>
      <c r="E18" s="9"/>
    </row>
    <row r="19" spans="3:5" s="10" customFormat="1">
      <c r="C19" s="8"/>
      <c r="D19" s="8"/>
      <c r="E19" s="9"/>
    </row>
    <row r="20" spans="3:5" s="10" customFormat="1">
      <c r="C20" s="8"/>
      <c r="D20" s="8"/>
      <c r="E20" s="9"/>
    </row>
    <row r="21" spans="3:5" s="10" customFormat="1">
      <c r="C21" s="8"/>
      <c r="D21" s="8"/>
      <c r="E21" s="9"/>
    </row>
    <row r="22" spans="3:5" s="10" customFormat="1">
      <c r="C22" s="8"/>
      <c r="D22" s="8"/>
      <c r="E22" s="9"/>
    </row>
    <row r="23" spans="3:5" s="10" customFormat="1">
      <c r="C23" s="8"/>
      <c r="D23" s="8"/>
      <c r="E23" s="9"/>
    </row>
    <row r="24" spans="3:5" s="10" customFormat="1">
      <c r="C24" s="8"/>
      <c r="D24" s="8"/>
      <c r="E24" s="9"/>
    </row>
    <row r="25" spans="3:5" s="10" customFormat="1">
      <c r="C25" s="8"/>
      <c r="D25" s="8"/>
      <c r="E25" s="9"/>
    </row>
    <row r="26" spans="3:5" s="10" customFormat="1">
      <c r="C26" s="8"/>
      <c r="D26" s="8"/>
      <c r="E26" s="9"/>
    </row>
    <row r="27" spans="3:5" s="10" customFormat="1">
      <c r="C27" s="8"/>
      <c r="D27" s="8"/>
      <c r="E27" s="9"/>
    </row>
    <row r="28" spans="3:5" s="10" customFormat="1">
      <c r="C28" s="8"/>
      <c r="D28" s="8"/>
      <c r="E28" s="9"/>
    </row>
    <row r="29" spans="3:5" s="10" customFormat="1">
      <c r="C29" s="8"/>
      <c r="D29" s="8"/>
      <c r="E29" s="9"/>
    </row>
    <row r="30" spans="3:5" s="10" customFormat="1">
      <c r="C30" s="8"/>
      <c r="D30" s="8"/>
      <c r="E30" s="9"/>
    </row>
    <row r="31" spans="3:5" s="10" customFormat="1">
      <c r="C31" s="8"/>
      <c r="D31" s="8"/>
      <c r="E31" s="9"/>
    </row>
    <row r="32" spans="3:5" s="10" customFormat="1">
      <c r="C32" s="8"/>
      <c r="D32" s="8"/>
      <c r="E32" s="9"/>
    </row>
    <row r="33" spans="3:5" s="10" customFormat="1">
      <c r="C33" s="8"/>
      <c r="D33" s="8"/>
      <c r="E33" s="9"/>
    </row>
    <row r="34" spans="3:5" s="10" customFormat="1">
      <c r="C34" s="8"/>
      <c r="D34" s="8"/>
      <c r="E34" s="9"/>
    </row>
    <row r="35" spans="3:5" s="10" customFormat="1">
      <c r="C35" s="8"/>
      <c r="D35" s="8"/>
      <c r="E35" s="9"/>
    </row>
    <row r="36" spans="3:5" s="10" customFormat="1">
      <c r="C36" s="8"/>
      <c r="D36" s="8"/>
      <c r="E36" s="9"/>
    </row>
    <row r="37" spans="3:5" s="10" customFormat="1">
      <c r="C37" s="8"/>
      <c r="D37" s="8"/>
      <c r="E37" s="9"/>
    </row>
    <row r="38" spans="3:5" s="10" customFormat="1">
      <c r="C38" s="8"/>
      <c r="D38" s="8"/>
      <c r="E38" s="9"/>
    </row>
    <row r="39" spans="3:5" s="10" customFormat="1">
      <c r="C39" s="8"/>
      <c r="D39" s="8"/>
      <c r="E39" s="9"/>
    </row>
    <row r="40" spans="3:5" s="10" customFormat="1">
      <c r="C40" s="8"/>
      <c r="D40" s="8"/>
      <c r="E40" s="9"/>
    </row>
    <row r="41" spans="3:5" s="10" customFormat="1">
      <c r="C41" s="8"/>
      <c r="D41" s="8"/>
      <c r="E41" s="9"/>
    </row>
    <row r="42" spans="3:5" s="10" customFormat="1">
      <c r="C42" s="8"/>
      <c r="D42" s="8"/>
      <c r="E42" s="9"/>
    </row>
    <row r="43" spans="3:5" s="10" customFormat="1">
      <c r="C43" s="8"/>
      <c r="D43" s="8"/>
      <c r="E43" s="9"/>
    </row>
    <row r="44" spans="3:5" s="10" customFormat="1">
      <c r="C44" s="8"/>
      <c r="D44" s="8"/>
      <c r="E44" s="9"/>
    </row>
    <row r="45" spans="3:5" s="10" customFormat="1">
      <c r="C45" s="8"/>
      <c r="D45" s="8"/>
      <c r="E45" s="9"/>
    </row>
    <row r="46" spans="3:5" s="10" customFormat="1">
      <c r="C46" s="8"/>
      <c r="D46" s="8"/>
      <c r="E46" s="9"/>
    </row>
    <row r="47" spans="3:5" s="10" customFormat="1">
      <c r="C47" s="8"/>
      <c r="D47" s="8"/>
      <c r="E47" s="9"/>
    </row>
    <row r="48" spans="3:5" s="10" customFormat="1">
      <c r="C48" s="8"/>
      <c r="D48" s="8"/>
      <c r="E48" s="9"/>
    </row>
    <row r="49" spans="3:5" s="10" customFormat="1">
      <c r="C49" s="8"/>
      <c r="D49" s="8"/>
      <c r="E49" s="9"/>
    </row>
    <row r="50" spans="3:5" s="10" customFormat="1">
      <c r="C50" s="8"/>
      <c r="D50" s="8"/>
      <c r="E50" s="9"/>
    </row>
    <row r="51" spans="3:5" s="10" customFormat="1">
      <c r="C51" s="8"/>
      <c r="D51" s="8"/>
      <c r="E51" s="9"/>
    </row>
    <row r="52" spans="3:5" s="10" customFormat="1">
      <c r="C52" s="8"/>
      <c r="D52" s="8"/>
      <c r="E52" s="9"/>
    </row>
    <row r="53" spans="3:5" s="10" customFormat="1">
      <c r="C53" s="8"/>
      <c r="D53" s="8"/>
      <c r="E53" s="9"/>
    </row>
    <row r="54" spans="3:5" s="10" customFormat="1">
      <c r="C54" s="8"/>
      <c r="D54" s="8"/>
      <c r="E54" s="9"/>
    </row>
    <row r="55" spans="3:5" s="10" customFormat="1">
      <c r="C55" s="8"/>
      <c r="D55" s="8"/>
      <c r="E55" s="9"/>
    </row>
    <row r="56" spans="3:5" s="10" customFormat="1">
      <c r="C56" s="8"/>
      <c r="D56" s="8"/>
      <c r="E56" s="9"/>
    </row>
    <row r="57" spans="3:5" s="10" customFormat="1">
      <c r="C57" s="8"/>
      <c r="D57" s="8"/>
      <c r="E57" s="9"/>
    </row>
    <row r="58" spans="3:5" s="10" customFormat="1">
      <c r="C58" s="8"/>
      <c r="D58" s="8"/>
      <c r="E58" s="9"/>
    </row>
    <row r="59" spans="3:5" s="10" customFormat="1">
      <c r="C59" s="8"/>
      <c r="D59" s="8"/>
      <c r="E59" s="9"/>
    </row>
    <row r="60" spans="3:5" s="10" customFormat="1">
      <c r="C60" s="8"/>
      <c r="D60" s="8"/>
      <c r="E60" s="9"/>
    </row>
    <row r="61" spans="3:5" s="10" customFormat="1">
      <c r="C61" s="8"/>
      <c r="D61" s="8"/>
      <c r="E61" s="9"/>
    </row>
    <row r="62" spans="3:5" s="10" customFormat="1">
      <c r="C62" s="8"/>
      <c r="D62" s="8"/>
      <c r="E62" s="9"/>
    </row>
    <row r="63" spans="3:5" s="10" customFormat="1">
      <c r="C63" s="8"/>
      <c r="D63" s="8"/>
      <c r="E63" s="9"/>
    </row>
    <row r="64" spans="3:5" s="10" customFormat="1">
      <c r="C64" s="8"/>
      <c r="D64" s="8"/>
      <c r="E64" s="9"/>
    </row>
    <row r="65" spans="3:5" s="10" customFormat="1">
      <c r="C65" s="8"/>
      <c r="D65" s="8"/>
      <c r="E65" s="9"/>
    </row>
    <row r="66" spans="3:5" s="10" customFormat="1">
      <c r="C66" s="8"/>
      <c r="D66" s="8"/>
      <c r="E66" s="9"/>
    </row>
    <row r="67" spans="3:5" s="10" customFormat="1">
      <c r="C67" s="8"/>
      <c r="D67" s="8"/>
      <c r="E67" s="9"/>
    </row>
    <row r="68" spans="3:5" s="10" customFormat="1">
      <c r="C68" s="8"/>
      <c r="D68" s="8"/>
      <c r="E68" s="9"/>
    </row>
    <row r="69" spans="3:5" s="10" customFormat="1">
      <c r="C69" s="8"/>
      <c r="D69" s="8"/>
      <c r="E69" s="9"/>
    </row>
    <row r="70" spans="3:5" s="10" customFormat="1">
      <c r="C70" s="8"/>
      <c r="D70" s="8"/>
      <c r="E70" s="9"/>
    </row>
    <row r="71" spans="3:5" s="10" customFormat="1">
      <c r="C71" s="8"/>
      <c r="D71" s="8"/>
      <c r="E71" s="9"/>
    </row>
    <row r="72" spans="3:5" s="10" customFormat="1">
      <c r="C72" s="8"/>
      <c r="D72" s="8"/>
      <c r="E72" s="9"/>
    </row>
    <row r="73" spans="3:5" s="10" customFormat="1">
      <c r="C73" s="8"/>
      <c r="D73" s="8"/>
      <c r="E73" s="9"/>
    </row>
    <row r="74" spans="3:5" s="10" customFormat="1">
      <c r="C74" s="8"/>
      <c r="D74" s="8"/>
      <c r="E74" s="9"/>
    </row>
    <row r="75" spans="3:5" s="10" customFormat="1">
      <c r="C75" s="8"/>
      <c r="D75" s="8"/>
      <c r="E75" s="9"/>
    </row>
    <row r="76" spans="3:5" s="10" customFormat="1">
      <c r="C76" s="8"/>
      <c r="D76" s="8"/>
      <c r="E76" s="9"/>
    </row>
    <row r="77" spans="3:5" s="10" customFormat="1">
      <c r="C77" s="8"/>
      <c r="D77" s="8"/>
      <c r="E77" s="9"/>
    </row>
    <row r="78" spans="3:5" s="10" customFormat="1">
      <c r="C78" s="8"/>
      <c r="D78" s="8"/>
      <c r="E78" s="9"/>
    </row>
    <row r="79" spans="3:5" s="10" customFormat="1">
      <c r="C79" s="8"/>
      <c r="D79" s="8"/>
      <c r="E79" s="9"/>
    </row>
    <row r="80" spans="3:5" s="10" customFormat="1">
      <c r="C80" s="8"/>
      <c r="D80" s="8"/>
      <c r="E80" s="9"/>
    </row>
    <row r="81" spans="3:5" s="10" customFormat="1">
      <c r="C81" s="8"/>
      <c r="D81" s="8"/>
      <c r="E81" s="9"/>
    </row>
    <row r="82" spans="3:5" s="10" customFormat="1">
      <c r="C82" s="8"/>
      <c r="D82" s="8"/>
      <c r="E82" s="9"/>
    </row>
    <row r="83" spans="3:5" s="10" customFormat="1">
      <c r="C83" s="8"/>
      <c r="D83" s="8"/>
      <c r="E83" s="9"/>
    </row>
    <row r="84" spans="3:5" s="10" customFormat="1">
      <c r="C84" s="8"/>
      <c r="D84" s="8"/>
      <c r="E84" s="9"/>
    </row>
    <row r="85" spans="3:5" s="10" customFormat="1">
      <c r="C85" s="8"/>
      <c r="D85" s="8"/>
      <c r="E85" s="9"/>
    </row>
    <row r="86" spans="3:5" s="10" customFormat="1">
      <c r="C86" s="8"/>
      <c r="D86" s="8"/>
      <c r="E86" s="9"/>
    </row>
    <row r="87" spans="3:5" s="10" customFormat="1">
      <c r="C87" s="8"/>
      <c r="D87" s="8"/>
      <c r="E87" s="9"/>
    </row>
    <row r="88" spans="3:5" s="10" customFormat="1">
      <c r="C88" s="8"/>
      <c r="D88" s="8"/>
      <c r="E88" s="9"/>
    </row>
    <row r="89" spans="3:5" s="10" customFormat="1">
      <c r="C89" s="8"/>
      <c r="D89" s="8"/>
      <c r="E89" s="9"/>
    </row>
    <row r="90" spans="3:5" s="10" customFormat="1">
      <c r="C90" s="8"/>
      <c r="D90" s="8"/>
      <c r="E90" s="9"/>
    </row>
    <row r="91" spans="3:5" s="10" customFormat="1">
      <c r="C91" s="8"/>
      <c r="D91" s="8"/>
      <c r="E91" s="9"/>
    </row>
    <row r="92" spans="3:5" s="10" customFormat="1">
      <c r="C92" s="8"/>
      <c r="D92" s="8"/>
      <c r="E92" s="9"/>
    </row>
    <row r="93" spans="3:5" s="10" customFormat="1">
      <c r="C93" s="8"/>
      <c r="D93" s="8"/>
      <c r="E93" s="9"/>
    </row>
    <row r="94" spans="3:5" s="10" customFormat="1">
      <c r="C94" s="8"/>
      <c r="D94" s="8"/>
      <c r="E94" s="9"/>
    </row>
    <row r="95" spans="3:5" s="10" customFormat="1">
      <c r="C95" s="8"/>
      <c r="D95" s="8"/>
      <c r="E95" s="9"/>
    </row>
    <row r="96" spans="3:5" s="10" customFormat="1">
      <c r="C96" s="8"/>
      <c r="D96" s="8"/>
      <c r="E96" s="9"/>
    </row>
    <row r="97" spans="1:13" s="10" customFormat="1">
      <c r="C97" s="8"/>
      <c r="D97" s="8"/>
      <c r="E97" s="9"/>
    </row>
    <row r="98" spans="1:13" s="10" customFormat="1">
      <c r="C98" s="8"/>
      <c r="D98" s="8"/>
      <c r="E98" s="9"/>
    </row>
    <row r="99" spans="1:13" s="10" customFormat="1">
      <c r="C99" s="8"/>
      <c r="D99" s="8"/>
      <c r="E99" s="9"/>
      <c r="K99" s="6"/>
      <c r="L99" s="6"/>
    </row>
    <row r="100" spans="1:13" s="10" customFormat="1">
      <c r="C100" s="8"/>
      <c r="D100" s="8"/>
      <c r="E100" s="9"/>
      <c r="K100" s="6"/>
      <c r="L100" s="6"/>
    </row>
    <row r="101" spans="1:13" s="10" customFormat="1">
      <c r="C101" s="8"/>
      <c r="D101" s="8"/>
      <c r="E101" s="9"/>
      <c r="K101" s="6"/>
      <c r="L101" s="6"/>
    </row>
    <row r="102" spans="1:13" s="10" customFormat="1">
      <c r="C102" s="8"/>
      <c r="D102" s="8"/>
      <c r="E102" s="9"/>
      <c r="K102" s="6"/>
      <c r="L102" s="6"/>
    </row>
    <row r="103" spans="1:13" s="10" customFormat="1">
      <c r="C103" s="8"/>
      <c r="D103" s="8"/>
      <c r="E103" s="9"/>
      <c r="K103" s="6"/>
      <c r="L103" s="6"/>
    </row>
    <row r="104" spans="1:13" s="10" customFormat="1">
      <c r="C104" s="8"/>
      <c r="D104" s="8"/>
      <c r="E104" s="9"/>
      <c r="K104" s="6"/>
      <c r="L104" s="6"/>
    </row>
    <row r="105" spans="1:13" s="10" customFormat="1">
      <c r="C105" s="8"/>
      <c r="D105" s="8"/>
      <c r="E105" s="9"/>
    </row>
    <row r="106" spans="1:13" s="10" customFormat="1">
      <c r="A106"/>
      <c r="B106"/>
      <c r="C106" s="8"/>
      <c r="D106" s="8"/>
      <c r="E106" s="9"/>
    </row>
    <row r="107" spans="1:13" s="10" customFormat="1">
      <c r="A107"/>
      <c r="B107"/>
      <c r="C107" s="8"/>
      <c r="D107" s="8"/>
      <c r="E107" s="9"/>
    </row>
    <row r="108" spans="1:13" s="10" customFormat="1">
      <c r="A108"/>
      <c r="B108"/>
      <c r="C108" s="8"/>
      <c r="D108" s="8"/>
      <c r="E108" s="9"/>
    </row>
    <row r="109" spans="1:13" s="10" customFormat="1">
      <c r="A109"/>
      <c r="B109"/>
      <c r="C109" s="8"/>
      <c r="D109" s="8"/>
      <c r="E109" s="9"/>
    </row>
    <row r="110" spans="1:13" s="10" customFormat="1">
      <c r="A110"/>
      <c r="B110"/>
      <c r="C110" s="8"/>
      <c r="D110" s="8"/>
      <c r="E110" s="9"/>
    </row>
    <row r="111" spans="1:13" s="10" customFormat="1">
      <c r="A111"/>
      <c r="B111"/>
      <c r="C111" s="8"/>
      <c r="D111" s="8"/>
      <c r="E111" s="9"/>
    </row>
    <row r="112" spans="1:13" s="10" customFormat="1">
      <c r="A112"/>
      <c r="B112"/>
      <c r="C112" s="8"/>
      <c r="D112" s="8"/>
      <c r="E112" s="9"/>
    </row>
    <row r="113" spans="1:13" s="10" customFormat="1">
      <c r="A113"/>
      <c r="B113"/>
      <c r="C113" s="8"/>
      <c r="D113" s="8"/>
      <c r="E113" s="9"/>
    </row>
    <row r="114" spans="1:13" s="10" customFormat="1">
      <c r="A114"/>
      <c r="B114"/>
      <c r="C114" s="8"/>
      <c r="D114" s="8"/>
      <c r="E114" s="9"/>
    </row>
    <row r="115" spans="1:13" s="10" customFormat="1">
      <c r="A115"/>
      <c r="B115"/>
      <c r="C115" s="8"/>
      <c r="D115" s="8"/>
      <c r="E115" s="9"/>
    </row>
    <row r="116" spans="1:13" s="10" customFormat="1">
      <c r="A116"/>
      <c r="B116"/>
      <c r="C116" s="8"/>
      <c r="D116" s="8"/>
      <c r="E116" s="9"/>
    </row>
    <row r="117" spans="1:13" s="10" customFormat="1">
      <c r="A117"/>
      <c r="B117"/>
      <c r="C117" s="8"/>
      <c r="D117" s="8"/>
      <c r="E117" s="9"/>
    </row>
    <row r="118" spans="1:13" s="10" customFormat="1">
      <c r="A118"/>
      <c r="B118"/>
      <c r="C118" s="8"/>
      <c r="D118" s="8"/>
      <c r="E118" s="9"/>
    </row>
    <row r="119" spans="1:13" s="10" customFormat="1">
      <c r="A119"/>
      <c r="B119"/>
      <c r="C119" s="8"/>
      <c r="D119" s="8"/>
      <c r="E119" s="9"/>
    </row>
    <row r="120" spans="1:13" s="10" customFormat="1">
      <c r="A120"/>
      <c r="B120"/>
      <c r="C120" s="8"/>
      <c r="D120" s="8"/>
      <c r="E120" s="9"/>
    </row>
    <row r="121" spans="1:13" s="10" customFormat="1">
      <c r="A121"/>
      <c r="B121"/>
      <c r="C121" s="8"/>
      <c r="D121" s="8"/>
      <c r="E121" s="9"/>
    </row>
    <row r="122" spans="1:13" s="10" customFormat="1">
      <c r="C122" s="8"/>
      <c r="D122" s="8"/>
      <c r="E122" s="9"/>
    </row>
    <row r="123" spans="1:13" s="10" customFormat="1">
      <c r="C123" s="8"/>
      <c r="D123" s="8"/>
      <c r="E123" s="9"/>
    </row>
    <row r="124" spans="1:13" s="10" customFormat="1">
      <c r="C124" s="8"/>
      <c r="D124" s="8"/>
      <c r="E124" s="9"/>
    </row>
    <row r="125" spans="1:13" s="10" customFormat="1">
      <c r="C125" s="8"/>
      <c r="D125" s="8"/>
      <c r="E125" s="9"/>
    </row>
    <row r="126" spans="1:13" s="10" customFormat="1">
      <c r="C126" s="8"/>
      <c r="D126" s="8"/>
      <c r="E126" s="9"/>
    </row>
    <row r="127" spans="1:13" s="10" customFormat="1">
      <c r="C127" s="8"/>
      <c r="D127" s="8"/>
      <c r="E127" s="9"/>
    </row>
    <row r="128" spans="1:13" s="10" customFormat="1">
      <c r="C128" s="8"/>
      <c r="D128" s="8"/>
      <c r="E128" s="9"/>
    </row>
    <row r="129" spans="3:5" s="10" customFormat="1">
      <c r="C129" s="8"/>
      <c r="D129" s="8"/>
      <c r="E129" s="9"/>
    </row>
    <row r="130" spans="3:5" s="10" customFormat="1">
      <c r="C130" s="8"/>
      <c r="D130" s="8"/>
      <c r="E130" s="9"/>
    </row>
    <row r="131" spans="3:5" s="10" customFormat="1">
      <c r="C131" s="8"/>
      <c r="D131" s="8"/>
      <c r="E131" s="9"/>
    </row>
    <row r="132" spans="3:5" s="10" customFormat="1">
      <c r="C132" s="8"/>
      <c r="D132" s="8"/>
      <c r="E132" s="9"/>
    </row>
    <row r="133" spans="3:5" s="10" customFormat="1">
      <c r="C133" s="8"/>
      <c r="D133" s="8"/>
      <c r="E133" s="9"/>
    </row>
    <row r="134" spans="3:5" s="10" customFormat="1">
      <c r="C134" s="8"/>
      <c r="D134" s="8"/>
      <c r="E134" s="9"/>
    </row>
    <row r="135" spans="3:5" s="10" customFormat="1">
      <c r="C135" s="8"/>
      <c r="D135" s="8"/>
      <c r="E135" s="9"/>
    </row>
    <row r="136" spans="3:5" s="10" customFormat="1">
      <c r="C136" s="8"/>
      <c r="D136" s="8"/>
      <c r="E136" s="9"/>
    </row>
    <row r="137" spans="3:5" s="10" customFormat="1">
      <c r="C137" s="8"/>
      <c r="D137" s="8"/>
      <c r="E137" s="9"/>
    </row>
    <row r="138" spans="3:5" s="10" customFormat="1">
      <c r="C138" s="8"/>
      <c r="D138" s="8"/>
      <c r="E138" s="9"/>
    </row>
    <row r="139" spans="3:5" s="10" customFormat="1">
      <c r="C139" s="8"/>
      <c r="D139" s="8"/>
      <c r="E139" s="9"/>
    </row>
    <row r="140" spans="3:5" s="10" customFormat="1">
      <c r="C140" s="8"/>
      <c r="D140" s="8"/>
      <c r="E140" s="9"/>
    </row>
    <row r="141" spans="3:5" s="10" customFormat="1">
      <c r="C141" s="8"/>
      <c r="D141" s="8"/>
      <c r="E141" s="9"/>
    </row>
    <row r="142" spans="3:5" s="10" customFormat="1">
      <c r="C142" s="8"/>
      <c r="D142" s="8"/>
      <c r="E142" s="9"/>
    </row>
    <row r="143" spans="3:5" s="10" customFormat="1">
      <c r="C143" s="8"/>
      <c r="D143" s="8"/>
      <c r="E143" s="9"/>
    </row>
    <row r="144" spans="3:5" s="10" customFormat="1">
      <c r="C144" s="8"/>
      <c r="D144" s="8"/>
      <c r="E144" s="9"/>
    </row>
    <row r="145" spans="3:5" s="10" customFormat="1">
      <c r="C145" s="8"/>
      <c r="D145" s="8"/>
      <c r="E145" s="9"/>
    </row>
    <row r="146" spans="3:5" s="10" customFormat="1">
      <c r="C146" s="8"/>
      <c r="D146" s="8"/>
      <c r="E146" s="9"/>
    </row>
    <row r="147" spans="3:5" s="10" customFormat="1">
      <c r="C147" s="8"/>
      <c r="D147" s="8"/>
      <c r="E147" s="9"/>
    </row>
    <row r="148" spans="3:5" s="10" customFormat="1">
      <c r="C148" s="8"/>
      <c r="D148" s="8"/>
      <c r="E148" s="9"/>
    </row>
    <row r="149" spans="3:5" s="10" customFormat="1">
      <c r="C149" s="8"/>
      <c r="D149" s="8"/>
      <c r="E149" s="9"/>
    </row>
    <row r="150" spans="3:5" s="10" customFormat="1">
      <c r="C150" s="8"/>
      <c r="D150" s="8"/>
      <c r="E150" s="9"/>
    </row>
    <row r="151" spans="3:5" s="10" customFormat="1">
      <c r="C151" s="8"/>
      <c r="D151" s="8"/>
      <c r="E151" s="9"/>
    </row>
    <row r="152" spans="3:5" s="10" customFormat="1">
      <c r="C152" s="8"/>
      <c r="D152" s="8"/>
      <c r="E152" s="9"/>
    </row>
    <row r="153" spans="3:5" s="10" customFormat="1">
      <c r="C153" s="8"/>
      <c r="D153" s="8"/>
      <c r="E153" s="9"/>
    </row>
    <row r="154" spans="3:5" s="10" customFormat="1">
      <c r="C154" s="8"/>
      <c r="D154" s="8"/>
      <c r="E154" s="9"/>
    </row>
    <row r="155" spans="3:5" s="10" customFormat="1">
      <c r="C155" s="8"/>
      <c r="D155" s="8"/>
      <c r="E155" s="9"/>
    </row>
    <row r="156" spans="3:5" s="10" customFormat="1">
      <c r="C156" s="8"/>
      <c r="D156" s="8"/>
      <c r="E156" s="9"/>
    </row>
    <row r="157" spans="3:5" s="10" customFormat="1">
      <c r="C157" s="8"/>
      <c r="D157" s="8"/>
      <c r="E157" s="9"/>
    </row>
    <row r="158" spans="3:5" s="10" customFormat="1">
      <c r="C158" s="8"/>
      <c r="D158" s="8"/>
      <c r="E158" s="9"/>
    </row>
    <row r="159" spans="3:5" s="10" customFormat="1">
      <c r="C159" s="8"/>
      <c r="D159" s="8"/>
      <c r="E159" s="9"/>
    </row>
    <row r="160" spans="3:5" s="10" customFormat="1">
      <c r="C160" s="8"/>
      <c r="D160" s="8"/>
      <c r="E160" s="9"/>
    </row>
    <row r="161" spans="3:5" s="10" customFormat="1">
      <c r="C161" s="8"/>
      <c r="D161" s="8"/>
      <c r="E161" s="9"/>
    </row>
    <row r="162" spans="3:5" s="10" customFormat="1">
      <c r="C162" s="8"/>
      <c r="D162" s="8"/>
      <c r="E162" s="9"/>
    </row>
    <row r="163" spans="3:5" s="10" customFormat="1">
      <c r="C163" s="8"/>
      <c r="D163" s="8"/>
      <c r="E163" s="9"/>
    </row>
    <row r="164" spans="3:5" s="10" customFormat="1">
      <c r="C164" s="8"/>
      <c r="D164" s="8"/>
      <c r="E164" s="9"/>
    </row>
    <row r="165" spans="3:5" s="10" customFormat="1">
      <c r="C165" s="8"/>
      <c r="D165" s="8"/>
      <c r="E165" s="9"/>
    </row>
    <row r="166" spans="3:5" s="10" customFormat="1">
      <c r="C166" s="8"/>
      <c r="D166" s="8"/>
      <c r="E166" s="9"/>
    </row>
    <row r="167" spans="3:5" s="10" customFormat="1">
      <c r="C167" s="8"/>
      <c r="D167" s="8"/>
      <c r="E167" s="9"/>
    </row>
    <row r="168" spans="3:5" s="10" customFormat="1">
      <c r="C168" s="8"/>
      <c r="D168" s="8"/>
      <c r="E168" s="9"/>
    </row>
    <row r="169" spans="3:5" s="10" customFormat="1">
      <c r="C169" s="8"/>
      <c r="D169" s="8"/>
      <c r="E169" s="9"/>
    </row>
    <row r="170" spans="3:5" s="10" customFormat="1">
      <c r="C170" s="8"/>
      <c r="D170" s="8"/>
      <c r="E170" s="9"/>
    </row>
    <row r="171" spans="3:5" s="10" customFormat="1">
      <c r="C171" s="8"/>
      <c r="D171" s="8"/>
      <c r="E171" s="9"/>
    </row>
    <row r="172" spans="3:5" s="10" customFormat="1">
      <c r="C172" s="8"/>
      <c r="D172" s="8"/>
      <c r="E172" s="9"/>
    </row>
    <row r="173" spans="3:5" s="10" customFormat="1">
      <c r="C173" s="8"/>
      <c r="D173" s="8"/>
      <c r="E173" s="9"/>
    </row>
    <row r="174" spans="3:5" s="10" customFormat="1">
      <c r="C174" s="8"/>
      <c r="D174" s="8"/>
      <c r="E174" s="9"/>
    </row>
    <row r="175" spans="3:5" s="10" customFormat="1">
      <c r="C175" s="8"/>
      <c r="D175" s="8"/>
      <c r="E175" s="9"/>
    </row>
    <row r="176" spans="3:5" s="10" customFormat="1">
      <c r="C176" s="8"/>
      <c r="D176" s="8"/>
      <c r="E176" s="9"/>
    </row>
    <row r="177" spans="3:5" s="10" customFormat="1">
      <c r="C177" s="8"/>
      <c r="D177" s="8"/>
      <c r="E177" s="9"/>
    </row>
    <row r="178" spans="3:5" s="10" customFormat="1">
      <c r="C178" s="8"/>
      <c r="D178" s="8"/>
      <c r="E178" s="9"/>
    </row>
    <row r="179" spans="3:5" s="10" customFormat="1">
      <c r="C179" s="8"/>
      <c r="D179" s="8"/>
      <c r="E179" s="9"/>
    </row>
    <row r="180" spans="3:5" s="10" customFormat="1">
      <c r="C180" s="8"/>
      <c r="D180" s="8"/>
      <c r="E180" s="9"/>
    </row>
    <row r="181" spans="3:5" s="10" customFormat="1">
      <c r="C181" s="8"/>
      <c r="D181" s="8"/>
      <c r="E181" s="9"/>
    </row>
    <row r="182" spans="3:5" s="10" customFormat="1">
      <c r="C182" s="8"/>
      <c r="D182" s="8"/>
      <c r="E182" s="9"/>
    </row>
    <row r="183" spans="3:5" s="10" customFormat="1">
      <c r="C183" s="8"/>
      <c r="D183" s="8"/>
      <c r="E183" s="9"/>
    </row>
    <row r="184" spans="3:5" s="10" customFormat="1">
      <c r="C184" s="8"/>
      <c r="D184" s="8"/>
      <c r="E184" s="9"/>
    </row>
    <row r="185" spans="3:5" s="10" customFormat="1">
      <c r="C185" s="8"/>
      <c r="D185" s="8"/>
      <c r="E185" s="9"/>
    </row>
    <row r="186" spans="3:5" s="10" customFormat="1">
      <c r="C186" s="8"/>
      <c r="D186" s="8"/>
      <c r="E186" s="9"/>
    </row>
    <row r="187" spans="3:5" s="10" customFormat="1">
      <c r="C187" s="8"/>
      <c r="D187" s="8"/>
      <c r="E187" s="9"/>
    </row>
    <row r="188" spans="3:5" s="10" customFormat="1">
      <c r="C188" s="8"/>
      <c r="D188" s="8"/>
      <c r="E188" s="9"/>
    </row>
    <row r="189" spans="3:5" s="10" customFormat="1">
      <c r="C189" s="8"/>
      <c r="D189" s="8"/>
      <c r="E189" s="9"/>
    </row>
    <row r="190" spans="3:5" s="10" customFormat="1">
      <c r="C190" s="8"/>
      <c r="D190" s="8"/>
      <c r="E190" s="9"/>
    </row>
    <row r="191" spans="3:5" s="10" customFormat="1">
      <c r="C191" s="8"/>
      <c r="D191" s="8"/>
      <c r="E191" s="9"/>
    </row>
    <row r="192" spans="3:5" s="10" customFormat="1">
      <c r="C192" s="8"/>
      <c r="D192" s="8"/>
      <c r="E192" s="9"/>
    </row>
    <row r="193" spans="3:5" s="10" customFormat="1">
      <c r="C193" s="8"/>
      <c r="D193" s="8"/>
      <c r="E193" s="9"/>
    </row>
    <row r="194" spans="3:5" s="10" customFormat="1">
      <c r="C194" s="8"/>
      <c r="D194" s="8"/>
      <c r="E194" s="9"/>
    </row>
    <row r="195" spans="3:5" s="10" customFormat="1">
      <c r="C195" s="8"/>
      <c r="D195" s="8"/>
      <c r="E195" s="9"/>
    </row>
    <row r="196" spans="3:5" s="10" customFormat="1">
      <c r="C196" s="8"/>
      <c r="D196" s="8"/>
      <c r="E196" s="9"/>
    </row>
    <row r="197" spans="3:5" s="10" customFormat="1">
      <c r="C197" s="8"/>
      <c r="D197" s="8"/>
      <c r="E197" s="9"/>
    </row>
    <row r="198" spans="3:5" s="10" customFormat="1">
      <c r="C198" s="8"/>
      <c r="D198" s="8"/>
      <c r="E198" s="9"/>
    </row>
    <row r="199" spans="3:5" s="10" customFormat="1">
      <c r="C199" s="8"/>
      <c r="D199" s="8"/>
      <c r="E199" s="9"/>
    </row>
    <row r="200" spans="3:5" s="10" customFormat="1">
      <c r="C200" s="8"/>
      <c r="D200" s="8"/>
      <c r="E200" s="9"/>
    </row>
    <row r="201" spans="3:5" s="10" customFormat="1">
      <c r="C201" s="8"/>
      <c r="D201" s="8"/>
      <c r="E201" s="9"/>
    </row>
    <row r="202" spans="3:5" s="10" customFormat="1">
      <c r="C202" s="8"/>
      <c r="D202" s="8"/>
      <c r="E202" s="9"/>
    </row>
    <row r="203" spans="3:5" s="10" customFormat="1">
      <c r="C203" s="8"/>
      <c r="D203" s="8"/>
      <c r="E203" s="9"/>
    </row>
    <row r="204" spans="3:5" s="10" customFormat="1">
      <c r="C204" s="8"/>
      <c r="D204" s="8"/>
      <c r="E204" s="9"/>
    </row>
    <row r="205" spans="3:5" s="10" customFormat="1">
      <c r="C205" s="8"/>
      <c r="D205" s="8"/>
      <c r="E205" s="9"/>
    </row>
    <row r="206" spans="3:5" s="10" customFormat="1">
      <c r="C206" s="8"/>
      <c r="D206" s="8"/>
      <c r="E206" s="9"/>
    </row>
    <row r="207" spans="3:5" s="10" customFormat="1">
      <c r="C207" s="8"/>
      <c r="D207" s="8"/>
      <c r="E207" s="9"/>
    </row>
    <row r="208" spans="3:5" s="10" customFormat="1">
      <c r="C208" s="8"/>
      <c r="D208" s="8"/>
      <c r="E208" s="9"/>
    </row>
    <row r="209" spans="3:5" s="10" customFormat="1">
      <c r="C209" s="8"/>
      <c r="D209" s="8"/>
      <c r="E209" s="9"/>
    </row>
    <row r="210" spans="3:5" s="10" customFormat="1">
      <c r="C210" s="8"/>
      <c r="D210" s="8"/>
      <c r="E210" s="9"/>
    </row>
    <row r="211" spans="3:5" s="10" customFormat="1">
      <c r="C211" s="8"/>
      <c r="D211" s="8"/>
      <c r="E211" s="9"/>
    </row>
    <row r="212" spans="3:5" s="10" customFormat="1">
      <c r="C212" s="8"/>
      <c r="D212" s="8"/>
      <c r="E212" s="9"/>
    </row>
    <row r="213" spans="3:5" s="10" customFormat="1">
      <c r="C213" s="8"/>
      <c r="D213" s="8"/>
      <c r="E213" s="9"/>
    </row>
    <row r="214" spans="3:5" s="10" customFormat="1">
      <c r="C214" s="8"/>
      <c r="D214" s="8"/>
      <c r="E214" s="9"/>
    </row>
    <row r="215" spans="3:5" s="10" customFormat="1">
      <c r="C215" s="8"/>
      <c r="D215" s="8"/>
      <c r="E215" s="9"/>
    </row>
    <row r="216" spans="3:5" s="10" customFormat="1">
      <c r="C216" s="8"/>
      <c r="D216" s="8"/>
      <c r="E216" s="9"/>
    </row>
    <row r="217" spans="3:5" s="10" customFormat="1">
      <c r="C217" s="8"/>
      <c r="D217" s="8"/>
      <c r="E217" s="9"/>
    </row>
    <row r="218" spans="3:5" s="10" customFormat="1">
      <c r="C218" s="8"/>
      <c r="D218" s="8"/>
      <c r="E218" s="9"/>
    </row>
    <row r="219" spans="3:5" s="10" customFormat="1">
      <c r="C219" s="8"/>
      <c r="D219" s="8"/>
      <c r="E219" s="9"/>
    </row>
    <row r="220" spans="3:5" s="10" customFormat="1">
      <c r="C220" s="8"/>
      <c r="D220" s="8"/>
      <c r="E220" s="9"/>
    </row>
    <row r="221" spans="3:5" s="10" customFormat="1">
      <c r="C221" s="8"/>
      <c r="D221" s="8"/>
      <c r="E221" s="9"/>
    </row>
    <row r="222" spans="3:5" s="10" customFormat="1">
      <c r="C222" s="8"/>
      <c r="D222" s="8"/>
      <c r="E222" s="9"/>
    </row>
    <row r="223" spans="3:5" s="10" customFormat="1">
      <c r="C223" s="8"/>
      <c r="D223" s="8"/>
      <c r="E223" s="9"/>
    </row>
    <row r="224" spans="3:5" s="10" customFormat="1">
      <c r="C224" s="8"/>
      <c r="D224" s="8"/>
      <c r="E224" s="9"/>
    </row>
    <row r="225" spans="3:5" s="10" customFormat="1">
      <c r="C225" s="8"/>
      <c r="D225" s="8"/>
      <c r="E225" s="9"/>
    </row>
    <row r="226" spans="3:5" s="10" customFormat="1">
      <c r="C226" s="8"/>
      <c r="D226" s="8"/>
      <c r="E226" s="9"/>
    </row>
    <row r="227" spans="3:5" s="10" customFormat="1">
      <c r="C227" s="8"/>
      <c r="D227" s="8"/>
      <c r="E227" s="9"/>
    </row>
    <row r="228" spans="3:5" s="10" customFormat="1">
      <c r="C228" s="8"/>
      <c r="D228" s="8"/>
      <c r="E228" s="9"/>
    </row>
    <row r="229" spans="3:5" s="10" customFormat="1">
      <c r="C229" s="8"/>
      <c r="D229" s="8"/>
      <c r="E229" s="9"/>
    </row>
    <row r="230" spans="3:5" s="10" customFormat="1">
      <c r="C230" s="8"/>
      <c r="D230" s="8"/>
      <c r="E230" s="9"/>
    </row>
    <row r="231" spans="3:5" s="10" customFormat="1">
      <c r="C231" s="8"/>
      <c r="D231" s="8"/>
      <c r="E231" s="9"/>
    </row>
    <row r="232" spans="3:5" s="10" customFormat="1">
      <c r="C232" s="8"/>
      <c r="D232" s="8"/>
      <c r="E232" s="9"/>
    </row>
    <row r="233" spans="3:5" s="10" customFormat="1">
      <c r="C233" s="8"/>
      <c r="D233" s="8"/>
      <c r="E233" s="9"/>
    </row>
    <row r="234" spans="3:5" s="10" customFormat="1">
      <c r="C234" s="8"/>
      <c r="D234" s="8"/>
      <c r="E234" s="9"/>
    </row>
    <row r="235" spans="3:5" s="10" customFormat="1">
      <c r="C235" s="8"/>
      <c r="D235" s="8"/>
      <c r="E235" s="9"/>
    </row>
    <row r="236" spans="3:5" s="10" customFormat="1">
      <c r="C236" s="8"/>
      <c r="D236" s="8"/>
      <c r="E236" s="9"/>
    </row>
    <row r="237" spans="3:5" s="10" customFormat="1">
      <c r="C237" s="8"/>
      <c r="D237" s="8"/>
      <c r="E237" s="9"/>
    </row>
    <row r="238" spans="3:5" s="10" customFormat="1">
      <c r="C238" s="8"/>
      <c r="D238" s="8"/>
      <c r="E238" s="9"/>
    </row>
    <row r="239" spans="3:5" s="10" customFormat="1">
      <c r="C239" s="8"/>
      <c r="D239" s="8"/>
      <c r="E239" s="9"/>
    </row>
    <row r="240" spans="3:5" s="10" customFormat="1">
      <c r="C240" s="8"/>
      <c r="D240" s="8"/>
      <c r="E240" s="9"/>
    </row>
    <row r="241" spans="3:12" s="10" customFormat="1">
      <c r="C241" s="8"/>
      <c r="D241" s="8"/>
    </row>
    <row r="242" spans="3:12" s="10" customFormat="1">
      <c r="C242" s="8"/>
      <c r="D242" s="8"/>
    </row>
    <row r="243" spans="3:12" s="10" customFormat="1">
      <c r="C243" s="8"/>
      <c r="D243" s="8"/>
      <c r="E243" s="9"/>
    </row>
    <row r="244" spans="3:12" s="10" customFormat="1">
      <c r="C244" s="8"/>
      <c r="D244" s="8"/>
    </row>
    <row r="245" spans="3:12" s="10" customFormat="1">
      <c r="C245" s="8"/>
      <c r="D245" s="8"/>
    </row>
    <row r="246" spans="3:12" s="10" customFormat="1">
      <c r="C246" s="8"/>
      <c r="D246" s="8"/>
      <c r="K246" s="6"/>
      <c r="L246" s="6"/>
    </row>
    <row r="247" spans="3:12" s="10" customFormat="1">
      <c r="C247" s="8"/>
      <c r="D247" s="8"/>
      <c r="K247" s="6"/>
      <c r="L247" s="6"/>
    </row>
    <row r="248" spans="3:12" s="10" customFormat="1">
      <c r="C248" s="8"/>
      <c r="D248" s="8"/>
    </row>
    <row r="249" spans="3:12" s="10" customFormat="1">
      <c r="C249" s="8"/>
      <c r="D249" s="8"/>
    </row>
    <row r="292" spans="1:13" s="10" customFormat="1">
      <c r="A292"/>
      <c r="B292"/>
      <c r="C292" s="8"/>
      <c r="D292" s="8"/>
    </row>
    <row r="293" spans="1:13" s="10" customFormat="1">
      <c r="A293"/>
      <c r="B293"/>
      <c r="C293" s="8"/>
      <c r="D293" s="8"/>
    </row>
    <row r="294" spans="1:13" s="10" customFormat="1">
      <c r="A294"/>
      <c r="B294"/>
      <c r="C294" s="8"/>
      <c r="D294" s="8"/>
    </row>
    <row r="295" spans="1:13" s="10" customFormat="1">
      <c r="A295"/>
      <c r="B295"/>
      <c r="C295" s="8"/>
      <c r="D295" s="8"/>
    </row>
    <row r="296" spans="1:13" s="10" customFormat="1">
      <c r="A296"/>
      <c r="B296"/>
      <c r="C296" s="8"/>
      <c r="D296" s="8"/>
    </row>
    <row r="297" spans="1:13" s="10" customFormat="1">
      <c r="A297"/>
      <c r="B297"/>
      <c r="C297" s="8"/>
      <c r="D297" s="8"/>
    </row>
    <row r="298" spans="1:13" s="10" customFormat="1">
      <c r="A298"/>
      <c r="B298"/>
      <c r="C298" s="8"/>
      <c r="D298" s="8"/>
    </row>
    <row r="299" spans="1:13" s="10" customFormat="1">
      <c r="A299"/>
      <c r="B299"/>
      <c r="C299" s="8"/>
      <c r="D299" s="8"/>
      <c r="K299" s="8"/>
      <c r="L299" s="8"/>
      <c r="M299"/>
    </row>
    <row r="300" spans="1:13" s="10" customFormat="1">
      <c r="A300"/>
      <c r="B300"/>
      <c r="C300" s="8"/>
      <c r="D300" s="8"/>
      <c r="K300" s="8"/>
      <c r="L300" s="8"/>
      <c r="M300"/>
    </row>
    <row r="301" spans="1:13" s="10" customFormat="1">
      <c r="A301"/>
      <c r="B301"/>
      <c r="C301" s="8"/>
      <c r="D301" s="8"/>
      <c r="K301" s="8"/>
      <c r="L301" s="8"/>
      <c r="M301"/>
    </row>
    <row r="302" spans="1:13" s="10" customFormat="1">
      <c r="A302"/>
      <c r="B302"/>
      <c r="C302" s="8"/>
      <c r="D302" s="8"/>
      <c r="K302" s="6"/>
      <c r="L302" s="6"/>
      <c r="M302"/>
    </row>
    <row r="303" spans="1:13" s="10" customFormat="1">
      <c r="A303"/>
      <c r="B303"/>
      <c r="C303" s="8"/>
      <c r="D303" s="8"/>
      <c r="K303" s="6"/>
      <c r="L303" s="6"/>
      <c r="M303"/>
    </row>
    <row r="304" spans="1:13" s="10" customFormat="1">
      <c r="C304" s="8"/>
      <c r="D304" s="8"/>
      <c r="K304" s="6"/>
      <c r="L304" s="6"/>
    </row>
    <row r="305" spans="3:12" s="10" customFormat="1">
      <c r="C305" s="8"/>
      <c r="D305" s="8"/>
      <c r="K305" s="8"/>
      <c r="L305" s="8"/>
    </row>
    <row r="306" spans="3:12" s="10" customFormat="1">
      <c r="C306" s="8"/>
      <c r="D306" s="8"/>
      <c r="K306" s="8"/>
      <c r="L306" s="8"/>
    </row>
    <row r="307" spans="3:12" s="10" customFormat="1">
      <c r="C307" s="8"/>
      <c r="D307" s="8"/>
      <c r="K307" s="8"/>
      <c r="L307" s="8"/>
    </row>
    <row r="308" spans="3:12" s="10" customFormat="1">
      <c r="C308" s="8"/>
      <c r="D308" s="8"/>
      <c r="K308" s="8"/>
      <c r="L308" s="8"/>
    </row>
    <row r="309" spans="3:12" s="10" customFormat="1">
      <c r="C309" s="8"/>
      <c r="D309" s="8"/>
      <c r="K309" s="8"/>
      <c r="L309" s="8"/>
    </row>
    <row r="310" spans="3:12" s="10" customFormat="1">
      <c r="C310" s="8"/>
      <c r="D310" s="8"/>
      <c r="K310" s="8"/>
      <c r="L310" s="8"/>
    </row>
    <row r="311" spans="3:12" s="10" customFormat="1">
      <c r="C311" s="8"/>
      <c r="D311" s="8"/>
      <c r="K311" s="8"/>
      <c r="L311" s="8"/>
    </row>
    <row r="312" spans="3:12" s="10" customFormat="1">
      <c r="C312" s="8"/>
      <c r="D312" s="8"/>
      <c r="K312" s="8"/>
      <c r="L312" s="8"/>
    </row>
    <row r="313" spans="3:12" s="10" customFormat="1">
      <c r="C313" s="8"/>
      <c r="D313" s="8"/>
    </row>
    <row r="314" spans="3:12" s="10" customFormat="1">
      <c r="C314" s="8"/>
      <c r="D314" s="8"/>
      <c r="K314" s="8"/>
      <c r="L314" s="8"/>
    </row>
    <row r="315" spans="3:12" s="10" customFormat="1">
      <c r="C315" s="8"/>
      <c r="D315" s="8"/>
    </row>
    <row r="316" spans="3:12" s="10" customFormat="1">
      <c r="C316" s="8"/>
      <c r="D316" s="8"/>
    </row>
    <row r="317" spans="3:12" s="10" customFormat="1">
      <c r="C317" s="8"/>
      <c r="D317" s="8"/>
    </row>
    <row r="319" spans="3:12" s="10" customFormat="1">
      <c r="C319" s="8"/>
      <c r="D319" s="8"/>
    </row>
  </sheetData>
  <autoFilter ref="$C$4:$L$743"/>
  <mergeCells>
    <mergeCell ref="C1:J1"/>
    <mergeCell ref="C2:E2"/>
    <mergeCell ref="F2:H2"/>
    <mergeCell ref="I2:J2"/>
    <mergeCell ref="A1:B3"/>
    <mergeCell ref="A5:A11"/>
  </mergeCells>
  <conditionalFormatting sqref="M5:M11">
    <cfRule type="expression" priority="60" stopIfTrue="1" dxfId="60">
      <formula>#REF!=TRUE</formula>
    </cfRule>
  </conditionalFormatting>
  <conditionalFormatting sqref="M5:M11">
    <cfRule type="cellIs" operator="equal" priority="57" stopIfTrue="1" dxfId="65">
      <formula>"alto"</formula>
    </cfRule>
    <cfRule type="cellIs" operator="equal" priority="58" stopIfTrue="1" dxfId="66">
      <formula>"medio"</formula>
    </cfRule>
    <cfRule type="cellIs" operator="equal" priority="59" stopIfTrue="1" dxfId="67">
      <formula>"basso"</formula>
    </cfRule>
  </conditionalFormatting>
  <conditionalFormatting sqref="M5:M11">
    <cfRule type="expression" priority="56" stopIfTrue="1" dxfId="68">
      <formula>NOT(ISERROR(SEARCH("basso",M5)))</formula>
    </cfRule>
  </conditionalFormatting>
  <conditionalFormatting sqref="L5:L11">
    <cfRule type="expression" priority="51" stopIfTrue="1" dxfId="68">
      <formula>NOT(ISERROR(SEARCH("basso",L5)))</formula>
    </cfRule>
  </conditionalFormatting>
  <conditionalFormatting sqref="L5:L11">
    <cfRule type="expression" priority="55" stopIfTrue="1" dxfId="60">
      <formula>#REF!=TRUE</formula>
    </cfRule>
  </conditionalFormatting>
  <conditionalFormatting sqref="L5:L11">
    <cfRule type="cellIs" operator="equal" priority="52" stopIfTrue="1" dxfId="65">
      <formula>"alto"</formula>
    </cfRule>
    <cfRule type="cellIs" operator="equal" priority="53" stopIfTrue="1" dxfId="66">
      <formula>"medio"</formula>
    </cfRule>
    <cfRule type="cellIs" operator="equal" priority="54" stopIfTrue="1" dxfId="67">
      <formula>"basso"</formula>
    </cfRule>
  </conditionalFormatting>
  <pageMargins header="0.314961" footer="0.314961" left="0.314961" right="0.314961" top="0.354331" bottom="0.354331"/>
  <pageSetup paperSize="9" firstPageNumber="1" scale="90" fitToWidth="1" fitToHeight="1" orientation="landscape" horizontalDpi="600" verticalDpi="600"/>
  <headerFooter differentFirst="0" differentOddEven="0">
    <oddHeader/>
    <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http://schemas.microsoft.com/office/spreadsheetml/2009/9/main" xmlns:x14ac="http://schemas.microsoft.com/office/spreadsheetml/2009/9/ac" mc:Ignorable="x14ac">
  <sheetPr/>
  <dimension ref="A1:T336"/>
  <sheetViews>
    <sheetView topLeftCell="B1" workbookViewId="0">
      <pane xSplit="1" ySplit="4" topLeftCell="C47" activePane="bottomRight" state="frozen"/>
      <selection activeCell="B1" sqref="B1"/>
      <selection pane="topRight" activeCell="C1" sqref="C1"/>
      <selection pane="bottomLeft" activeCell="B5" sqref="B5"/>
      <selection pane="bottomRight" activeCell="O54" sqref="O54"/>
    </sheetView>
  </sheetViews>
  <sheetFormatPr defaultRowHeight="15" customHeight="1" baseColWidth="8"/>
  <cols>
    <col width="25.1406" customWidth="1" min="1" max="1"/>
    <col width="34.4258" customWidth="1" min="2" max="2" bestFit="1"/>
    <col width="16.5703" customWidth="1" min="3" max="3"/>
    <col width="5.71094" customWidth="1" min="4" max="10" style="10"/>
    <col width="6.57031" customWidth="1" min="11" max="11" style="10"/>
    <col width="7.14062" customWidth="1" min="12" max="12" style="10"/>
    <col width="17.5703" customWidth="1" min="13" max="13" style="10"/>
    <col width="29.1406" customWidth="1" min="14" max="15"/>
    <col width="8.85547" customWidth="1" min="16" max="16"/>
    <col width="25.2852" customWidth="1" min="17" max="17"/>
    <col width="35" customWidth="1" min="18" max="18"/>
  </cols>
  <sheetData>
    <row r="1" spans="1:20" ht="15" customHeight="1">
      <c r="A1" s="81" t="s">
        <v>1</v>
      </c>
      <c r="B1" s="81"/>
      <c r="C1" s="61"/>
      <c r="D1" s="75" t="s">
        <v>4</v>
      </c>
      <c r="E1" s="76"/>
      <c r="F1" s="76"/>
      <c r="G1" s="76"/>
      <c r="H1" s="76"/>
      <c r="I1" s="76"/>
      <c r="J1" s="76"/>
      <c r="K1" s="76"/>
      <c r="L1" s="62"/>
      <c r="M1" s="63"/>
    </row>
    <row r="2" spans="1:20" ht="15" customHeight="1">
      <c r="A2" s="81"/>
      <c r="B2" s="81"/>
      <c r="C2" s="59"/>
      <c r="D2" s="84" t="s">
        <v>16</v>
      </c>
      <c r="E2" s="85"/>
      <c r="F2" s="85"/>
      <c r="G2" s="85"/>
      <c r="H2" s="85"/>
      <c r="I2" s="85"/>
      <c r="J2" s="86"/>
      <c r="K2" s="60" t="s">
        <v>17</v>
      </c>
      <c r="L2" s="63"/>
      <c r="M2" s="63"/>
    </row>
    <row r="3" spans="1:20" ht="11.45" customHeight="1">
      <c r="A3" s="81"/>
      <c r="B3" s="81"/>
      <c r="C3" s="59"/>
      <c r="D3" s="22">
        <v>3</v>
      </c>
      <c r="E3" s="22">
        <v>2</v>
      </c>
      <c r="F3" s="22">
        <v>1</v>
      </c>
      <c r="G3" s="22">
        <v>3</v>
      </c>
      <c r="H3" s="22">
        <v>2</v>
      </c>
      <c r="I3" s="22">
        <v>3</v>
      </c>
      <c r="J3" s="22">
        <v>2</v>
      </c>
      <c r="K3" s="23">
        <v>3</v>
      </c>
      <c r="L3" s="64"/>
      <c r="M3" s="65"/>
      <c r="N3" s="14"/>
    </row>
    <row r="4" spans="1:20" s="3" customFormat="1" ht="132.75" customHeight="1">
      <c r="A4" s="47" t="s">
        <v>12</v>
      </c>
      <c r="B4" s="66"/>
      <c r="C4" s="67" t="s">
        <v>122</v>
      </c>
      <c r="D4" s="68" t="s">
        <v>70</v>
      </c>
      <c r="E4" s="26" t="s">
        <v>71</v>
      </c>
      <c r="F4" s="26" t="s">
        <v>72</v>
      </c>
      <c r="G4" s="26" t="s">
        <v>73</v>
      </c>
      <c r="H4" s="26" t="s">
        <v>74</v>
      </c>
      <c r="I4" s="27" t="s">
        <v>10</v>
      </c>
      <c r="J4" s="28" t="s">
        <v>6</v>
      </c>
      <c r="K4" s="29" t="s">
        <v>8</v>
      </c>
      <c r="L4" s="31" t="s">
        <v>11</v>
      </c>
      <c r="M4" s="69" t="s">
        <v>124</v>
      </c>
      <c r="N4" s="33" t="s">
        <v>2</v>
      </c>
    </row>
    <row r="5" spans="1:20" s="12" customFormat="1">
      <c r="A5" s="82" t="s">
        <v>75</v>
      </c>
      <c r="B5" s="94" t="s">
        <v>76</v>
      </c>
      <c r="C5" s="70" t="s">
        <v>77</v>
      </c>
      <c r="D5" s="11">
        <v>1</v>
      </c>
      <c r="E5" s="11">
        <v>1</v>
      </c>
      <c r="F5" s="11">
        <v>1</v>
      </c>
      <c r="G5" s="11">
        <v>1</v>
      </c>
      <c r="H5" s="11">
        <v>1</v>
      </c>
      <c r="I5" s="11">
        <v>1</v>
      </c>
      <c r="J5" s="11">
        <v>1</v>
      </c>
      <c r="K5" s="11">
        <v>3</v>
      </c>
      <c r="L5" s="71">
        <f>((D5*$D$3)+(E5*$E$3)+(F5*$F$3)+(G5*$G$3)+(H5*$H$3)+(I5*$I$3)+(J5*$J$3)+(K5*$K$3))/8</f>
        <v>3.125</v>
      </c>
      <c r="M5" t="str" s="72">
        <f>IF(AND(L5&gt;2.3799999999999999,L5&lt;=3),"BIENNALE",IF(AND(L5&gt;3,L5&lt;=3.6000000000000001),"1/ANNO",IF(AND(L5&gt;3.6000000000000001,L5&lt;=4),"2/ANNO",IF(AND(L5&gt;4,L5&lt;=4.7999999999999998),"3/ANNO",IF(L5&gt;4.7999999999999998,"4/ANNO","?")))))</f>
        <v>1/ANNO</v>
      </c>
      <c r="N5" s="53" t="s">
        <v>133</v>
      </c>
    </row>
    <row r="6" spans="1:20" s="12" customFormat="1">
      <c r="A6" s="83"/>
      <c r="B6" s="94" t="s">
        <v>78</v>
      </c>
      <c r="C6" s="70" t="s">
        <v>77</v>
      </c>
      <c r="D6" s="11">
        <v>1</v>
      </c>
      <c r="E6" s="11">
        <v>1</v>
      </c>
      <c r="F6" s="11">
        <v>1</v>
      </c>
      <c r="G6" s="11">
        <v>1</v>
      </c>
      <c r="H6" s="11">
        <v>1</v>
      </c>
      <c r="I6" s="11">
        <v>1</v>
      </c>
      <c r="J6" s="11">
        <v>1</v>
      </c>
      <c r="K6" s="11">
        <v>3</v>
      </c>
      <c r="L6" s="71">
        <f ref="L6:L57" t="shared" si="0">((D6*$D$3)+(E6*$E$3)+(F6*$F$3)+(G6*$G$3)+(H6*$H$3)+(I6*$I$3)+(J6*$J$3)+(K6*$K$3))/8</f>
        <v>3.125</v>
      </c>
      <c r="M6" t="str" s="72">
        <f ref="M6:M57" t="shared" si="1">IF(AND(L6&gt;2.3799999999999999,L6&lt;=3),"BIENNALE",IF(AND(L6&gt;3,L6&lt;=3.6000000000000001),"1/ANNO",IF(AND(L6&gt;3.6000000000000001,L6&lt;=4),"2/ANNO",IF(AND(L6&gt;4,L6&lt;=4.7999999999999998),"3/ANNO",IF(L6&gt;4.7999999999999998,"4/ANNO","?")))))</f>
        <v>1/ANNO</v>
      </c>
      <c r="N6" s="53" t="s">
        <v>133</v>
      </c>
    </row>
    <row r="7" spans="1:20" s="12" customFormat="1">
      <c r="A7" s="83"/>
      <c r="B7" s="94" t="s">
        <v>79</v>
      </c>
      <c r="C7" s="70" t="s">
        <v>77</v>
      </c>
      <c r="D7" s="11">
        <v>1</v>
      </c>
      <c r="E7" s="11">
        <v>1</v>
      </c>
      <c r="F7" s="11">
        <v>1</v>
      </c>
      <c r="G7" s="11">
        <v>1</v>
      </c>
      <c r="H7" s="11">
        <v>1</v>
      </c>
      <c r="I7" s="11">
        <v>1</v>
      </c>
      <c r="J7" s="11">
        <v>1</v>
      </c>
      <c r="K7" s="11">
        <v>3</v>
      </c>
      <c r="L7" s="71">
        <f t="shared" si="0"/>
        <v>3.125</v>
      </c>
      <c r="M7" t="str" s="72">
        <f t="shared" si="1"/>
        <v>1/ANNO</v>
      </c>
      <c r="N7" s="53" t="s">
        <v>133</v>
      </c>
      <c r="P7" s="73"/>
      <c r="Q7" s="73"/>
      <c r="R7" s="73"/>
      <c r="S7" s="73"/>
      <c r="T7" s="73"/>
    </row>
    <row r="8" spans="1:20" s="12" customFormat="1">
      <c r="A8" s="83"/>
      <c r="B8" s="94" t="s">
        <v>130</v>
      </c>
      <c r="C8" s="70" t="s">
        <v>77</v>
      </c>
      <c r="D8" s="11">
        <v>1</v>
      </c>
      <c r="E8" s="11">
        <v>1</v>
      </c>
      <c r="F8" s="11">
        <v>1</v>
      </c>
      <c r="G8" s="11">
        <v>1</v>
      </c>
      <c r="H8" s="11">
        <v>1</v>
      </c>
      <c r="I8" s="11">
        <v>1</v>
      </c>
      <c r="J8" s="11">
        <v>1</v>
      </c>
      <c r="K8" s="11">
        <v>3</v>
      </c>
      <c r="L8" s="71">
        <f t="shared" si="0"/>
        <v>3.125</v>
      </c>
      <c r="M8" t="str" s="72">
        <f t="shared" si="1"/>
        <v>1/ANNO</v>
      </c>
      <c r="N8" s="53" t="s">
        <v>133</v>
      </c>
      <c r="P8" s="73"/>
      <c r="Q8" s="73"/>
      <c r="R8" s="73"/>
      <c r="S8" s="73"/>
      <c r="T8" s="73"/>
    </row>
    <row r="9" spans="1:20" s="12" customFormat="1">
      <c r="A9" s="83"/>
      <c r="B9" s="94" t="s">
        <v>131</v>
      </c>
      <c r="C9" s="70" t="s">
        <v>77</v>
      </c>
      <c r="D9" s="11">
        <v>1</v>
      </c>
      <c r="E9" s="11">
        <v>1</v>
      </c>
      <c r="F9" s="11">
        <v>1</v>
      </c>
      <c r="G9" s="11">
        <v>1</v>
      </c>
      <c r="H9" s="11">
        <v>1</v>
      </c>
      <c r="I9" s="11">
        <v>1</v>
      </c>
      <c r="J9" s="11">
        <v>1</v>
      </c>
      <c r="K9" s="11">
        <v>3</v>
      </c>
      <c r="L9" s="71">
        <f t="shared" si="0"/>
        <v>3.125</v>
      </c>
      <c r="M9" t="str" s="72">
        <f t="shared" si="1"/>
        <v>1/ANNO</v>
      </c>
      <c r="N9" s="53" t="s">
        <v>133</v>
      </c>
      <c r="P9" s="73"/>
      <c r="Q9" s="73"/>
      <c r="R9" s="73"/>
      <c r="S9" s="73"/>
      <c r="T9" s="73"/>
    </row>
    <row r="10" spans="1:20" s="12" customFormat="1">
      <c r="A10" s="83"/>
      <c r="B10" s="94" t="s">
        <v>132</v>
      </c>
      <c r="C10" s="70" t="s">
        <v>77</v>
      </c>
      <c r="D10" s="11">
        <v>1</v>
      </c>
      <c r="E10" s="11">
        <v>1</v>
      </c>
      <c r="F10" s="11">
        <v>1</v>
      </c>
      <c r="G10" s="11">
        <v>1</v>
      </c>
      <c r="H10" s="11">
        <v>1</v>
      </c>
      <c r="I10" s="11">
        <v>1</v>
      </c>
      <c r="J10" s="11">
        <v>1</v>
      </c>
      <c r="K10" s="11">
        <v>3</v>
      </c>
      <c r="L10" s="71">
        <f t="shared" si="0"/>
        <v>3.125</v>
      </c>
      <c r="M10" t="str" s="72">
        <f t="shared" si="1"/>
        <v>1/ANNO</v>
      </c>
      <c r="N10" s="53" t="s">
        <v>133</v>
      </c>
      <c r="P10" s="73"/>
      <c r="Q10" s="73"/>
      <c r="R10" s="73"/>
      <c r="S10" s="73"/>
      <c r="T10" s="73"/>
    </row>
    <row r="11" spans="1:20" s="12" customFormat="1">
      <c r="A11" s="83"/>
      <c r="B11" s="94" t="s">
        <v>80</v>
      </c>
      <c r="C11" s="70" t="s">
        <v>77</v>
      </c>
      <c r="D11" s="11">
        <v>1</v>
      </c>
      <c r="E11" s="11">
        <v>1</v>
      </c>
      <c r="F11" s="11">
        <v>1</v>
      </c>
      <c r="G11" s="11">
        <v>1</v>
      </c>
      <c r="H11" s="11">
        <v>1</v>
      </c>
      <c r="I11" s="11">
        <v>1</v>
      </c>
      <c r="J11" s="11">
        <v>1</v>
      </c>
      <c r="K11" s="11">
        <v>3</v>
      </c>
      <c r="L11" s="71">
        <f t="shared" si="0"/>
        <v>3.125</v>
      </c>
      <c r="M11" t="str" s="72">
        <f t="shared" si="1"/>
        <v>1/ANNO</v>
      </c>
      <c r="N11" s="53" t="s">
        <v>133</v>
      </c>
      <c r="P11" s="73"/>
      <c r="Q11" s="73"/>
      <c r="R11" s="73"/>
      <c r="S11" s="73"/>
      <c r="T11" s="73"/>
    </row>
    <row r="12" spans="1:20" s="12" customFormat="1">
      <c r="A12" s="83"/>
      <c r="B12" s="94" t="s">
        <v>81</v>
      </c>
      <c r="C12" s="70" t="s">
        <v>77</v>
      </c>
      <c r="D12" s="11">
        <v>1</v>
      </c>
      <c r="E12" s="11">
        <v>1</v>
      </c>
      <c r="F12" s="11">
        <v>1</v>
      </c>
      <c r="G12" s="11">
        <v>1</v>
      </c>
      <c r="H12" s="11">
        <v>1</v>
      </c>
      <c r="I12" s="11">
        <v>1</v>
      </c>
      <c r="J12" s="11">
        <v>1</v>
      </c>
      <c r="K12" s="11">
        <v>3</v>
      </c>
      <c r="L12" s="71">
        <f t="shared" si="0"/>
        <v>3.125</v>
      </c>
      <c r="M12" t="str" s="72">
        <f t="shared" si="1"/>
        <v>1/ANNO</v>
      </c>
      <c r="N12" s="53" t="s">
        <v>133</v>
      </c>
      <c r="P12" s="73"/>
      <c r="Q12" s="73"/>
      <c r="R12" s="73"/>
      <c r="S12" s="73"/>
      <c r="T12" s="73"/>
    </row>
    <row r="13" spans="1:20" s="10" customFormat="1">
      <c r="A13" s="83"/>
      <c r="B13" s="94" t="s">
        <v>82</v>
      </c>
      <c r="C13" s="70" t="s">
        <v>77</v>
      </c>
      <c r="D13" s="11">
        <v>1</v>
      </c>
      <c r="E13" s="11">
        <v>1</v>
      </c>
      <c r="F13" s="11">
        <v>1</v>
      </c>
      <c r="G13" s="11">
        <v>2</v>
      </c>
      <c r="H13" s="11">
        <v>1</v>
      </c>
      <c r="I13" s="11">
        <v>1</v>
      </c>
      <c r="J13" s="11">
        <v>1</v>
      </c>
      <c r="K13" s="11">
        <v>3</v>
      </c>
      <c r="L13" s="71">
        <f t="shared" si="0"/>
        <v>3.5</v>
      </c>
      <c r="M13" t="str" s="72">
        <f t="shared" si="1"/>
        <v>1/ANNO</v>
      </c>
      <c r="N13" s="53" t="s">
        <v>133</v>
      </c>
      <c r="O13" s="87"/>
      <c r="P13" s="73"/>
      <c r="Q13" s="73"/>
      <c r="R13" s="73"/>
    </row>
    <row r="14" spans="1:20" s="10" customFormat="1">
      <c r="A14" s="83"/>
      <c r="B14" s="94" t="s">
        <v>83</v>
      </c>
      <c r="C14" s="70" t="s">
        <v>77</v>
      </c>
      <c r="D14" s="11">
        <v>1</v>
      </c>
      <c r="E14" s="11">
        <v>1</v>
      </c>
      <c r="F14" s="11">
        <v>1</v>
      </c>
      <c r="G14" s="11">
        <v>2</v>
      </c>
      <c r="H14" s="11">
        <v>1</v>
      </c>
      <c r="I14" s="11">
        <v>1</v>
      </c>
      <c r="J14" s="11">
        <v>1</v>
      </c>
      <c r="K14" s="11">
        <v>3</v>
      </c>
      <c r="L14" s="71">
        <f t="shared" si="0"/>
        <v>3.5</v>
      </c>
      <c r="M14" t="str" s="72">
        <f t="shared" si="1"/>
        <v>1/ANNO</v>
      </c>
      <c r="N14" s="53" t="s">
        <v>133</v>
      </c>
      <c r="O14" s="88"/>
      <c r="P14" s="73"/>
      <c r="Q14" s="73"/>
      <c r="R14" s="73"/>
    </row>
    <row r="15" spans="1:20" s="10" customFormat="1">
      <c r="A15" s="83"/>
      <c r="B15" s="94" t="s">
        <v>84</v>
      </c>
      <c r="C15" s="70" t="s">
        <v>77</v>
      </c>
      <c r="D15" s="11">
        <v>1</v>
      </c>
      <c r="E15" s="11">
        <v>1</v>
      </c>
      <c r="F15" s="11">
        <v>1</v>
      </c>
      <c r="G15" s="11">
        <v>2</v>
      </c>
      <c r="H15" s="11">
        <v>1</v>
      </c>
      <c r="I15" s="11">
        <v>1</v>
      </c>
      <c r="J15" s="11">
        <v>1</v>
      </c>
      <c r="K15" s="11">
        <v>3</v>
      </c>
      <c r="L15" s="71">
        <f t="shared" si="0"/>
        <v>3.5</v>
      </c>
      <c r="M15" t="str" s="72">
        <f t="shared" si="1"/>
        <v>1/ANNO</v>
      </c>
      <c r="N15" s="53" t="s">
        <v>133</v>
      </c>
      <c r="O15" s="18"/>
      <c r="P15" s="73"/>
      <c r="Q15" s="73"/>
      <c r="R15" s="73"/>
    </row>
    <row r="16" spans="1:20" s="10" customFormat="1">
      <c r="A16" s="83"/>
      <c r="B16" s="94" t="s">
        <v>85</v>
      </c>
      <c r="C16" s="70" t="s">
        <v>77</v>
      </c>
      <c r="D16" s="11">
        <v>1</v>
      </c>
      <c r="E16" s="11">
        <v>1</v>
      </c>
      <c r="F16" s="11">
        <v>1</v>
      </c>
      <c r="G16" s="11">
        <v>2</v>
      </c>
      <c r="H16" s="11">
        <v>1</v>
      </c>
      <c r="I16" s="11">
        <v>1</v>
      </c>
      <c r="J16" s="11">
        <v>1</v>
      </c>
      <c r="K16" s="11">
        <v>3</v>
      </c>
      <c r="L16" s="71">
        <f t="shared" si="0"/>
        <v>3.5</v>
      </c>
      <c r="M16" t="str" s="72">
        <f t="shared" si="1"/>
        <v>1/ANNO</v>
      </c>
      <c r="N16" s="53" t="s">
        <v>133</v>
      </c>
      <c r="O16" s="18"/>
      <c r="P16" s="73"/>
      <c r="Q16" s="73"/>
      <c r="R16" s="73"/>
    </row>
    <row r="17" spans="1:18" s="10" customFormat="1">
      <c r="A17" s="83"/>
      <c r="B17" s="94" t="s">
        <v>86</v>
      </c>
      <c r="C17" s="70" t="s">
        <v>77</v>
      </c>
      <c r="D17" s="11">
        <v>1</v>
      </c>
      <c r="E17" s="11">
        <v>1</v>
      </c>
      <c r="F17" s="11">
        <v>1</v>
      </c>
      <c r="G17" s="11">
        <v>2</v>
      </c>
      <c r="H17" s="11">
        <v>1</v>
      </c>
      <c r="I17" s="11">
        <v>1</v>
      </c>
      <c r="J17" s="11">
        <v>1</v>
      </c>
      <c r="K17" s="11">
        <v>3</v>
      </c>
      <c r="L17" s="71">
        <f t="shared" si="0"/>
        <v>3.5</v>
      </c>
      <c r="M17" t="str" s="72">
        <f t="shared" si="1"/>
        <v>1/ANNO</v>
      </c>
      <c r="N17" s="53" t="s">
        <v>133</v>
      </c>
      <c r="O17" s="18"/>
      <c r="Q17" s="74"/>
      <c r="R17" s="74"/>
    </row>
    <row r="18" spans="1:18" s="10" customFormat="1">
      <c r="A18" s="83"/>
      <c r="B18" s="94" t="s">
        <v>87</v>
      </c>
      <c r="C18" s="70" t="s">
        <v>77</v>
      </c>
      <c r="D18" s="11">
        <v>1</v>
      </c>
      <c r="E18" s="11">
        <v>1</v>
      </c>
      <c r="F18" s="11">
        <v>1</v>
      </c>
      <c r="G18" s="11">
        <v>2</v>
      </c>
      <c r="H18" s="11">
        <v>1</v>
      </c>
      <c r="I18" s="11">
        <v>1</v>
      </c>
      <c r="J18" s="11">
        <v>1</v>
      </c>
      <c r="K18" s="11">
        <v>3</v>
      </c>
      <c r="L18" s="71">
        <f t="shared" si="0"/>
        <v>3.5</v>
      </c>
      <c r="M18" t="str" s="72">
        <f t="shared" si="1"/>
        <v>1/ANNO</v>
      </c>
      <c r="N18" s="53" t="s">
        <v>133</v>
      </c>
      <c r="O18" s="18"/>
      <c r="Q18" s="74"/>
      <c r="R18" s="74"/>
    </row>
    <row r="19" spans="1:18" s="10" customFormat="1" hidden="1">
      <c r="A19" s="83"/>
      <c r="B19" s="66" t="s">
        <v>88</v>
      </c>
      <c r="C19" s="70" t="s">
        <v>77</v>
      </c>
      <c r="D19" s="11">
        <v>1</v>
      </c>
      <c r="E19" s="11">
        <v>1</v>
      </c>
      <c r="F19" s="11">
        <v>1</v>
      </c>
      <c r="G19" s="11">
        <v>2</v>
      </c>
      <c r="H19" s="11">
        <v>1</v>
      </c>
      <c r="I19" s="11">
        <v>1</v>
      </c>
      <c r="J19" s="11">
        <v>1</v>
      </c>
      <c r="K19" s="11">
        <v>3</v>
      </c>
      <c r="L19" s="71">
        <f t="shared" si="0"/>
        <v>3.5</v>
      </c>
      <c r="M19" t="str" s="72">
        <f t="shared" si="1"/>
        <v>1/ANNO</v>
      </c>
      <c r="N19" s="53" t="s">
        <v>133</v>
      </c>
    </row>
    <row r="20" spans="1:18" s="10" customFormat="1">
      <c r="A20" s="83"/>
      <c r="B20" s="94" t="s">
        <v>89</v>
      </c>
      <c r="C20" s="70" t="s">
        <v>77</v>
      </c>
      <c r="D20" s="11">
        <v>1</v>
      </c>
      <c r="E20" s="11">
        <v>1</v>
      </c>
      <c r="F20" s="11">
        <v>1</v>
      </c>
      <c r="G20" s="11">
        <v>2</v>
      </c>
      <c r="H20" s="11">
        <v>1</v>
      </c>
      <c r="I20" s="11">
        <v>1</v>
      </c>
      <c r="J20" s="11">
        <v>1</v>
      </c>
      <c r="K20" s="11">
        <v>3</v>
      </c>
      <c r="L20" s="71">
        <f t="shared" si="0"/>
        <v>3.5</v>
      </c>
      <c r="M20" t="str" s="72">
        <f t="shared" si="1"/>
        <v>1/ANNO</v>
      </c>
      <c r="N20" s="53" t="s">
        <v>133</v>
      </c>
    </row>
    <row r="21" spans="1:18" s="10" customFormat="1" hidden="1">
      <c r="A21" s="83"/>
      <c r="B21" s="66" t="s">
        <v>90</v>
      </c>
      <c r="C21" s="70" t="s">
        <v>77</v>
      </c>
      <c r="D21" s="11">
        <v>1</v>
      </c>
      <c r="E21" s="11">
        <v>1</v>
      </c>
      <c r="F21" s="11">
        <v>1</v>
      </c>
      <c r="G21" s="11">
        <v>2</v>
      </c>
      <c r="H21" s="11">
        <v>1</v>
      </c>
      <c r="I21" s="11">
        <v>1</v>
      </c>
      <c r="J21" s="11">
        <v>1</v>
      </c>
      <c r="K21" s="11">
        <v>3</v>
      </c>
      <c r="L21" s="71">
        <f t="shared" si="0"/>
        <v>3.5</v>
      </c>
      <c r="M21" t="str" s="72">
        <f t="shared" si="1"/>
        <v>1/ANNO</v>
      </c>
      <c r="N21" s="53" t="s">
        <v>133</v>
      </c>
    </row>
    <row r="22" spans="1:18" s="10" customFormat="1">
      <c r="A22" s="83"/>
      <c r="B22" s="94" t="s">
        <v>91</v>
      </c>
      <c r="C22" s="70" t="s">
        <v>77</v>
      </c>
      <c r="D22" s="11">
        <v>1</v>
      </c>
      <c r="E22" s="11">
        <v>1</v>
      </c>
      <c r="F22" s="11">
        <v>1</v>
      </c>
      <c r="G22" s="11">
        <v>2</v>
      </c>
      <c r="H22" s="11">
        <v>1</v>
      </c>
      <c r="I22" s="11">
        <v>1</v>
      </c>
      <c r="J22" s="11">
        <v>1</v>
      </c>
      <c r="K22" s="11">
        <v>3</v>
      </c>
      <c r="L22" s="71">
        <f t="shared" si="0"/>
        <v>3.5</v>
      </c>
      <c r="M22" t="str" s="72">
        <f t="shared" si="1"/>
        <v>1/ANNO</v>
      </c>
      <c r="N22" s="53" t="s">
        <v>133</v>
      </c>
    </row>
    <row r="23" spans="1:18" s="10" customFormat="1" hidden="1">
      <c r="A23" s="83"/>
      <c r="B23" s="66" t="s">
        <v>92</v>
      </c>
      <c r="C23" s="70" t="s">
        <v>77</v>
      </c>
      <c r="D23" s="11">
        <v>1</v>
      </c>
      <c r="E23" s="11">
        <v>1</v>
      </c>
      <c r="F23" s="11">
        <v>1</v>
      </c>
      <c r="G23" s="11">
        <v>1</v>
      </c>
      <c r="H23" s="11">
        <v>1</v>
      </c>
      <c r="I23" s="11">
        <v>1</v>
      </c>
      <c r="J23" s="11">
        <v>1</v>
      </c>
      <c r="K23" s="11">
        <v>3</v>
      </c>
      <c r="L23" s="71">
        <f t="shared" si="0"/>
        <v>3.125</v>
      </c>
      <c r="M23" t="str" s="72">
        <f t="shared" si="1"/>
        <v>1/ANNO</v>
      </c>
      <c r="N23" s="53" t="s">
        <v>133</v>
      </c>
    </row>
    <row r="24" spans="1:18" s="10" customFormat="1">
      <c r="A24" s="83"/>
      <c r="B24" s="94" t="s">
        <v>93</v>
      </c>
      <c r="C24" s="70" t="s">
        <v>77</v>
      </c>
      <c r="D24" s="11">
        <v>1</v>
      </c>
      <c r="E24" s="11">
        <v>1</v>
      </c>
      <c r="F24" s="11">
        <v>1</v>
      </c>
      <c r="G24" s="11">
        <v>1</v>
      </c>
      <c r="H24" s="11">
        <v>1</v>
      </c>
      <c r="I24" s="11">
        <v>1</v>
      </c>
      <c r="J24" s="11">
        <v>1</v>
      </c>
      <c r="K24" s="11">
        <v>3</v>
      </c>
      <c r="L24" s="71">
        <f t="shared" si="0"/>
        <v>3.125</v>
      </c>
      <c r="M24" t="str" s="72">
        <f t="shared" si="1"/>
        <v>1/ANNO</v>
      </c>
      <c r="N24" s="53" t="s">
        <v>133</v>
      </c>
    </row>
    <row r="25" spans="1:18" s="10" customFormat="1" hidden="1">
      <c r="A25" s="83"/>
      <c r="B25" s="66" t="s">
        <v>94</v>
      </c>
      <c r="C25" s="70" t="s">
        <v>77</v>
      </c>
      <c r="D25" s="11">
        <v>1</v>
      </c>
      <c r="E25" s="11">
        <v>1</v>
      </c>
      <c r="F25" s="11">
        <v>1</v>
      </c>
      <c r="G25" s="11">
        <v>1</v>
      </c>
      <c r="H25" s="11">
        <v>1</v>
      </c>
      <c r="I25" s="11">
        <v>1</v>
      </c>
      <c r="J25" s="11">
        <v>1</v>
      </c>
      <c r="K25" s="11">
        <v>3</v>
      </c>
      <c r="L25" s="71">
        <f t="shared" si="0"/>
        <v>3.125</v>
      </c>
      <c r="M25" t="str" s="72">
        <f t="shared" si="1"/>
        <v>1/ANNO</v>
      </c>
      <c r="N25" s="53" t="s">
        <v>133</v>
      </c>
    </row>
    <row r="26" spans="1:18" s="10" customFormat="1" hidden="1">
      <c r="A26" s="83"/>
      <c r="B26" s="66" t="s">
        <v>95</v>
      </c>
      <c r="C26" s="70" t="s">
        <v>77</v>
      </c>
      <c r="D26" s="11">
        <v>1</v>
      </c>
      <c r="E26" s="11">
        <v>1</v>
      </c>
      <c r="F26" s="11">
        <v>1</v>
      </c>
      <c r="G26" s="11">
        <v>1</v>
      </c>
      <c r="H26" s="11">
        <v>1</v>
      </c>
      <c r="I26" s="11">
        <v>1</v>
      </c>
      <c r="J26" s="11">
        <v>1</v>
      </c>
      <c r="K26" s="11">
        <v>3</v>
      </c>
      <c r="L26" s="71">
        <f t="shared" si="0"/>
        <v>3.125</v>
      </c>
      <c r="M26" t="str" s="72">
        <f t="shared" si="1"/>
        <v>1/ANNO</v>
      </c>
      <c r="N26" s="53" t="s">
        <v>133</v>
      </c>
    </row>
    <row r="27" spans="1:18" s="10" customFormat="1" hidden="1">
      <c r="A27" s="83"/>
      <c r="B27" s="66" t="s">
        <v>96</v>
      </c>
      <c r="C27" s="70" t="s">
        <v>77</v>
      </c>
      <c r="D27" s="11">
        <v>1</v>
      </c>
      <c r="E27" s="11">
        <v>1</v>
      </c>
      <c r="F27" s="11">
        <v>1</v>
      </c>
      <c r="G27" s="11">
        <v>1</v>
      </c>
      <c r="H27" s="11">
        <v>1</v>
      </c>
      <c r="I27" s="11">
        <v>1</v>
      </c>
      <c r="J27" s="11">
        <v>1</v>
      </c>
      <c r="K27" s="11">
        <v>3</v>
      </c>
      <c r="L27" s="71">
        <f t="shared" si="0"/>
        <v>3.125</v>
      </c>
      <c r="M27" t="str" s="72">
        <f t="shared" si="1"/>
        <v>1/ANNO</v>
      </c>
      <c r="N27" s="53" t="s">
        <v>133</v>
      </c>
    </row>
    <row r="28" spans="1:18" s="10" customFormat="1">
      <c r="A28" s="83"/>
      <c r="B28" s="94" t="s">
        <v>97</v>
      </c>
      <c r="C28" s="70" t="s">
        <v>77</v>
      </c>
      <c r="D28" s="11">
        <v>1</v>
      </c>
      <c r="E28" s="11">
        <v>1</v>
      </c>
      <c r="F28" s="11">
        <v>1</v>
      </c>
      <c r="G28" s="11">
        <v>1</v>
      </c>
      <c r="H28" s="11">
        <v>1</v>
      </c>
      <c r="I28" s="11">
        <v>1</v>
      </c>
      <c r="J28" s="11">
        <v>1</v>
      </c>
      <c r="K28" s="11">
        <v>3</v>
      </c>
      <c r="L28" s="71">
        <f t="shared" si="0"/>
        <v>3.125</v>
      </c>
      <c r="M28" t="str" s="72">
        <f t="shared" si="1"/>
        <v>1/ANNO</v>
      </c>
      <c r="N28" s="53" t="s">
        <v>133</v>
      </c>
    </row>
    <row r="29" spans="1:18" s="10" customFormat="1">
      <c r="A29" s="83"/>
      <c r="B29" s="94" t="s">
        <v>98</v>
      </c>
      <c r="C29" s="70" t="s">
        <v>77</v>
      </c>
      <c r="D29" s="11">
        <v>1</v>
      </c>
      <c r="E29" s="11">
        <v>1</v>
      </c>
      <c r="F29" s="11">
        <v>1</v>
      </c>
      <c r="G29" s="11">
        <v>2</v>
      </c>
      <c r="H29" s="11">
        <v>1</v>
      </c>
      <c r="I29" s="11">
        <v>1</v>
      </c>
      <c r="J29" s="11">
        <v>1</v>
      </c>
      <c r="K29" s="11">
        <v>3</v>
      </c>
      <c r="L29" s="71">
        <f t="shared" si="0"/>
        <v>3.5</v>
      </c>
      <c r="M29" t="str" s="72">
        <f t="shared" si="1"/>
        <v>1/ANNO</v>
      </c>
      <c r="N29" s="53" t="s">
        <v>133</v>
      </c>
    </row>
    <row r="30" spans="1:18" s="10" customFormat="1">
      <c r="A30" s="83"/>
      <c r="B30" s="94" t="s">
        <v>99</v>
      </c>
      <c r="C30" s="70" t="s">
        <v>77</v>
      </c>
      <c r="D30" s="11">
        <v>1</v>
      </c>
      <c r="E30" s="11">
        <v>1</v>
      </c>
      <c r="F30" s="11">
        <v>1</v>
      </c>
      <c r="G30" s="11">
        <v>2</v>
      </c>
      <c r="H30" s="11">
        <v>1</v>
      </c>
      <c r="I30" s="11">
        <v>1</v>
      </c>
      <c r="J30" s="11">
        <v>1</v>
      </c>
      <c r="K30" s="11">
        <v>3</v>
      </c>
      <c r="L30" s="71">
        <f t="shared" si="0"/>
        <v>3.5</v>
      </c>
      <c r="M30" t="str" s="72">
        <f t="shared" si="1"/>
        <v>1/ANNO</v>
      </c>
      <c r="N30" s="53" t="s">
        <v>133</v>
      </c>
    </row>
    <row r="31" spans="1:18" s="10" customFormat="1">
      <c r="A31" s="83"/>
      <c r="B31" s="94" t="s">
        <v>100</v>
      </c>
      <c r="C31" s="70" t="s">
        <v>77</v>
      </c>
      <c r="D31" s="11">
        <v>1</v>
      </c>
      <c r="E31" s="11">
        <v>1</v>
      </c>
      <c r="F31" s="11">
        <v>1</v>
      </c>
      <c r="G31" s="11">
        <v>1</v>
      </c>
      <c r="H31" s="11">
        <v>1</v>
      </c>
      <c r="I31" s="11">
        <v>1</v>
      </c>
      <c r="J31" s="11">
        <v>1</v>
      </c>
      <c r="K31" s="11">
        <v>3</v>
      </c>
      <c r="L31" s="71">
        <f t="shared" si="0"/>
        <v>3.125</v>
      </c>
      <c r="M31" t="str" s="72">
        <f t="shared" si="1"/>
        <v>1/ANNO</v>
      </c>
      <c r="N31" s="53" t="s">
        <v>133</v>
      </c>
    </row>
    <row r="32" spans="1:18" s="10" customFormat="1">
      <c r="A32" s="83"/>
      <c r="B32" s="94" t="s">
        <v>101</v>
      </c>
      <c r="C32" s="70" t="s">
        <v>77</v>
      </c>
      <c r="D32" s="11">
        <v>1</v>
      </c>
      <c r="E32" s="11">
        <v>1</v>
      </c>
      <c r="F32" s="11">
        <v>1</v>
      </c>
      <c r="G32" s="11">
        <v>1</v>
      </c>
      <c r="H32" s="11">
        <v>1</v>
      </c>
      <c r="I32" s="11">
        <v>1</v>
      </c>
      <c r="J32" s="11">
        <v>1</v>
      </c>
      <c r="K32" s="11">
        <v>3</v>
      </c>
      <c r="L32" s="71">
        <f t="shared" si="0"/>
        <v>3.125</v>
      </c>
      <c r="M32" t="str" s="72">
        <f t="shared" si="1"/>
        <v>1/ANNO</v>
      </c>
      <c r="N32" s="53" t="s">
        <v>133</v>
      </c>
    </row>
    <row r="33" spans="1:14" s="10" customFormat="1">
      <c r="A33" s="83"/>
      <c r="B33" s="94" t="s">
        <v>102</v>
      </c>
      <c r="C33" s="70" t="s">
        <v>77</v>
      </c>
      <c r="D33" s="11">
        <v>1</v>
      </c>
      <c r="E33" s="11">
        <v>1</v>
      </c>
      <c r="F33" s="11">
        <v>1</v>
      </c>
      <c r="G33" s="11">
        <v>1</v>
      </c>
      <c r="H33" s="11">
        <v>1</v>
      </c>
      <c r="I33" s="11">
        <v>1</v>
      </c>
      <c r="J33" s="11">
        <v>1</v>
      </c>
      <c r="K33" s="11">
        <v>3</v>
      </c>
      <c r="L33" s="71">
        <f t="shared" si="0"/>
        <v>3.125</v>
      </c>
      <c r="M33" t="str" s="72">
        <f t="shared" si="1"/>
        <v>1/ANNO</v>
      </c>
      <c r="N33" s="53" t="s">
        <v>133</v>
      </c>
    </row>
    <row r="34" spans="1:14" s="10" customFormat="1" hidden="1">
      <c r="A34" s="83"/>
      <c r="B34" s="66" t="s">
        <v>103</v>
      </c>
      <c r="C34" s="70" t="s">
        <v>77</v>
      </c>
      <c r="D34" s="11">
        <v>1</v>
      </c>
      <c r="E34" s="11">
        <v>1</v>
      </c>
      <c r="F34" s="11">
        <v>1</v>
      </c>
      <c r="G34" s="11">
        <v>1</v>
      </c>
      <c r="H34" s="11">
        <v>1</v>
      </c>
      <c r="I34" s="11">
        <v>1</v>
      </c>
      <c r="J34" s="11">
        <v>1</v>
      </c>
      <c r="K34" s="11">
        <v>3</v>
      </c>
      <c r="L34" s="71">
        <f t="shared" si="0"/>
        <v>3.125</v>
      </c>
      <c r="M34" t="str" s="72">
        <f t="shared" si="1"/>
        <v>1/ANNO</v>
      </c>
      <c r="N34" s="53" t="s">
        <v>133</v>
      </c>
    </row>
    <row r="35" spans="1:14" s="10" customFormat="1">
      <c r="A35" s="83"/>
      <c r="B35" s="94" t="s">
        <v>104</v>
      </c>
      <c r="C35" s="70" t="s">
        <v>77</v>
      </c>
      <c r="D35" s="11">
        <v>1</v>
      </c>
      <c r="E35" s="11">
        <v>1</v>
      </c>
      <c r="F35" s="11">
        <v>1</v>
      </c>
      <c r="G35" s="11">
        <v>1</v>
      </c>
      <c r="H35" s="11">
        <v>1</v>
      </c>
      <c r="I35" s="11">
        <v>1</v>
      </c>
      <c r="J35" s="11">
        <v>1</v>
      </c>
      <c r="K35" s="11">
        <v>3</v>
      </c>
      <c r="L35" s="71">
        <f t="shared" si="0"/>
        <v>3.125</v>
      </c>
      <c r="M35" t="str" s="72">
        <f t="shared" si="1"/>
        <v>1/ANNO</v>
      </c>
      <c r="N35" s="53" t="s">
        <v>133</v>
      </c>
    </row>
    <row r="36" spans="1:14" s="10" customFormat="1" hidden="1">
      <c r="A36" s="83"/>
      <c r="B36" s="66" t="s">
        <v>105</v>
      </c>
      <c r="C36" s="70" t="s">
        <v>77</v>
      </c>
      <c r="D36" s="11">
        <v>1</v>
      </c>
      <c r="E36" s="11">
        <v>1</v>
      </c>
      <c r="F36" s="11">
        <v>1</v>
      </c>
      <c r="G36" s="11">
        <v>1</v>
      </c>
      <c r="H36" s="11">
        <v>1</v>
      </c>
      <c r="I36" s="11">
        <v>1</v>
      </c>
      <c r="J36" s="11">
        <v>1</v>
      </c>
      <c r="K36" s="11">
        <v>3</v>
      </c>
      <c r="L36" s="71">
        <f t="shared" si="0"/>
        <v>3.125</v>
      </c>
      <c r="M36" t="str" s="72">
        <f t="shared" si="1"/>
        <v>1/ANNO</v>
      </c>
      <c r="N36" s="53" t="s">
        <v>133</v>
      </c>
    </row>
    <row r="37" spans="1:14" s="10" customFormat="1" hidden="1">
      <c r="A37" s="83"/>
      <c r="B37" s="66" t="s">
        <v>106</v>
      </c>
      <c r="C37" s="70" t="s">
        <v>77</v>
      </c>
      <c r="D37" s="11">
        <v>2</v>
      </c>
      <c r="E37" s="11">
        <v>1</v>
      </c>
      <c r="F37" s="11">
        <v>1</v>
      </c>
      <c r="G37" s="11">
        <v>1</v>
      </c>
      <c r="H37" s="11">
        <v>1</v>
      </c>
      <c r="I37" s="11">
        <v>1</v>
      </c>
      <c r="J37" s="11">
        <v>1</v>
      </c>
      <c r="K37" s="11">
        <v>3</v>
      </c>
      <c r="L37" s="71">
        <f t="shared" si="0"/>
        <v>3.5</v>
      </c>
      <c r="M37" t="str" s="72">
        <f t="shared" si="1"/>
        <v>1/ANNO</v>
      </c>
      <c r="N37" s="53" t="s">
        <v>133</v>
      </c>
    </row>
    <row r="38" spans="1:14" s="10" customFormat="1">
      <c r="A38" s="83"/>
      <c r="B38" s="94" t="s">
        <v>107</v>
      </c>
      <c r="C38" s="70" t="s">
        <v>77</v>
      </c>
      <c r="D38" s="11">
        <v>1</v>
      </c>
      <c r="E38" s="11">
        <v>1</v>
      </c>
      <c r="F38" s="11">
        <v>1</v>
      </c>
      <c r="G38" s="11">
        <v>2</v>
      </c>
      <c r="H38" s="11">
        <v>1</v>
      </c>
      <c r="I38" s="11">
        <v>1</v>
      </c>
      <c r="J38" s="11">
        <v>1</v>
      </c>
      <c r="K38" s="11">
        <v>3</v>
      </c>
      <c r="L38" s="71">
        <f t="shared" si="0"/>
        <v>3.5</v>
      </c>
      <c r="M38" t="str" s="72">
        <f t="shared" si="1"/>
        <v>1/ANNO</v>
      </c>
      <c r="N38" s="53" t="s">
        <v>133</v>
      </c>
    </row>
    <row r="39" spans="1:14" s="10" customFormat="1">
      <c r="A39" s="83"/>
      <c r="B39" s="94" t="s">
        <v>108</v>
      </c>
      <c r="C39" s="70" t="s">
        <v>77</v>
      </c>
      <c r="D39" s="11">
        <v>1</v>
      </c>
      <c r="E39" s="11">
        <v>1</v>
      </c>
      <c r="F39" s="11">
        <v>1</v>
      </c>
      <c r="G39" s="11">
        <v>2</v>
      </c>
      <c r="H39" s="11">
        <v>1</v>
      </c>
      <c r="I39" s="11">
        <v>1</v>
      </c>
      <c r="J39" s="11">
        <v>1</v>
      </c>
      <c r="K39" s="11">
        <v>3</v>
      </c>
      <c r="L39" s="71">
        <f t="shared" si="0"/>
        <v>3.5</v>
      </c>
      <c r="M39" t="str" s="72">
        <f t="shared" si="1"/>
        <v>1/ANNO</v>
      </c>
      <c r="N39" s="53" t="s">
        <v>133</v>
      </c>
    </row>
    <row r="40" spans="1:14" s="10" customFormat="1" hidden="1">
      <c r="A40" s="83"/>
      <c r="B40" s="66" t="s">
        <v>109</v>
      </c>
      <c r="C40" s="70" t="s">
        <v>77</v>
      </c>
      <c r="D40" s="11">
        <v>1</v>
      </c>
      <c r="E40" s="11">
        <v>1</v>
      </c>
      <c r="F40" s="11">
        <v>1</v>
      </c>
      <c r="G40" s="11">
        <v>1</v>
      </c>
      <c r="H40" s="11">
        <v>1</v>
      </c>
      <c r="I40" s="11">
        <v>1</v>
      </c>
      <c r="J40" s="11">
        <v>1</v>
      </c>
      <c r="K40" s="11">
        <v>3</v>
      </c>
      <c r="L40" s="71">
        <f t="shared" si="0"/>
        <v>3.125</v>
      </c>
      <c r="M40" t="str" s="72">
        <f t="shared" si="1"/>
        <v>1/ANNO</v>
      </c>
      <c r="N40" s="53" t="s">
        <v>133</v>
      </c>
    </row>
    <row r="41" spans="1:14" s="10" customFormat="1" hidden="1">
      <c r="A41" s="83"/>
      <c r="B41" s="66" t="s">
        <v>110</v>
      </c>
      <c r="C41" s="70" t="s">
        <v>77</v>
      </c>
      <c r="D41" s="11">
        <v>1</v>
      </c>
      <c r="E41" s="11">
        <v>1</v>
      </c>
      <c r="F41" s="11">
        <v>1</v>
      </c>
      <c r="G41" s="11">
        <v>1</v>
      </c>
      <c r="H41" s="11">
        <v>1</v>
      </c>
      <c r="I41" s="11">
        <v>1</v>
      </c>
      <c r="J41" s="11">
        <v>1</v>
      </c>
      <c r="K41" s="11">
        <v>3</v>
      </c>
      <c r="L41" s="71">
        <f t="shared" si="0"/>
        <v>3.125</v>
      </c>
      <c r="M41" t="str" s="72">
        <f t="shared" si="1"/>
        <v>1/ANNO</v>
      </c>
      <c r="N41" s="53" t="s">
        <v>133</v>
      </c>
    </row>
    <row r="42" spans="1:14" s="10" customFormat="1" hidden="1">
      <c r="A42" s="83"/>
      <c r="B42" s="66" t="s">
        <v>111</v>
      </c>
      <c r="C42" s="70" t="s">
        <v>77</v>
      </c>
      <c r="D42" s="11">
        <v>1</v>
      </c>
      <c r="E42" s="11">
        <v>1</v>
      </c>
      <c r="F42" s="11">
        <v>1</v>
      </c>
      <c r="G42" s="11">
        <v>1</v>
      </c>
      <c r="H42" s="11">
        <v>1</v>
      </c>
      <c r="I42" s="11">
        <v>1</v>
      </c>
      <c r="J42" s="11">
        <v>1</v>
      </c>
      <c r="K42" s="11">
        <v>3</v>
      </c>
      <c r="L42" s="71">
        <f t="shared" si="0"/>
        <v>3.125</v>
      </c>
      <c r="M42" t="str" s="72">
        <f t="shared" si="1"/>
        <v>1/ANNO</v>
      </c>
      <c r="N42" s="53" t="s">
        <v>133</v>
      </c>
    </row>
    <row r="43" spans="1:14" s="10" customFormat="1" hidden="1">
      <c r="A43" s="83"/>
      <c r="B43" s="66" t="s">
        <v>112</v>
      </c>
      <c r="C43" s="70" t="s">
        <v>77</v>
      </c>
      <c r="D43" s="11">
        <v>1</v>
      </c>
      <c r="E43" s="11">
        <v>1</v>
      </c>
      <c r="F43" s="11">
        <v>1</v>
      </c>
      <c r="G43" s="11">
        <v>1</v>
      </c>
      <c r="H43" s="11">
        <v>1</v>
      </c>
      <c r="I43" s="11">
        <v>1</v>
      </c>
      <c r="J43" s="11">
        <v>1</v>
      </c>
      <c r="K43" s="11">
        <v>3</v>
      </c>
      <c r="L43" s="71">
        <f t="shared" si="0"/>
        <v>3.125</v>
      </c>
      <c r="M43" t="str" s="72">
        <f t="shared" si="1"/>
        <v>1/ANNO</v>
      </c>
      <c r="N43" s="53" t="s">
        <v>133</v>
      </c>
    </row>
    <row r="44" spans="1:14" s="10" customFormat="1" hidden="1">
      <c r="A44" s="83"/>
      <c r="B44" s="66" t="s">
        <v>113</v>
      </c>
      <c r="C44" s="70" t="s">
        <v>77</v>
      </c>
      <c r="D44" s="11">
        <v>1</v>
      </c>
      <c r="E44" s="11">
        <v>1</v>
      </c>
      <c r="F44" s="11">
        <v>1</v>
      </c>
      <c r="G44" s="11">
        <v>1</v>
      </c>
      <c r="H44" s="11">
        <v>1</v>
      </c>
      <c r="I44" s="11">
        <v>1</v>
      </c>
      <c r="J44" s="11">
        <v>1</v>
      </c>
      <c r="K44" s="11">
        <v>3</v>
      </c>
      <c r="L44" s="71">
        <f t="shared" si="0"/>
        <v>3.125</v>
      </c>
      <c r="M44" t="str" s="72">
        <f t="shared" si="1"/>
        <v>1/ANNO</v>
      </c>
      <c r="N44" s="53" t="s">
        <v>133</v>
      </c>
    </row>
    <row r="45" spans="1:14" s="10" customFormat="1">
      <c r="A45" s="83"/>
      <c r="B45" s="94" t="s">
        <v>114</v>
      </c>
      <c r="C45" s="70" t="s">
        <v>77</v>
      </c>
      <c r="D45" s="11">
        <v>1</v>
      </c>
      <c r="E45" s="11">
        <v>1</v>
      </c>
      <c r="F45" s="11">
        <v>1</v>
      </c>
      <c r="G45" s="11">
        <v>1</v>
      </c>
      <c r="H45" s="11">
        <v>1</v>
      </c>
      <c r="I45" s="11">
        <v>1</v>
      </c>
      <c r="J45" s="11">
        <v>1</v>
      </c>
      <c r="K45" s="11">
        <v>3</v>
      </c>
      <c r="L45" s="71">
        <f t="shared" si="0"/>
        <v>3.125</v>
      </c>
      <c r="M45" t="str" s="72">
        <f t="shared" si="1"/>
        <v>1/ANNO</v>
      </c>
      <c r="N45" s="53" t="s">
        <v>133</v>
      </c>
    </row>
    <row r="46" spans="1:14" s="10" customFormat="1" hidden="1">
      <c r="A46" s="83"/>
      <c r="B46" s="66" t="s">
        <v>115</v>
      </c>
      <c r="C46" s="70" t="s">
        <v>77</v>
      </c>
      <c r="D46" s="11">
        <v>1</v>
      </c>
      <c r="E46" s="11">
        <v>1</v>
      </c>
      <c r="F46" s="11">
        <v>1</v>
      </c>
      <c r="G46" s="11">
        <v>1</v>
      </c>
      <c r="H46" s="11">
        <v>1</v>
      </c>
      <c r="I46" s="11">
        <v>1</v>
      </c>
      <c r="J46" s="11">
        <v>1</v>
      </c>
      <c r="K46" s="11">
        <v>3</v>
      </c>
      <c r="L46" s="71">
        <f t="shared" si="0"/>
        <v>3.125</v>
      </c>
      <c r="M46" t="str" s="72">
        <f t="shared" si="1"/>
        <v>1/ANNO</v>
      </c>
      <c r="N46" s="53" t="s">
        <v>133</v>
      </c>
    </row>
    <row r="47" spans="1:14" s="10" customFormat="1">
      <c r="A47" s="83"/>
      <c r="B47" s="94" t="s">
        <v>116</v>
      </c>
      <c r="C47" s="70" t="s">
        <v>77</v>
      </c>
      <c r="D47" s="11">
        <v>1</v>
      </c>
      <c r="E47" s="11">
        <v>1</v>
      </c>
      <c r="F47" s="11">
        <v>1</v>
      </c>
      <c r="G47" s="11">
        <v>1</v>
      </c>
      <c r="H47" s="11">
        <v>1</v>
      </c>
      <c r="I47" s="11">
        <v>1</v>
      </c>
      <c r="J47" s="11">
        <v>1</v>
      </c>
      <c r="K47" s="11">
        <v>3</v>
      </c>
      <c r="L47" s="71">
        <f t="shared" si="0"/>
        <v>3.125</v>
      </c>
      <c r="M47" t="str" s="72">
        <f t="shared" si="1"/>
        <v>1/ANNO</v>
      </c>
      <c r="N47" s="53" t="s">
        <v>133</v>
      </c>
    </row>
    <row r="48" spans="1:14" s="10" customFormat="1">
      <c r="A48" s="83"/>
      <c r="B48" s="98" t="s">
        <v>125</v>
      </c>
      <c r="C48" s="70" t="s">
        <v>77</v>
      </c>
      <c r="D48" s="11">
        <v>1</v>
      </c>
      <c r="E48" s="11">
        <v>1</v>
      </c>
      <c r="F48" s="11">
        <v>1</v>
      </c>
      <c r="G48" s="11">
        <v>1</v>
      </c>
      <c r="H48" s="11">
        <v>1</v>
      </c>
      <c r="I48" s="11">
        <v>1</v>
      </c>
      <c r="J48" s="11">
        <v>1</v>
      </c>
      <c r="K48" s="11">
        <v>3</v>
      </c>
      <c r="L48" s="71">
        <f ref="L48:L53" t="shared" si="2">((D48*$D$3)+(E48*$E$3)+(F48*$F$3)+(G48*$G$3)+(H48*$H$3)+(I48*$I$3)+(J48*$J$3)+(K48*$K$3))/8</f>
        <v>3.125</v>
      </c>
      <c r="M48" t="str" s="72">
        <f t="shared" si="1"/>
        <v>1/ANNO</v>
      </c>
      <c r="N48" s="53" t="s">
        <v>133</v>
      </c>
    </row>
    <row r="49" spans="1:14" s="10" customFormat="1">
      <c r="A49" s="83"/>
      <c r="B49" s="98" t="s">
        <v>126</v>
      </c>
      <c r="C49" s="70" t="s">
        <v>77</v>
      </c>
      <c r="D49" s="11">
        <v>1</v>
      </c>
      <c r="E49" s="11">
        <v>1</v>
      </c>
      <c r="F49" s="11">
        <v>1</v>
      </c>
      <c r="G49" s="11">
        <v>1</v>
      </c>
      <c r="H49" s="11">
        <v>1</v>
      </c>
      <c r="I49" s="11">
        <v>1</v>
      </c>
      <c r="J49" s="11">
        <v>1</v>
      </c>
      <c r="K49" s="11">
        <v>3</v>
      </c>
      <c r="L49" s="71">
        <f t="shared" si="2"/>
        <v>3.125</v>
      </c>
      <c r="M49" t="str" s="72">
        <f t="shared" si="1"/>
        <v>1/ANNO</v>
      </c>
      <c r="N49" s="53" t="s">
        <v>133</v>
      </c>
    </row>
    <row r="50" spans="1:14" s="10" customFormat="1">
      <c r="A50" s="83"/>
      <c r="B50" s="98" t="s">
        <v>127</v>
      </c>
      <c r="C50" s="70" t="s">
        <v>77</v>
      </c>
      <c r="D50" s="11">
        <v>1</v>
      </c>
      <c r="E50" s="11">
        <v>1</v>
      </c>
      <c r="F50" s="11">
        <v>1</v>
      </c>
      <c r="G50" s="11">
        <v>1</v>
      </c>
      <c r="H50" s="11">
        <v>1</v>
      </c>
      <c r="I50" s="11">
        <v>1</v>
      </c>
      <c r="J50" s="11">
        <v>1</v>
      </c>
      <c r="K50" s="11">
        <v>3</v>
      </c>
      <c r="L50" s="71">
        <f t="shared" si="2"/>
        <v>3.125</v>
      </c>
      <c r="M50" t="str" s="72">
        <f t="shared" si="1"/>
        <v>1/ANNO</v>
      </c>
      <c r="N50" s="53" t="s">
        <v>133</v>
      </c>
    </row>
    <row r="51" spans="1:14" s="10" customFormat="1">
      <c r="A51" s="83"/>
      <c r="B51" s="98" t="s">
        <v>128</v>
      </c>
      <c r="C51" s="70" t="s">
        <v>77</v>
      </c>
      <c r="D51" s="11">
        <v>1</v>
      </c>
      <c r="E51" s="11">
        <v>1</v>
      </c>
      <c r="F51" s="11">
        <v>1</v>
      </c>
      <c r="G51" s="11">
        <v>1</v>
      </c>
      <c r="H51" s="11">
        <v>1</v>
      </c>
      <c r="I51" s="11">
        <v>1</v>
      </c>
      <c r="J51" s="11">
        <v>1</v>
      </c>
      <c r="K51" s="11">
        <v>3</v>
      </c>
      <c r="L51" s="71">
        <f t="shared" si="2"/>
        <v>3.125</v>
      </c>
      <c r="M51" t="str" s="72">
        <f t="shared" si="1"/>
        <v>1/ANNO</v>
      </c>
      <c r="N51" s="53" t="s">
        <v>133</v>
      </c>
    </row>
    <row r="52" spans="1:14" s="10" customFormat="1">
      <c r="A52" s="83"/>
      <c r="B52" s="94" t="s">
        <v>129</v>
      </c>
      <c r="C52" s="70" t="s">
        <v>77</v>
      </c>
      <c r="D52" s="11">
        <v>1</v>
      </c>
      <c r="E52" s="11">
        <v>1</v>
      </c>
      <c r="F52" s="11">
        <v>1</v>
      </c>
      <c r="G52" s="11">
        <v>1</v>
      </c>
      <c r="H52" s="11">
        <v>1</v>
      </c>
      <c r="I52" s="11">
        <v>1</v>
      </c>
      <c r="J52" s="11">
        <v>1</v>
      </c>
      <c r="K52" s="11">
        <v>3</v>
      </c>
      <c r="L52" s="71">
        <f t="shared" si="2"/>
        <v>3.125</v>
      </c>
      <c r="M52" t="str" s="72">
        <f t="shared" si="1"/>
        <v>1/ANNO</v>
      </c>
      <c r="N52" s="53" t="s">
        <v>133</v>
      </c>
    </row>
    <row r="53" spans="1:14" s="10" customFormat="1">
      <c r="A53" s="83"/>
      <c r="B53" s="94" t="s">
        <v>117</v>
      </c>
      <c r="C53" s="70" t="s">
        <v>77</v>
      </c>
      <c r="D53" s="11">
        <v>2</v>
      </c>
      <c r="E53" s="11">
        <v>1</v>
      </c>
      <c r="F53" s="11">
        <v>1</v>
      </c>
      <c r="G53" s="11">
        <v>1</v>
      </c>
      <c r="H53" s="11">
        <v>1</v>
      </c>
      <c r="I53" s="11">
        <v>1</v>
      </c>
      <c r="J53" s="11">
        <v>1</v>
      </c>
      <c r="K53" s="11">
        <v>3</v>
      </c>
      <c r="L53" s="71">
        <f t="shared" si="2"/>
        <v>3.5</v>
      </c>
      <c r="M53" t="str" s="72">
        <f t="shared" si="1"/>
        <v>1/ANNO</v>
      </c>
      <c r="N53" s="53" t="s">
        <v>133</v>
      </c>
    </row>
    <row r="54" spans="1:14" s="10" customFormat="1">
      <c r="A54" s="83"/>
      <c r="B54" s="97" t="s">
        <v>134</v>
      </c>
      <c r="C54" s="70" t="s">
        <v>77</v>
      </c>
      <c r="D54" s="11">
        <v>2</v>
      </c>
      <c r="E54" s="11">
        <v>1</v>
      </c>
      <c r="F54" s="11">
        <v>1</v>
      </c>
      <c r="G54" s="11">
        <v>1</v>
      </c>
      <c r="H54" s="11">
        <v>1</v>
      </c>
      <c r="I54" s="11">
        <v>1</v>
      </c>
      <c r="J54" s="11">
        <v>1</v>
      </c>
      <c r="K54" s="11">
        <v>3</v>
      </c>
      <c r="L54" s="71">
        <f t="shared" si="0">((D54*$D$3)+(E54*$E$3)+(F54*$F$3)+(G54*$G$3)+(H54*$H$3)+(I54*$I$3)+(J54*$J$3)+(K54*$K$3))/8</f>
        <v>3.5</v>
      </c>
      <c r="M54" t="str" s="72">
        <f t="shared" si="1"/>
        <v>1/ANNO</v>
      </c>
      <c r="N54" s="53" t="s">
        <v>133</v>
      </c>
    </row>
    <row r="55" spans="1:14" s="10" customFormat="1">
      <c r="A55" s="83"/>
      <c r="B55" s="94" t="s">
        <v>118</v>
      </c>
      <c r="C55" s="70" t="s">
        <v>77</v>
      </c>
      <c r="D55" s="11">
        <v>2</v>
      </c>
      <c r="E55" s="11">
        <v>1</v>
      </c>
      <c r="F55" s="11">
        <v>1</v>
      </c>
      <c r="G55" s="11">
        <v>1</v>
      </c>
      <c r="H55" s="11">
        <v>1</v>
      </c>
      <c r="I55" s="11">
        <v>1</v>
      </c>
      <c r="J55" s="11">
        <v>1</v>
      </c>
      <c r="K55" s="11">
        <v>3</v>
      </c>
      <c r="L55" s="71">
        <f t="shared" si="0"/>
        <v>3.5</v>
      </c>
      <c r="M55" t="str" s="72">
        <f t="shared" si="1"/>
        <v>1/ANNO</v>
      </c>
      <c r="N55" s="53" t="s">
        <v>133</v>
      </c>
    </row>
    <row r="56" spans="1:14" s="10" customFormat="1">
      <c r="A56" s="83"/>
      <c r="B56" s="94" t="s">
        <v>119</v>
      </c>
      <c r="C56" s="70" t="s">
        <v>77</v>
      </c>
      <c r="D56" s="11">
        <v>2</v>
      </c>
      <c r="E56" s="11">
        <v>1</v>
      </c>
      <c r="F56" s="11">
        <v>1</v>
      </c>
      <c r="G56" s="11">
        <v>1</v>
      </c>
      <c r="H56" s="11">
        <v>1</v>
      </c>
      <c r="I56" s="11">
        <v>1</v>
      </c>
      <c r="J56" s="11">
        <v>1</v>
      </c>
      <c r="K56" s="11">
        <v>3</v>
      </c>
      <c r="L56" s="71">
        <f t="shared" si="0"/>
        <v>3.5</v>
      </c>
      <c r="M56" t="str" s="72">
        <f t="shared" si="1"/>
        <v>1/ANNO</v>
      </c>
      <c r="N56" s="53" t="s">
        <v>133</v>
      </c>
    </row>
    <row r="57" spans="1:14" s="10" customFormat="1">
      <c r="A57" s="83"/>
      <c r="B57" s="94" t="s">
        <v>25</v>
      </c>
      <c r="C57" s="70" t="s">
        <v>77</v>
      </c>
      <c r="D57" s="11">
        <v>2</v>
      </c>
      <c r="E57" s="11">
        <v>1</v>
      </c>
      <c r="F57" s="11">
        <v>1</v>
      </c>
      <c r="G57" s="11">
        <v>1</v>
      </c>
      <c r="H57" s="11">
        <v>1</v>
      </c>
      <c r="I57" s="11">
        <v>1</v>
      </c>
      <c r="J57" s="11">
        <v>1</v>
      </c>
      <c r="K57" s="11">
        <v>3</v>
      </c>
      <c r="L57" s="71">
        <f t="shared" si="0"/>
        <v>3.5</v>
      </c>
      <c r="M57" t="str" s="72">
        <f t="shared" si="1"/>
        <v>1/ANNO</v>
      </c>
      <c r="N57" s="53" t="s">
        <v>133</v>
      </c>
    </row>
    <row r="58" spans="1:14" s="10" customFormat="1" ht="84.75" customHeight="1">
      <c r="A58" s="83"/>
      <c r="B58" s="95" t="s">
        <v>120</v>
      </c>
      <c r="C58" s="96"/>
      <c r="D58" s="89" t="s">
        <v>123</v>
      </c>
      <c r="E58" s="90"/>
      <c r="F58" s="90"/>
      <c r="G58" s="90"/>
      <c r="H58" s="90"/>
      <c r="I58" s="90"/>
      <c r="J58" s="90"/>
      <c r="K58" s="90"/>
      <c r="L58" s="90"/>
      <c r="M58" s="90"/>
      <c r="N58" s="90"/>
    </row>
    <row r="59" spans="1:14" s="10" customFormat="1" ht="15" customHeight="1">
      <c r="A59" s="83"/>
      <c r="B59" s="66" t="s">
        <v>121</v>
      </c>
      <c r="C59" s="70">
        <f>COUNTA(C5:C57)</f>
        <v>53</v>
      </c>
    </row>
    <row r="60" spans="1:14" s="10" customFormat="1"/>
    <row r="61" spans="1:14" s="10" customFormat="1"/>
    <row r="62" spans="1:14" s="10" customFormat="1"/>
    <row r="63" spans="1:14" s="10" customFormat="1"/>
    <row r="64" spans="1:14" s="10" customFormat="1"/>
    <row r="65" s="10" customFormat="1"/>
    <row r="66" s="10" customFormat="1"/>
    <row r="67" s="10" customFormat="1"/>
    <row r="68" s="10" customFormat="1"/>
    <row r="69" s="10" customFormat="1"/>
    <row r="70" s="10" customFormat="1"/>
    <row r="71" s="10" customFormat="1"/>
    <row r="72" s="10" customFormat="1"/>
    <row r="73" s="10" customFormat="1"/>
    <row r="74" s="10" customFormat="1"/>
    <row r="75" s="10" customFormat="1"/>
    <row r="76" s="10" customFormat="1"/>
    <row r="77" s="10" customFormat="1"/>
    <row r="78" s="10" customFormat="1"/>
    <row r="79" s="10" customFormat="1"/>
    <row r="80" s="10" customFormat="1"/>
    <row r="81" s="10" customFormat="1"/>
    <row r="82" s="10" customFormat="1"/>
    <row r="83" s="10" customFormat="1"/>
    <row r="84" s="10" customFormat="1"/>
    <row r="85" s="10" customFormat="1"/>
    <row r="86" s="10" customFormat="1"/>
    <row r="87" s="10" customFormat="1"/>
    <row r="88" s="10" customFormat="1"/>
    <row r="89" s="10" customFormat="1"/>
    <row r="90" s="10" customFormat="1"/>
    <row r="91" s="10" customFormat="1"/>
    <row r="92" s="10" customFormat="1"/>
    <row r="93" s="10" customFormat="1"/>
    <row r="94" s="10" customFormat="1"/>
    <row r="95" s="10" customFormat="1"/>
    <row r="96" s="10" customFormat="1"/>
    <row r="97" s="10" customFormat="1"/>
    <row r="98" s="10" customFormat="1"/>
    <row r="99" s="10" customFormat="1"/>
    <row r="100" s="10" customFormat="1"/>
    <row r="101" s="10" customFormat="1"/>
    <row r="102" s="10" customFormat="1"/>
    <row r="103" s="10" customFormat="1"/>
    <row r="104" s="10" customFormat="1"/>
    <row r="105" s="10" customFormat="1"/>
    <row r="106" s="10" customFormat="1"/>
    <row r="107" s="10" customFormat="1"/>
    <row r="108" s="10" customFormat="1"/>
    <row r="109" s="10" customFormat="1"/>
    <row r="110" s="10" customFormat="1"/>
    <row r="111" s="10" customFormat="1"/>
    <row r="112" s="10" customFormat="1"/>
    <row r="113" spans="1:14" s="10" customFormat="1"/>
    <row r="114" spans="1:14" s="10" customFormat="1"/>
    <row r="115" spans="1:14" s="10" customFormat="1"/>
    <row r="116" spans="1:14" s="10" customFormat="1"/>
    <row r="117" spans="1:14" s="10" customFormat="1"/>
    <row r="118" spans="1:14" s="10" customFormat="1"/>
    <row r="119" spans="1:14" s="10" customFormat="1"/>
    <row r="120" spans="1:14" s="10" customFormat="1"/>
    <row r="121" spans="1:14" s="10" customFormat="1"/>
    <row r="122" spans="1:14" s="10" customFormat="1"/>
    <row r="123" spans="1:14" s="10" customFormat="1">
      <c r="A123"/>
      <c r="B123"/>
      <c r="C123"/>
    </row>
    <row r="124" spans="1:14" s="10" customFormat="1">
      <c r="A124"/>
      <c r="B124"/>
      <c r="C124"/>
    </row>
    <row r="125" spans="1:14" s="10" customFormat="1">
      <c r="A125"/>
      <c r="B125"/>
      <c r="C125"/>
    </row>
    <row r="126" spans="1:14" s="10" customFormat="1">
      <c r="A126"/>
      <c r="B126"/>
      <c r="C126"/>
    </row>
    <row r="127" spans="1:14" s="10" customFormat="1">
      <c r="A127"/>
      <c r="B127"/>
      <c r="C127"/>
    </row>
    <row r="128" spans="1:14" s="10" customFormat="1">
      <c r="A128"/>
      <c r="B128"/>
      <c r="C128"/>
    </row>
    <row r="129" spans="1:14" s="10" customFormat="1">
      <c r="A129"/>
      <c r="B129"/>
      <c r="C129"/>
    </row>
    <row r="130" spans="1:14" s="10" customFormat="1">
      <c r="A130"/>
      <c r="B130"/>
      <c r="C130"/>
    </row>
    <row r="131" spans="1:14" s="10" customFormat="1">
      <c r="A131"/>
      <c r="B131"/>
      <c r="C131"/>
    </row>
    <row r="132" spans="1:14" s="10" customFormat="1">
      <c r="A132"/>
      <c r="B132"/>
      <c r="C132"/>
    </row>
    <row r="133" spans="1:14" s="10" customFormat="1">
      <c r="A133"/>
      <c r="B133"/>
      <c r="C133"/>
    </row>
    <row r="134" spans="1:14" s="10" customFormat="1">
      <c r="A134"/>
      <c r="B134"/>
      <c r="C134"/>
    </row>
    <row r="135" spans="1:14" s="10" customFormat="1">
      <c r="A135"/>
      <c r="B135"/>
      <c r="C135"/>
    </row>
    <row r="136" spans="1:14" s="10" customFormat="1">
      <c r="A136"/>
      <c r="B136"/>
      <c r="C136"/>
    </row>
    <row r="137" spans="1:14" s="10" customFormat="1">
      <c r="A137"/>
      <c r="B137"/>
      <c r="C137"/>
    </row>
    <row r="138" spans="1:14" s="10" customFormat="1">
      <c r="A138"/>
      <c r="B138"/>
      <c r="C138"/>
    </row>
    <row r="139" spans="1:14" s="10" customFormat="1"/>
    <row r="140" spans="1:14" s="10" customFormat="1"/>
    <row r="141" spans="1:14" s="10" customFormat="1"/>
    <row r="142" spans="1:14" s="10" customFormat="1"/>
    <row r="143" spans="1:14" s="10" customFormat="1"/>
    <row r="144" spans="1:14" s="10" customFormat="1"/>
    <row r="145" s="10" customFormat="1"/>
    <row r="146" s="10" customFormat="1"/>
    <row r="147" s="10" customFormat="1"/>
    <row r="148" s="10" customFormat="1"/>
    <row r="149" s="10" customFormat="1"/>
    <row r="150" s="10" customFormat="1"/>
    <row r="151" s="10" customFormat="1"/>
    <row r="152" s="10" customFormat="1"/>
    <row r="153" s="10" customFormat="1"/>
    <row r="154" s="10" customFormat="1"/>
    <row r="155" s="10" customFormat="1"/>
    <row r="156" s="10" customFormat="1"/>
    <row r="157" s="10" customFormat="1"/>
    <row r="158" s="10" customFormat="1"/>
    <row r="159" s="10" customFormat="1"/>
    <row r="160" s="10" customFormat="1"/>
    <row r="161" s="10" customFormat="1"/>
    <row r="162" s="10" customFormat="1"/>
    <row r="163" s="10" customFormat="1"/>
    <row r="164" s="10" customFormat="1"/>
    <row r="165" s="10" customFormat="1"/>
    <row r="166" s="10" customFormat="1"/>
    <row r="167" s="10" customFormat="1"/>
    <row r="168" s="10" customFormat="1"/>
    <row r="169" s="10" customFormat="1"/>
    <row r="170" s="10" customFormat="1"/>
    <row r="171" s="10" customFormat="1"/>
    <row r="172" s="10" customFormat="1"/>
    <row r="173" s="10" customFormat="1"/>
    <row r="174" s="10" customFormat="1"/>
    <row r="175" s="10" customFormat="1"/>
    <row r="176" s="10" customFormat="1"/>
    <row r="177" s="10" customFormat="1"/>
    <row r="178" s="10" customFormat="1"/>
    <row r="179" s="10" customFormat="1"/>
    <row r="180" s="10" customFormat="1"/>
    <row r="181" s="10" customFormat="1"/>
    <row r="182" s="10" customFormat="1"/>
    <row r="183" s="10" customFormat="1"/>
    <row r="184" s="10" customFormat="1"/>
    <row r="185" s="10" customFormat="1"/>
    <row r="186" s="10" customFormat="1"/>
    <row r="187" s="10" customFormat="1"/>
    <row r="188" s="10" customFormat="1"/>
    <row r="189" s="10" customFormat="1"/>
    <row r="190" s="10" customFormat="1"/>
    <row r="191" s="10" customFormat="1"/>
    <row r="192" s="10" customFormat="1"/>
    <row r="193" s="10" customFormat="1"/>
    <row r="194" s="10" customFormat="1"/>
    <row r="195" s="10" customFormat="1"/>
    <row r="196" s="10" customFormat="1"/>
    <row r="197" s="10" customFormat="1"/>
    <row r="198" s="10" customFormat="1"/>
    <row r="199" s="10" customFormat="1"/>
    <row r="200" s="10" customFormat="1"/>
    <row r="201" s="10" customFormat="1"/>
    <row r="202" s="10" customFormat="1"/>
    <row r="203" s="10" customFormat="1"/>
    <row r="204" s="10" customFormat="1"/>
    <row r="205" s="10" customFormat="1"/>
    <row r="206" s="10" customFormat="1"/>
    <row r="207" s="10" customFormat="1"/>
    <row r="208" s="10" customFormat="1"/>
    <row r="209" s="10" customFormat="1"/>
    <row r="210" s="10" customFormat="1"/>
    <row r="211" s="10" customFormat="1"/>
    <row r="212" s="10" customFormat="1"/>
    <row r="213" s="10" customFormat="1"/>
    <row r="214" s="10" customFormat="1"/>
    <row r="215" s="10" customFormat="1"/>
    <row r="216" s="10" customFormat="1"/>
    <row r="217" s="10" customFormat="1"/>
    <row r="218" s="10" customFormat="1"/>
    <row r="219" s="10" customFormat="1"/>
    <row r="220" s="10" customFormat="1"/>
    <row r="221" s="10" customFormat="1"/>
    <row r="222" s="10" customFormat="1"/>
    <row r="223" s="10" customFormat="1"/>
    <row r="224" s="10" customFormat="1"/>
    <row r="225" s="10" customFormat="1"/>
    <row r="226" s="10" customFormat="1"/>
    <row r="227" s="10" customFormat="1"/>
    <row r="228" s="10" customFormat="1"/>
    <row r="229" s="10" customFormat="1"/>
    <row r="230" s="10" customFormat="1"/>
    <row r="231" s="10" customFormat="1"/>
    <row r="232" s="10" customFormat="1"/>
    <row r="233" s="10" customFormat="1"/>
    <row r="234" s="10" customFormat="1"/>
    <row r="235" s="10" customFormat="1"/>
    <row r="236" s="10" customFormat="1"/>
    <row r="237" s="10" customFormat="1"/>
    <row r="238" s="10" customFormat="1"/>
    <row r="239" s="10" customFormat="1"/>
    <row r="240" s="10" customFormat="1"/>
    <row r="241" s="10" customFormat="1"/>
    <row r="242" s="10" customFormat="1"/>
    <row r="243" s="10" customFormat="1"/>
    <row r="244" s="10" customFormat="1"/>
    <row r="245" s="10" customFormat="1"/>
    <row r="246" s="10" customFormat="1"/>
    <row r="247" s="10" customFormat="1"/>
    <row r="248" s="10" customFormat="1"/>
    <row r="249" s="10" customFormat="1"/>
    <row r="250" s="10" customFormat="1"/>
    <row r="251" s="10" customFormat="1"/>
    <row r="252" s="10" customFormat="1"/>
    <row r="253" s="10" customFormat="1"/>
    <row r="254" s="10" customFormat="1"/>
    <row r="255" s="10" customFormat="1"/>
    <row r="256" s="10" customFormat="1"/>
    <row r="257" s="10" customFormat="1"/>
    <row r="258" s="10" customFormat="1"/>
    <row r="259" s="10" customFormat="1"/>
    <row r="260" s="10" customFormat="1"/>
    <row r="261" s="10" customFormat="1"/>
    <row r="262" s="10" customFormat="1"/>
    <row r="263" s="10" customFormat="1"/>
    <row r="264" s="10" customFormat="1"/>
    <row r="265" s="10" customFormat="1"/>
    <row r="266" s="10" customFormat="1"/>
    <row r="309" spans="1:14" s="10" customFormat="1">
      <c r="A309"/>
      <c r="B309"/>
      <c r="C309"/>
    </row>
    <row r="310" spans="1:14" s="10" customFormat="1">
      <c r="A310"/>
      <c r="B310"/>
      <c r="C310"/>
    </row>
    <row r="311" spans="1:14" s="10" customFormat="1">
      <c r="A311"/>
      <c r="B311"/>
      <c r="C311"/>
    </row>
    <row r="312" spans="1:14" s="10" customFormat="1">
      <c r="A312"/>
      <c r="B312"/>
      <c r="C312"/>
    </row>
    <row r="313" spans="1:14" s="10" customFormat="1">
      <c r="A313"/>
      <c r="B313"/>
      <c r="C313"/>
    </row>
    <row r="314" spans="1:14" s="10" customFormat="1">
      <c r="A314"/>
      <c r="B314"/>
      <c r="C314"/>
    </row>
    <row r="315" spans="1:14" s="10" customFormat="1">
      <c r="A315"/>
      <c r="B315"/>
      <c r="C315"/>
    </row>
    <row r="316" spans="1:14" s="10" customFormat="1">
      <c r="A316"/>
      <c r="B316"/>
      <c r="C316"/>
    </row>
    <row r="317" spans="1:14" s="10" customFormat="1">
      <c r="A317"/>
      <c r="B317"/>
      <c r="C317"/>
    </row>
    <row r="318" spans="1:14" s="10" customFormat="1">
      <c r="A318"/>
      <c r="B318"/>
      <c r="C318"/>
    </row>
    <row r="319" spans="1:14" s="10" customFormat="1">
      <c r="A319"/>
      <c r="B319"/>
      <c r="C319"/>
    </row>
    <row r="320" spans="1:14" s="10" customFormat="1">
      <c r="A320"/>
      <c r="B320"/>
      <c r="C320"/>
    </row>
    <row r="321" s="10" customFormat="1"/>
    <row r="322" s="10" customFormat="1"/>
    <row r="323" s="10" customFormat="1"/>
    <row r="324" s="10" customFormat="1"/>
    <row r="325" s="10" customFormat="1"/>
    <row r="326" s="10" customFormat="1"/>
    <row r="327" s="10" customFormat="1"/>
    <row r="328" s="10" customFormat="1"/>
    <row r="329" s="10" customFormat="1"/>
    <row r="330" s="10" customFormat="1"/>
    <row r="331" s="10" customFormat="1"/>
    <row r="332" s="10" customFormat="1"/>
    <row r="333" s="10" customFormat="1"/>
    <row r="334" s="10" customFormat="1"/>
    <row r="336" s="10" customFormat="1"/>
  </sheetData>
  <autoFilter ref="$C$4:$J$760"/>
  <mergeCells>
    <mergeCell ref="D1:K1"/>
    <mergeCell ref="D2:J2"/>
    <mergeCell ref="A5:A59"/>
    <mergeCell ref="O13:O14"/>
    <mergeCell ref="B58:C58"/>
    <mergeCell ref="D58:N58"/>
    <mergeCell ref="A1:B3"/>
  </mergeCells>
  <conditionalFormatting sqref="M5:M57">
    <cfRule type="expression" priority="1" stopIfTrue="1" dxfId="68">
      <formula>NOT(ISERROR(SEARCH("basso",M5)))</formula>
    </cfRule>
    <cfRule type="cellIs" operator="equal" priority="2" stopIfTrue="1" dxfId="65">
      <formula>"alto"</formula>
    </cfRule>
    <cfRule type="cellIs" operator="equal" priority="3" stopIfTrue="1" dxfId="66">
      <formula>"medio"</formula>
    </cfRule>
    <cfRule type="cellIs" operator="equal" priority="4" stopIfTrue="0" dxfId="67">
      <formula>"basso"</formula>
    </cfRule>
    <cfRule type="expression" priority="5" stopIfTrue="1" dxfId="60">
      <formula>Acqua!#REF!=TRUE</formula>
    </cfRule>
  </conditionalFormatting>
  <pageMargins header="0.314961" footer="0.314961" left="0.314961" right="0.314961" top="0.354331" bottom="0.354331"/>
  <pageSetup paperSize="9" firstPageNumber="1" scale="90" fitToWidth="1" fitToHeight="1" orientation="landscape" horizontalDpi="600" verticalDpi="600"/>
  <headerFooter differentFirst="0" differentOddEven="0">
    <oddHeader/>
    <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http://schemas.microsoft.com/office/spreadsheetml/2009/9/main" xmlns:x14ac="http://schemas.microsoft.com/office/spreadsheetml/2009/9/ac" mc:Ignorable="x14ac">
  <sheetPr/>
  <dimension ref="A1:R322"/>
  <sheetViews>
    <sheetView workbookViewId="0">
      <selection activeCell="M8" sqref="M8"/>
    </sheetView>
  </sheetViews>
  <sheetFormatPr defaultRowHeight="15" customHeight="1" baseColWidth="8"/>
  <cols>
    <col width="18.2852" customWidth="1" min="1" max="1"/>
    <col width="20.2852" customWidth="1" min="2" max="2"/>
    <col width="5.71094" customWidth="1" min="3" max="4" style="8"/>
    <col width="5.71094" customWidth="1" min="5" max="8" style="10"/>
    <col width="6.57031" customWidth="1" min="9" max="9" style="10"/>
    <col width="7.14062" customWidth="1" min="10" max="10" style="10"/>
    <col width="11.2852" customWidth="1" min="11" max="11" style="10"/>
    <col width="29.1406" customWidth="1" min="12" max="13"/>
    <col width="8.85547" customWidth="1" min="14" max="14"/>
    <col width="25.2852" customWidth="1" min="15" max="15"/>
    <col width="35" customWidth="1" min="16" max="16"/>
  </cols>
  <sheetData>
    <row r="1" spans="1:18" ht="15" customHeight="1">
      <c r="A1" s="81" t="s">
        <v>1</v>
      </c>
      <c r="B1" s="81"/>
      <c r="C1" s="75" t="s">
        <v>4</v>
      </c>
      <c r="D1" s="76"/>
      <c r="E1" s="76"/>
      <c r="F1" s="76"/>
      <c r="G1" s="76"/>
      <c r="H1" s="76"/>
      <c r="I1" s="76"/>
      <c r="J1" s="37"/>
      <c r="K1" s="38"/>
      <c r="L1" s="5"/>
    </row>
    <row r="2" spans="1:18" ht="15" customHeight="1">
      <c r="A2" s="81"/>
      <c r="B2" s="81"/>
      <c r="C2" s="78" t="s">
        <v>15</v>
      </c>
      <c r="D2" s="78"/>
      <c r="E2" s="78"/>
      <c r="F2" s="79" t="s">
        <v>16</v>
      </c>
      <c r="G2" s="79"/>
      <c r="H2" s="79"/>
      <c r="I2" s="36" t="s">
        <v>17</v>
      </c>
      <c r="J2" s="38"/>
      <c r="K2" s="38"/>
      <c r="L2" s="5"/>
    </row>
    <row r="3" spans="1:18" ht="11.45" customHeight="1">
      <c r="A3" s="81"/>
      <c r="B3" s="81"/>
      <c r="C3" s="21">
        <v>3</v>
      </c>
      <c r="D3" s="21">
        <v>2</v>
      </c>
      <c r="E3" s="21">
        <v>3</v>
      </c>
      <c r="F3" s="22">
        <v>2</v>
      </c>
      <c r="G3" s="22">
        <v>2</v>
      </c>
      <c r="H3" s="22">
        <v>2</v>
      </c>
      <c r="I3" s="23">
        <v>3</v>
      </c>
      <c r="J3" s="13"/>
      <c r="K3" s="4"/>
      <c r="L3" s="14"/>
    </row>
    <row r="4" spans="1:18" s="3" customFormat="1" ht="171.75" customHeight="1">
      <c r="A4" s="47" t="s">
        <v>12</v>
      </c>
      <c r="B4" s="34" t="s">
        <v>21</v>
      </c>
      <c r="C4" s="24" t="s">
        <v>20</v>
      </c>
      <c r="D4" s="25" t="s">
        <v>3</v>
      </c>
      <c r="E4" s="25" t="s">
        <v>21</v>
      </c>
      <c r="F4" s="26" t="s">
        <v>9</v>
      </c>
      <c r="G4" s="27" t="s">
        <v>10</v>
      </c>
      <c r="H4" s="28" t="s">
        <v>6</v>
      </c>
      <c r="I4" s="29" t="s">
        <v>8</v>
      </c>
      <c r="J4" s="31" t="s">
        <v>11</v>
      </c>
      <c r="K4" s="32" t="s">
        <v>7</v>
      </c>
      <c r="L4" s="33" t="s">
        <v>2</v>
      </c>
    </row>
    <row r="5" spans="1:18" s="12" customFormat="1" ht="31.9" customHeight="1">
      <c r="A5" s="51" t="s">
        <v>22</v>
      </c>
      <c r="B5" s="53" t="s">
        <v>36</v>
      </c>
      <c r="C5" s="11">
        <v>1</v>
      </c>
      <c r="D5" s="11">
        <v>1</v>
      </c>
      <c r="E5" s="11">
        <v>1</v>
      </c>
      <c r="F5" s="11">
        <v>1</v>
      </c>
      <c r="G5" s="11">
        <v>1</v>
      </c>
      <c r="H5" s="11">
        <v>1</v>
      </c>
      <c r="I5" s="11">
        <v>2</v>
      </c>
      <c r="J5" s="39">
        <f>((C5*C3)+(D5*D3)+(E5*E3)+(F5*F3)+(G5*G3)+(H5*H3)+(I5*I3))/7</f>
        <v>2.8571428571428572</v>
      </c>
      <c r="K5" t="str" s="20">
        <f>IF(AND(J5&gt;=0.5,J5&lt;=2.5),"Biennale",IF(AND(J5&gt;2.5,J5&lt;=3.5),"1/Anno",IF(AND(J5&gt;3.5,J5&lt;=3.7999999999999998),"2/Anno",IF(AND(J5&gt;3.7999999999999998,J5&lt;=4.2000000000000002),"Trimestrale",IF(AND(J5&gt;4.2000000000000002,J5&lt;=4.7999999999999998),"Settimanale",IF(J5&gt;4.7999999999999998,"Giornaliera","?"))))))</f>
        <v>1/Anno</v>
      </c>
      <c r="L5" s="53" t="s">
        <v>29</v>
      </c>
    </row>
    <row r="6" spans="1:18" s="12" customFormat="1" ht="31.9" customHeight="1">
      <c r="A6" s="52"/>
      <c r="B6" s="53" t="s">
        <v>53</v>
      </c>
      <c r="C6" s="11">
        <v>1</v>
      </c>
      <c r="D6" s="11">
        <v>1</v>
      </c>
      <c r="E6" s="11">
        <v>2</v>
      </c>
      <c r="F6" s="11">
        <v>1</v>
      </c>
      <c r="G6" s="11">
        <v>1</v>
      </c>
      <c r="H6" s="11">
        <v>1</v>
      </c>
      <c r="I6" s="11">
        <v>2</v>
      </c>
      <c r="J6" s="39">
        <f>((C6*C3)+(D6*D3)+(E6*E3)+(F6*F3)+(G6*G3)+(H6*H3)+(I6*I3))/7</f>
        <v>3.2857142857142856</v>
      </c>
      <c r="K6" t="str" s="20">
        <f ref="K6:K12" t="shared" si="0">IF(AND(J6&gt;=0.5,J6&lt;=2.5),"Biennale",IF(AND(J6&gt;2.5,J6&lt;=3.5),"1/Anno",IF(AND(J6&gt;3.5,J6&lt;=3.7999999999999998),"2/Anno",IF(AND(J6&gt;3.7999999999999998,J6&lt;=4.2000000000000002),"Trimestrale",IF(AND(J6&gt;4.2000000000000002,J6&lt;=4.7999999999999998),"Settimanale",IF(J6&gt;4.7999999999999998,"Giornaliera","?"))))))</f>
        <v>1/Anno</v>
      </c>
      <c r="L6" s="53" t="s">
        <v>28</v>
      </c>
    </row>
    <row r="7" spans="1:18" s="12" customFormat="1" ht="26.1" customHeight="1">
      <c r="A7" s="52"/>
      <c r="B7" s="53" t="s">
        <v>30</v>
      </c>
      <c r="C7" s="11">
        <v>3</v>
      </c>
      <c r="D7" s="11">
        <v>2</v>
      </c>
      <c r="E7" s="11">
        <v>2</v>
      </c>
      <c r="F7" s="11">
        <v>1</v>
      </c>
      <c r="G7" s="11">
        <v>1</v>
      </c>
      <c r="H7" s="11">
        <v>1</v>
      </c>
      <c r="I7" s="11">
        <v>2</v>
      </c>
      <c r="J7" s="39">
        <f>((C7*C3)+(D7*D3)+(E7*E3)+(F7*F3)+(G7*G3)+(H7*H3)+(I7*I3))/7</f>
        <v>4.4285714285714288</v>
      </c>
      <c r="K7" t="str" s="20">
        <f t="shared" si="0"/>
        <v>Settimanale</v>
      </c>
      <c r="L7" s="53" t="s">
        <v>33</v>
      </c>
      <c r="N7" s="19"/>
      <c r="O7" s="19"/>
      <c r="P7" s="19"/>
      <c r="Q7" s="19"/>
      <c r="R7" s="19"/>
    </row>
    <row r="8" spans="1:18" s="12" customFormat="1" ht="34.15" customHeight="1">
      <c r="A8" s="49"/>
      <c r="B8" s="53" t="s">
        <v>35</v>
      </c>
      <c r="C8" s="11">
        <v>3</v>
      </c>
      <c r="D8" s="11">
        <v>1</v>
      </c>
      <c r="E8" s="11">
        <v>1</v>
      </c>
      <c r="F8" s="11">
        <v>1</v>
      </c>
      <c r="G8" s="11">
        <v>1</v>
      </c>
      <c r="H8" s="11">
        <v>1</v>
      </c>
      <c r="I8" s="11">
        <v>2</v>
      </c>
      <c r="J8" s="39">
        <f>((C8*C3)+(D8*D3)+(E8*E3)+(F8*F3)+(G8*G3)+(H8*H3)+(I8*I3))/7</f>
        <v>3.7142857142857144</v>
      </c>
      <c r="K8" t="str" s="20">
        <f t="shared" si="0"/>
        <v>2/Anno</v>
      </c>
      <c r="L8" s="53" t="s">
        <v>34</v>
      </c>
      <c r="N8" s="19"/>
      <c r="O8" s="19"/>
      <c r="P8" s="19"/>
      <c r="Q8" s="19"/>
      <c r="R8" s="19"/>
    </row>
    <row r="9" spans="1:18" s="12" customFormat="1" ht="34.15" customHeight="1">
      <c r="A9" s="49"/>
      <c r="B9" s="53" t="s">
        <v>52</v>
      </c>
      <c r="C9" s="11">
        <v>1</v>
      </c>
      <c r="D9" s="11">
        <v>1</v>
      </c>
      <c r="E9" s="11">
        <v>1</v>
      </c>
      <c r="F9" s="11">
        <v>1</v>
      </c>
      <c r="G9" s="11">
        <v>1</v>
      </c>
      <c r="H9" s="11">
        <v>1</v>
      </c>
      <c r="I9" s="11">
        <v>1</v>
      </c>
      <c r="J9" s="39">
        <f>((C9*C3)+(D9*D3)+(E9*E3)+(F9*F3)+(G9*G3)+(H9*H3)+(I9*I3))/7</f>
        <v>2.4285714285714284</v>
      </c>
      <c r="K9" t="str" s="20">
        <f t="shared" si="0"/>
        <v>Biennale</v>
      </c>
      <c r="L9" s="53"/>
      <c r="N9" s="19"/>
      <c r="O9" s="19"/>
      <c r="P9" s="19"/>
      <c r="Q9" s="19"/>
      <c r="R9" s="19"/>
    </row>
    <row r="10" spans="1:18" s="12" customFormat="1" ht="23.1" customHeight="1">
      <c r="A10" s="52"/>
      <c r="B10" s="53" t="s">
        <v>31</v>
      </c>
      <c r="C10" s="11">
        <v>2</v>
      </c>
      <c r="D10" s="11">
        <v>1</v>
      </c>
      <c r="E10" s="11">
        <v>1</v>
      </c>
      <c r="F10" s="11">
        <v>1</v>
      </c>
      <c r="G10" s="11">
        <v>1</v>
      </c>
      <c r="H10" s="11">
        <v>1</v>
      </c>
      <c r="I10" s="11">
        <v>2</v>
      </c>
      <c r="J10" s="39">
        <f>((C10*C3)+(D10*D3)+(E10*E3)+(F10*F3)+(G10*G3)+(H10*H3)+(I10*I3))/7</f>
        <v>3.2857142857142856</v>
      </c>
      <c r="K10" t="str" s="20">
        <f t="shared" si="0"/>
        <v>1/Anno</v>
      </c>
      <c r="L10" s="53" t="s">
        <v>37</v>
      </c>
      <c r="N10" s="19"/>
      <c r="O10" s="19"/>
      <c r="P10" s="19"/>
      <c r="Q10" s="19"/>
      <c r="R10" s="19"/>
    </row>
    <row r="11" spans="1:18" s="12" customFormat="1" ht="23.1" customHeight="1">
      <c r="A11" s="49"/>
      <c r="B11" s="53" t="s">
        <v>32</v>
      </c>
      <c r="C11" s="11">
        <v>2</v>
      </c>
      <c r="D11" s="11">
        <v>1</v>
      </c>
      <c r="E11" s="11">
        <v>1</v>
      </c>
      <c r="F11" s="11">
        <v>1</v>
      </c>
      <c r="G11" s="11">
        <v>1</v>
      </c>
      <c r="H11" s="11">
        <v>1</v>
      </c>
      <c r="I11" s="11">
        <v>2</v>
      </c>
      <c r="J11" s="39">
        <f>((C11*C3)+(D11*D3)+(E11*E3)+(F11*F3)+(G11*G3)+(H11*H3)+(I11*I3))/7</f>
        <v>3.2857142857142856</v>
      </c>
      <c r="K11" t="str" s="20">
        <f t="shared" si="0"/>
        <v>1/Anno</v>
      </c>
      <c r="L11" s="53" t="s">
        <v>37</v>
      </c>
      <c r="N11" s="19"/>
      <c r="O11" s="19"/>
      <c r="P11" s="19"/>
      <c r="Q11" s="19"/>
      <c r="R11" s="19"/>
    </row>
    <row r="12" spans="1:18" s="12" customFormat="1" ht="23.1" customHeight="1">
      <c r="A12" s="50"/>
      <c r="B12" s="53" t="s">
        <v>38</v>
      </c>
      <c r="C12" s="11">
        <v>3</v>
      </c>
      <c r="D12" s="11">
        <v>2</v>
      </c>
      <c r="E12" s="11">
        <v>2</v>
      </c>
      <c r="F12" s="11">
        <v>1</v>
      </c>
      <c r="G12" s="11">
        <v>1</v>
      </c>
      <c r="H12" s="11">
        <v>1</v>
      </c>
      <c r="I12" s="11">
        <v>2</v>
      </c>
      <c r="J12" s="39">
        <f>((C12*C3)+(D12*D3)+(E12*E3)+(F12*F3)+(G12*G3)+(H12*H3)+(I12*I3))/7</f>
        <v>4.4285714285714288</v>
      </c>
      <c r="K12" t="str" s="20">
        <f t="shared" si="0"/>
        <v>Settimanale</v>
      </c>
      <c r="L12" s="53" t="s">
        <v>54</v>
      </c>
      <c r="N12" s="19"/>
      <c r="O12" s="19"/>
      <c r="P12" s="19"/>
      <c r="Q12" s="19"/>
      <c r="R12" s="19"/>
    </row>
    <row r="13" spans="1:18" s="10" customFormat="1">
      <c r="C13" s="8"/>
      <c r="D13" s="8"/>
      <c r="E13" s="9"/>
    </row>
    <row r="14" spans="1:18" s="10" customFormat="1">
      <c r="C14" s="8"/>
      <c r="D14" s="8"/>
      <c r="E14" s="9"/>
    </row>
    <row r="15" spans="1:18" s="10" customFormat="1">
      <c r="C15" s="8"/>
      <c r="D15" s="8"/>
      <c r="E15" s="9"/>
    </row>
    <row r="16" spans="1:18" s="10" customFormat="1">
      <c r="C16" s="8"/>
      <c r="D16" s="8"/>
      <c r="E16" s="9"/>
    </row>
    <row r="17" spans="3:5" s="10" customFormat="1">
      <c r="C17" s="8"/>
      <c r="D17" s="8"/>
      <c r="E17" s="9"/>
    </row>
    <row r="18" spans="3:5" s="10" customFormat="1">
      <c r="C18" s="8"/>
      <c r="D18" s="8"/>
      <c r="E18" s="9"/>
    </row>
    <row r="19" spans="3:5" s="10" customFormat="1">
      <c r="C19" s="8"/>
      <c r="D19" s="8"/>
      <c r="E19" s="9"/>
    </row>
    <row r="20" spans="3:5" s="10" customFormat="1">
      <c r="C20" s="8"/>
      <c r="D20" s="8"/>
      <c r="E20" s="9"/>
    </row>
    <row r="21" spans="3:5" s="10" customFormat="1">
      <c r="C21" s="8"/>
      <c r="D21" s="8"/>
      <c r="E21" s="9"/>
    </row>
    <row r="22" spans="3:5" s="10" customFormat="1">
      <c r="C22" s="8"/>
      <c r="D22" s="8"/>
      <c r="E22" s="9"/>
    </row>
    <row r="23" spans="3:5" s="10" customFormat="1">
      <c r="C23" s="8"/>
      <c r="D23" s="8"/>
      <c r="E23" s="9"/>
    </row>
    <row r="24" spans="3:5" s="10" customFormat="1">
      <c r="C24" s="8"/>
      <c r="D24" s="8"/>
      <c r="E24" s="9"/>
    </row>
    <row r="25" spans="3:5" s="10" customFormat="1">
      <c r="C25" s="8"/>
      <c r="D25" s="8"/>
      <c r="E25" s="9"/>
    </row>
    <row r="26" spans="3:5" s="10" customFormat="1">
      <c r="C26" s="8"/>
      <c r="D26" s="8"/>
      <c r="E26" s="9"/>
    </row>
    <row r="27" spans="3:5" s="10" customFormat="1">
      <c r="C27" s="8"/>
      <c r="D27" s="8"/>
      <c r="E27" s="9"/>
    </row>
    <row r="28" spans="3:5" s="10" customFormat="1">
      <c r="C28" s="8"/>
      <c r="D28" s="8"/>
      <c r="E28" s="9"/>
    </row>
    <row r="29" spans="3:5" s="10" customFormat="1">
      <c r="C29" s="8"/>
      <c r="D29" s="8"/>
      <c r="E29" s="9"/>
    </row>
    <row r="30" spans="3:5" s="10" customFormat="1">
      <c r="C30" s="8"/>
      <c r="D30" s="8"/>
      <c r="E30" s="9"/>
    </row>
    <row r="31" spans="3:5" s="10" customFormat="1">
      <c r="C31" s="8"/>
      <c r="D31" s="8"/>
      <c r="E31" s="9"/>
    </row>
    <row r="32" spans="3:5" s="10" customFormat="1">
      <c r="C32" s="8"/>
      <c r="D32" s="8"/>
      <c r="E32" s="9"/>
    </row>
    <row r="33" spans="3:5" s="10" customFormat="1">
      <c r="C33" s="8"/>
      <c r="D33" s="8"/>
      <c r="E33" s="9"/>
    </row>
    <row r="34" spans="3:5" s="10" customFormat="1">
      <c r="C34" s="8"/>
      <c r="D34" s="8"/>
      <c r="E34" s="9"/>
    </row>
    <row r="35" spans="3:5" s="10" customFormat="1">
      <c r="C35" s="8"/>
      <c r="D35" s="8"/>
      <c r="E35" s="9"/>
    </row>
    <row r="36" spans="3:5" s="10" customFormat="1">
      <c r="C36" s="8"/>
      <c r="D36" s="8"/>
      <c r="E36" s="9"/>
    </row>
    <row r="37" spans="3:5" s="10" customFormat="1">
      <c r="C37" s="8"/>
      <c r="D37" s="8"/>
      <c r="E37" s="9"/>
    </row>
    <row r="38" spans="3:5" s="10" customFormat="1">
      <c r="C38" s="8"/>
      <c r="D38" s="8"/>
      <c r="E38" s="9"/>
    </row>
    <row r="39" spans="3:5" s="10" customFormat="1">
      <c r="C39" s="8"/>
      <c r="D39" s="8"/>
      <c r="E39" s="9"/>
    </row>
    <row r="40" spans="3:5" s="10" customFormat="1">
      <c r="C40" s="8"/>
      <c r="D40" s="8"/>
      <c r="E40" s="9"/>
    </row>
    <row r="41" spans="3:5" s="10" customFormat="1">
      <c r="C41" s="8"/>
      <c r="D41" s="8"/>
      <c r="E41" s="9"/>
    </row>
    <row r="42" spans="3:5" s="10" customFormat="1">
      <c r="C42" s="8"/>
      <c r="D42" s="8"/>
      <c r="E42" s="9"/>
    </row>
    <row r="43" spans="3:5" s="10" customFormat="1">
      <c r="C43" s="8"/>
      <c r="D43" s="8"/>
      <c r="E43" s="9"/>
    </row>
    <row r="44" spans="3:5" s="10" customFormat="1">
      <c r="C44" s="8"/>
      <c r="D44" s="8"/>
      <c r="E44" s="9"/>
    </row>
    <row r="45" spans="3:5" s="10" customFormat="1">
      <c r="C45" s="8"/>
      <c r="D45" s="8"/>
      <c r="E45" s="9"/>
    </row>
    <row r="46" spans="3:5" s="10" customFormat="1">
      <c r="C46" s="8"/>
      <c r="D46" s="8"/>
      <c r="E46" s="9"/>
    </row>
    <row r="47" spans="3:5" s="10" customFormat="1">
      <c r="C47" s="8"/>
      <c r="D47" s="8"/>
      <c r="E47" s="9"/>
    </row>
    <row r="48" spans="3:5" s="10" customFormat="1">
      <c r="C48" s="8"/>
      <c r="D48" s="8"/>
      <c r="E48" s="9"/>
    </row>
    <row r="49" spans="3:5" s="10" customFormat="1">
      <c r="C49" s="8"/>
      <c r="D49" s="8"/>
      <c r="E49" s="9"/>
    </row>
    <row r="50" spans="3:5" s="10" customFormat="1">
      <c r="C50" s="8"/>
      <c r="D50" s="8"/>
      <c r="E50" s="9"/>
    </row>
    <row r="51" spans="3:5" s="10" customFormat="1">
      <c r="C51" s="8"/>
      <c r="D51" s="8"/>
      <c r="E51" s="9"/>
    </row>
    <row r="52" spans="3:5" s="10" customFormat="1">
      <c r="C52" s="8"/>
      <c r="D52" s="8"/>
      <c r="E52" s="9"/>
    </row>
    <row r="53" spans="3:5" s="10" customFormat="1">
      <c r="C53" s="8"/>
      <c r="D53" s="8"/>
      <c r="E53" s="9"/>
    </row>
    <row r="54" spans="3:5" s="10" customFormat="1">
      <c r="C54" s="8"/>
      <c r="D54" s="8"/>
      <c r="E54" s="9"/>
    </row>
    <row r="55" spans="3:5" s="10" customFormat="1">
      <c r="C55" s="8"/>
      <c r="D55" s="8"/>
      <c r="E55" s="9"/>
    </row>
    <row r="56" spans="3:5" s="10" customFormat="1">
      <c r="C56" s="8"/>
      <c r="D56" s="8"/>
      <c r="E56" s="9"/>
    </row>
    <row r="57" spans="3:5" s="10" customFormat="1">
      <c r="C57" s="8"/>
      <c r="D57" s="8"/>
      <c r="E57" s="9"/>
    </row>
    <row r="58" spans="3:5" s="10" customFormat="1">
      <c r="C58" s="8"/>
      <c r="D58" s="8"/>
      <c r="E58" s="9"/>
    </row>
    <row r="59" spans="3:5" s="10" customFormat="1">
      <c r="C59" s="8"/>
      <c r="D59" s="8"/>
      <c r="E59" s="9"/>
    </row>
    <row r="60" spans="3:5" s="10" customFormat="1">
      <c r="C60" s="8"/>
      <c r="D60" s="8"/>
      <c r="E60" s="9"/>
    </row>
    <row r="61" spans="3:5" s="10" customFormat="1">
      <c r="C61" s="8"/>
      <c r="D61" s="8"/>
      <c r="E61" s="9"/>
    </row>
    <row r="62" spans="3:5" s="10" customFormat="1">
      <c r="C62" s="8"/>
      <c r="D62" s="8"/>
      <c r="E62" s="9"/>
    </row>
    <row r="63" spans="3:5" s="10" customFormat="1">
      <c r="C63" s="8"/>
      <c r="D63" s="8"/>
      <c r="E63" s="9"/>
    </row>
    <row r="64" spans="3:5" s="10" customFormat="1">
      <c r="C64" s="8"/>
      <c r="D64" s="8"/>
      <c r="E64" s="9"/>
    </row>
    <row r="65" spans="3:5" s="10" customFormat="1">
      <c r="C65" s="8"/>
      <c r="D65" s="8"/>
      <c r="E65" s="9"/>
    </row>
    <row r="66" spans="3:5" s="10" customFormat="1">
      <c r="C66" s="8"/>
      <c r="D66" s="8"/>
      <c r="E66" s="9"/>
    </row>
    <row r="67" spans="3:5" s="10" customFormat="1">
      <c r="C67" s="8"/>
      <c r="D67" s="8"/>
      <c r="E67" s="9"/>
    </row>
    <row r="68" spans="3:5" s="10" customFormat="1">
      <c r="C68" s="8"/>
      <c r="D68" s="8"/>
      <c r="E68" s="9"/>
    </row>
    <row r="69" spans="3:5" s="10" customFormat="1">
      <c r="C69" s="8"/>
      <c r="D69" s="8"/>
      <c r="E69" s="9"/>
    </row>
    <row r="70" spans="3:5" s="10" customFormat="1">
      <c r="C70" s="8"/>
      <c r="D70" s="8"/>
      <c r="E70" s="9"/>
    </row>
    <row r="71" spans="3:5" s="10" customFormat="1">
      <c r="C71" s="8"/>
      <c r="D71" s="8"/>
      <c r="E71" s="9"/>
    </row>
    <row r="72" spans="3:5" s="10" customFormat="1">
      <c r="C72" s="8"/>
      <c r="D72" s="8"/>
      <c r="E72" s="9"/>
    </row>
    <row r="73" spans="3:5" s="10" customFormat="1">
      <c r="C73" s="8"/>
      <c r="D73" s="8"/>
      <c r="E73" s="9"/>
    </row>
    <row r="74" spans="3:5" s="10" customFormat="1">
      <c r="C74" s="8"/>
      <c r="D74" s="8"/>
      <c r="E74" s="9"/>
    </row>
    <row r="75" spans="3:5" s="10" customFormat="1">
      <c r="C75" s="8"/>
      <c r="D75" s="8"/>
      <c r="E75" s="9"/>
    </row>
    <row r="76" spans="3:5" s="10" customFormat="1">
      <c r="C76" s="8"/>
      <c r="D76" s="8"/>
      <c r="E76" s="9"/>
    </row>
    <row r="77" spans="3:5" s="10" customFormat="1">
      <c r="C77" s="8"/>
      <c r="D77" s="8"/>
      <c r="E77" s="9"/>
    </row>
    <row r="78" spans="3:5" s="10" customFormat="1">
      <c r="C78" s="8"/>
      <c r="D78" s="8"/>
      <c r="E78" s="9"/>
    </row>
    <row r="79" spans="3:5" s="10" customFormat="1">
      <c r="C79" s="8"/>
      <c r="D79" s="8"/>
      <c r="E79" s="9"/>
    </row>
    <row r="80" spans="3:5" s="10" customFormat="1">
      <c r="C80" s="8"/>
      <c r="D80" s="8"/>
      <c r="E80" s="9"/>
    </row>
    <row r="81" spans="3:5" s="10" customFormat="1">
      <c r="C81" s="8"/>
      <c r="D81" s="8"/>
      <c r="E81" s="9"/>
    </row>
    <row r="82" spans="3:5" s="10" customFormat="1">
      <c r="C82" s="8"/>
      <c r="D82" s="8"/>
      <c r="E82" s="9"/>
    </row>
    <row r="83" spans="3:5" s="10" customFormat="1">
      <c r="C83" s="8"/>
      <c r="D83" s="8"/>
      <c r="E83" s="9"/>
    </row>
    <row r="84" spans="3:5" s="10" customFormat="1">
      <c r="C84" s="8"/>
      <c r="D84" s="8"/>
      <c r="E84" s="9"/>
    </row>
    <row r="85" spans="3:5" s="10" customFormat="1">
      <c r="C85" s="8"/>
      <c r="D85" s="8"/>
      <c r="E85" s="9"/>
    </row>
    <row r="86" spans="3:5" s="10" customFormat="1">
      <c r="C86" s="8"/>
      <c r="D86" s="8"/>
      <c r="E86" s="9"/>
    </row>
    <row r="87" spans="3:5" s="10" customFormat="1">
      <c r="C87" s="8"/>
      <c r="D87" s="8"/>
      <c r="E87" s="9"/>
    </row>
    <row r="88" spans="3:5" s="10" customFormat="1">
      <c r="C88" s="8"/>
      <c r="D88" s="8"/>
      <c r="E88" s="9"/>
    </row>
    <row r="89" spans="3:5" s="10" customFormat="1">
      <c r="C89" s="8"/>
      <c r="D89" s="8"/>
      <c r="E89" s="9"/>
    </row>
    <row r="90" spans="3:5" s="10" customFormat="1">
      <c r="C90" s="8"/>
      <c r="D90" s="8"/>
      <c r="E90" s="9"/>
    </row>
    <row r="91" spans="3:5" s="10" customFormat="1">
      <c r="C91" s="8"/>
      <c r="D91" s="8"/>
      <c r="E91" s="9"/>
    </row>
    <row r="92" spans="3:5" s="10" customFormat="1">
      <c r="C92" s="8"/>
      <c r="D92" s="8"/>
      <c r="E92" s="9"/>
    </row>
    <row r="93" spans="3:5" s="10" customFormat="1">
      <c r="C93" s="8"/>
      <c r="D93" s="8"/>
      <c r="E93" s="9"/>
    </row>
    <row r="94" spans="3:5" s="10" customFormat="1">
      <c r="C94" s="8"/>
      <c r="D94" s="8"/>
      <c r="E94" s="9"/>
    </row>
    <row r="95" spans="3:5" s="10" customFormat="1">
      <c r="C95" s="8"/>
      <c r="D95" s="8"/>
      <c r="E95" s="9"/>
    </row>
    <row r="96" spans="3:5" s="10" customFormat="1">
      <c r="C96" s="8"/>
      <c r="D96" s="8"/>
      <c r="E96" s="9"/>
    </row>
    <row r="97" spans="1:12" s="10" customFormat="1">
      <c r="C97" s="8"/>
      <c r="D97" s="8"/>
      <c r="E97" s="9"/>
    </row>
    <row r="98" spans="1:12" s="10" customFormat="1">
      <c r="C98" s="8"/>
      <c r="D98" s="8"/>
      <c r="E98" s="9"/>
    </row>
    <row r="99" spans="1:12" s="10" customFormat="1">
      <c r="C99" s="8"/>
      <c r="D99" s="8"/>
      <c r="E99" s="9"/>
    </row>
    <row r="100" spans="1:12" s="10" customFormat="1">
      <c r="C100" s="8"/>
      <c r="D100" s="8"/>
      <c r="E100" s="9"/>
    </row>
    <row r="101" spans="1:12" s="10" customFormat="1">
      <c r="C101" s="8"/>
      <c r="D101" s="8"/>
      <c r="E101" s="9"/>
    </row>
    <row r="102" spans="1:12" s="10" customFormat="1">
      <c r="C102" s="8"/>
      <c r="D102" s="8"/>
      <c r="E102" s="9"/>
      <c r="J102" s="6"/>
      <c r="K102" s="6"/>
    </row>
    <row r="103" spans="1:12" s="10" customFormat="1">
      <c r="C103" s="8"/>
      <c r="D103" s="8"/>
      <c r="E103" s="9"/>
      <c r="J103" s="6"/>
      <c r="K103" s="6"/>
    </row>
    <row r="104" spans="1:12" s="10" customFormat="1">
      <c r="C104" s="8"/>
      <c r="D104" s="8"/>
      <c r="E104" s="9"/>
      <c r="J104" s="6"/>
      <c r="K104" s="6"/>
    </row>
    <row r="105" spans="1:12" s="10" customFormat="1">
      <c r="C105" s="8"/>
      <c r="D105" s="8"/>
      <c r="E105" s="9"/>
      <c r="J105" s="6"/>
      <c r="K105" s="6"/>
    </row>
    <row r="106" spans="1:12" s="10" customFormat="1">
      <c r="C106" s="8"/>
      <c r="D106" s="8"/>
      <c r="E106" s="9"/>
      <c r="J106" s="6"/>
      <c r="K106" s="6"/>
    </row>
    <row r="107" spans="1:12" s="10" customFormat="1">
      <c r="C107" s="8"/>
      <c r="D107" s="8"/>
      <c r="E107" s="9"/>
      <c r="J107" s="6"/>
      <c r="K107" s="6"/>
    </row>
    <row r="108" spans="1:12" s="10" customFormat="1">
      <c r="C108" s="8"/>
      <c r="D108" s="8"/>
      <c r="E108" s="9"/>
    </row>
    <row r="109" spans="1:12" s="10" customFormat="1">
      <c r="A109"/>
      <c r="B109"/>
      <c r="C109" s="8"/>
      <c r="D109" s="8"/>
      <c r="E109" s="9"/>
    </row>
    <row r="110" spans="1:12" s="10" customFormat="1">
      <c r="A110"/>
      <c r="B110"/>
      <c r="C110" s="8"/>
      <c r="D110" s="8"/>
      <c r="E110" s="9"/>
    </row>
    <row r="111" spans="1:12" s="10" customFormat="1">
      <c r="A111"/>
      <c r="B111"/>
      <c r="C111" s="8"/>
      <c r="D111" s="8"/>
      <c r="E111" s="9"/>
    </row>
    <row r="112" spans="1:12" s="10" customFormat="1">
      <c r="A112"/>
      <c r="B112"/>
      <c r="C112" s="8"/>
      <c r="D112" s="8"/>
      <c r="E112" s="9"/>
    </row>
    <row r="113" spans="1:12" s="10" customFormat="1">
      <c r="A113"/>
      <c r="B113"/>
      <c r="C113" s="8"/>
      <c r="D113" s="8"/>
      <c r="E113" s="9"/>
    </row>
    <row r="114" spans="1:12" s="10" customFormat="1">
      <c r="A114"/>
      <c r="B114"/>
      <c r="C114" s="8"/>
      <c r="D114" s="8"/>
      <c r="E114" s="9"/>
    </row>
    <row r="115" spans="1:12" s="10" customFormat="1">
      <c r="A115"/>
      <c r="B115"/>
      <c r="C115" s="8"/>
      <c r="D115" s="8"/>
      <c r="E115" s="9"/>
    </row>
    <row r="116" spans="1:12" s="10" customFormat="1">
      <c r="A116"/>
      <c r="B116"/>
      <c r="C116" s="8"/>
      <c r="D116" s="8"/>
      <c r="E116" s="9"/>
    </row>
    <row r="117" spans="1:12" s="10" customFormat="1">
      <c r="A117"/>
      <c r="B117"/>
      <c r="C117" s="8"/>
      <c r="D117" s="8"/>
      <c r="E117" s="9"/>
    </row>
    <row r="118" spans="1:12" s="10" customFormat="1">
      <c r="A118"/>
      <c r="B118"/>
      <c r="C118" s="8"/>
      <c r="D118" s="8"/>
      <c r="E118" s="9"/>
    </row>
    <row r="119" spans="1:12" s="10" customFormat="1">
      <c r="A119"/>
      <c r="B119"/>
      <c r="C119" s="8"/>
      <c r="D119" s="8"/>
      <c r="E119" s="9"/>
    </row>
    <row r="120" spans="1:12" s="10" customFormat="1">
      <c r="A120"/>
      <c r="B120"/>
      <c r="C120" s="8"/>
      <c r="D120" s="8"/>
      <c r="E120" s="9"/>
    </row>
    <row r="121" spans="1:12" s="10" customFormat="1">
      <c r="A121"/>
      <c r="B121"/>
      <c r="C121" s="8"/>
      <c r="D121" s="8"/>
      <c r="E121" s="9"/>
    </row>
    <row r="122" spans="1:12" s="10" customFormat="1">
      <c r="A122"/>
      <c r="B122"/>
      <c r="C122" s="8"/>
      <c r="D122" s="8"/>
      <c r="E122" s="9"/>
    </row>
    <row r="123" spans="1:12" s="10" customFormat="1">
      <c r="A123"/>
      <c r="B123"/>
      <c r="C123" s="8"/>
      <c r="D123" s="8"/>
      <c r="E123" s="9"/>
    </row>
    <row r="124" spans="1:12" s="10" customFormat="1">
      <c r="A124"/>
      <c r="B124"/>
      <c r="C124" s="8"/>
      <c r="D124" s="8"/>
      <c r="E124" s="9"/>
    </row>
    <row r="125" spans="1:12" s="10" customFormat="1">
      <c r="C125" s="8"/>
      <c r="D125" s="8"/>
      <c r="E125" s="9"/>
    </row>
    <row r="126" spans="1:12" s="10" customFormat="1">
      <c r="C126" s="8"/>
      <c r="D126" s="8"/>
      <c r="E126" s="9"/>
    </row>
    <row r="127" spans="1:12" s="10" customFormat="1">
      <c r="C127" s="8"/>
      <c r="D127" s="8"/>
      <c r="E127" s="9"/>
    </row>
    <row r="128" spans="1:12" s="10" customFormat="1">
      <c r="C128" s="8"/>
      <c r="D128" s="8"/>
      <c r="E128" s="9"/>
    </row>
    <row r="129" spans="3:5" s="10" customFormat="1">
      <c r="C129" s="8"/>
      <c r="D129" s="8"/>
      <c r="E129" s="9"/>
    </row>
    <row r="130" spans="3:5" s="10" customFormat="1">
      <c r="C130" s="8"/>
      <c r="D130" s="8"/>
      <c r="E130" s="9"/>
    </row>
    <row r="131" spans="3:5" s="10" customFormat="1">
      <c r="C131" s="8"/>
      <c r="D131" s="8"/>
      <c r="E131" s="9"/>
    </row>
    <row r="132" spans="3:5" s="10" customFormat="1">
      <c r="C132" s="8"/>
      <c r="D132" s="8"/>
      <c r="E132" s="9"/>
    </row>
    <row r="133" spans="3:5" s="10" customFormat="1">
      <c r="C133" s="8"/>
      <c r="D133" s="8"/>
      <c r="E133" s="9"/>
    </row>
    <row r="134" spans="3:5" s="10" customFormat="1">
      <c r="C134" s="8"/>
      <c r="D134" s="8"/>
      <c r="E134" s="9"/>
    </row>
    <row r="135" spans="3:5" s="10" customFormat="1">
      <c r="C135" s="8"/>
      <c r="D135" s="8"/>
      <c r="E135" s="9"/>
    </row>
    <row r="136" spans="3:5" s="10" customFormat="1">
      <c r="C136" s="8"/>
      <c r="D136" s="8"/>
      <c r="E136" s="9"/>
    </row>
    <row r="137" spans="3:5" s="10" customFormat="1">
      <c r="C137" s="8"/>
      <c r="D137" s="8"/>
      <c r="E137" s="9"/>
    </row>
    <row r="138" spans="3:5" s="10" customFormat="1">
      <c r="C138" s="8"/>
      <c r="D138" s="8"/>
      <c r="E138" s="9"/>
    </row>
    <row r="139" spans="3:5" s="10" customFormat="1">
      <c r="C139" s="8"/>
      <c r="D139" s="8"/>
      <c r="E139" s="9"/>
    </row>
    <row r="140" spans="3:5" s="10" customFormat="1">
      <c r="C140" s="8"/>
      <c r="D140" s="8"/>
      <c r="E140" s="9"/>
    </row>
    <row r="141" spans="3:5" s="10" customFormat="1">
      <c r="C141" s="8"/>
      <c r="D141" s="8"/>
      <c r="E141" s="9"/>
    </row>
    <row r="142" spans="3:5" s="10" customFormat="1">
      <c r="C142" s="8"/>
      <c r="D142" s="8"/>
      <c r="E142" s="9"/>
    </row>
    <row r="143" spans="3:5" s="10" customFormat="1">
      <c r="C143" s="8"/>
      <c r="D143" s="8"/>
      <c r="E143" s="9"/>
    </row>
    <row r="144" spans="3:5" s="10" customFormat="1">
      <c r="C144" s="8"/>
      <c r="D144" s="8"/>
      <c r="E144" s="9"/>
    </row>
    <row r="145" spans="3:5" s="10" customFormat="1">
      <c r="C145" s="8"/>
      <c r="D145" s="8"/>
      <c r="E145" s="9"/>
    </row>
    <row r="146" spans="3:5" s="10" customFormat="1">
      <c r="C146" s="8"/>
      <c r="D146" s="8"/>
      <c r="E146" s="9"/>
    </row>
    <row r="147" spans="3:5" s="10" customFormat="1">
      <c r="C147" s="8"/>
      <c r="D147" s="8"/>
      <c r="E147" s="9"/>
    </row>
    <row r="148" spans="3:5" s="10" customFormat="1">
      <c r="C148" s="8"/>
      <c r="D148" s="8"/>
      <c r="E148" s="9"/>
    </row>
    <row r="149" spans="3:5" s="10" customFormat="1">
      <c r="C149" s="8"/>
      <c r="D149" s="8"/>
      <c r="E149" s="9"/>
    </row>
    <row r="150" spans="3:5" s="10" customFormat="1">
      <c r="C150" s="8"/>
      <c r="D150" s="8"/>
      <c r="E150" s="9"/>
    </row>
    <row r="151" spans="3:5" s="10" customFormat="1">
      <c r="C151" s="8"/>
      <c r="D151" s="8"/>
      <c r="E151" s="9"/>
    </row>
    <row r="152" spans="3:5" s="10" customFormat="1">
      <c r="C152" s="8"/>
      <c r="D152" s="8"/>
      <c r="E152" s="9"/>
    </row>
    <row r="153" spans="3:5" s="10" customFormat="1">
      <c r="C153" s="8"/>
      <c r="D153" s="8"/>
      <c r="E153" s="9"/>
    </row>
    <row r="154" spans="3:5" s="10" customFormat="1">
      <c r="C154" s="8"/>
      <c r="D154" s="8"/>
      <c r="E154" s="9"/>
    </row>
    <row r="155" spans="3:5" s="10" customFormat="1">
      <c r="C155" s="8"/>
      <c r="D155" s="8"/>
      <c r="E155" s="9"/>
    </row>
    <row r="156" spans="3:5" s="10" customFormat="1">
      <c r="C156" s="8"/>
      <c r="D156" s="8"/>
      <c r="E156" s="9"/>
    </row>
    <row r="157" spans="3:5" s="10" customFormat="1">
      <c r="C157" s="8"/>
      <c r="D157" s="8"/>
      <c r="E157" s="9"/>
    </row>
    <row r="158" spans="3:5" s="10" customFormat="1">
      <c r="C158" s="8"/>
      <c r="D158" s="8"/>
      <c r="E158" s="9"/>
    </row>
    <row r="159" spans="3:5" s="10" customFormat="1">
      <c r="C159" s="8"/>
      <c r="D159" s="8"/>
      <c r="E159" s="9"/>
    </row>
    <row r="160" spans="3:5" s="10" customFormat="1">
      <c r="C160" s="8"/>
      <c r="D160" s="8"/>
      <c r="E160" s="9"/>
    </row>
    <row r="161" spans="3:5" s="10" customFormat="1">
      <c r="C161" s="8"/>
      <c r="D161" s="8"/>
      <c r="E161" s="9"/>
    </row>
    <row r="162" spans="3:5" s="10" customFormat="1">
      <c r="C162" s="8"/>
      <c r="D162" s="8"/>
      <c r="E162" s="9"/>
    </row>
    <row r="163" spans="3:5" s="10" customFormat="1">
      <c r="C163" s="8"/>
      <c r="D163" s="8"/>
      <c r="E163" s="9"/>
    </row>
    <row r="164" spans="3:5" s="10" customFormat="1">
      <c r="C164" s="8"/>
      <c r="D164" s="8"/>
      <c r="E164" s="9"/>
    </row>
    <row r="165" spans="3:5" s="10" customFormat="1">
      <c r="C165" s="8"/>
      <c r="D165" s="8"/>
      <c r="E165" s="9"/>
    </row>
    <row r="166" spans="3:5" s="10" customFormat="1">
      <c r="C166" s="8"/>
      <c r="D166" s="8"/>
      <c r="E166" s="9"/>
    </row>
    <row r="167" spans="3:5" s="10" customFormat="1">
      <c r="C167" s="8"/>
      <c r="D167" s="8"/>
      <c r="E167" s="9"/>
    </row>
    <row r="168" spans="3:5" s="10" customFormat="1">
      <c r="C168" s="8"/>
      <c r="D168" s="8"/>
      <c r="E168" s="9"/>
    </row>
    <row r="169" spans="3:5" s="10" customFormat="1">
      <c r="C169" s="8"/>
      <c r="D169" s="8"/>
      <c r="E169" s="9"/>
    </row>
    <row r="170" spans="3:5" s="10" customFormat="1">
      <c r="C170" s="8"/>
      <c r="D170" s="8"/>
      <c r="E170" s="9"/>
    </row>
    <row r="171" spans="3:5" s="10" customFormat="1">
      <c r="C171" s="8"/>
      <c r="D171" s="8"/>
      <c r="E171" s="9"/>
    </row>
    <row r="172" spans="3:5" s="10" customFormat="1">
      <c r="C172" s="8"/>
      <c r="D172" s="8"/>
      <c r="E172" s="9"/>
    </row>
    <row r="173" spans="3:5" s="10" customFormat="1">
      <c r="C173" s="8"/>
      <c r="D173" s="8"/>
      <c r="E173" s="9"/>
    </row>
    <row r="174" spans="3:5" s="10" customFormat="1">
      <c r="C174" s="8"/>
      <c r="D174" s="8"/>
      <c r="E174" s="9"/>
    </row>
    <row r="175" spans="3:5" s="10" customFormat="1">
      <c r="C175" s="8"/>
      <c r="D175" s="8"/>
      <c r="E175" s="9"/>
    </row>
    <row r="176" spans="3:5" s="10" customFormat="1">
      <c r="C176" s="8"/>
      <c r="D176" s="8"/>
      <c r="E176" s="9"/>
    </row>
    <row r="177" spans="3:5" s="10" customFormat="1">
      <c r="C177" s="8"/>
      <c r="D177" s="8"/>
      <c r="E177" s="9"/>
    </row>
    <row r="178" spans="3:5" s="10" customFormat="1">
      <c r="C178" s="8"/>
      <c r="D178" s="8"/>
      <c r="E178" s="9"/>
    </row>
    <row r="179" spans="3:5" s="10" customFormat="1">
      <c r="C179" s="8"/>
      <c r="D179" s="8"/>
      <c r="E179" s="9"/>
    </row>
    <row r="180" spans="3:5" s="10" customFormat="1">
      <c r="C180" s="8"/>
      <c r="D180" s="8"/>
      <c r="E180" s="9"/>
    </row>
    <row r="181" spans="3:5" s="10" customFormat="1">
      <c r="C181" s="8"/>
      <c r="D181" s="8"/>
      <c r="E181" s="9"/>
    </row>
    <row r="182" spans="3:5" s="10" customFormat="1">
      <c r="C182" s="8"/>
      <c r="D182" s="8"/>
      <c r="E182" s="9"/>
    </row>
    <row r="183" spans="3:5" s="10" customFormat="1">
      <c r="C183" s="8"/>
      <c r="D183" s="8"/>
      <c r="E183" s="9"/>
    </row>
    <row r="184" spans="3:5" s="10" customFormat="1">
      <c r="C184" s="8"/>
      <c r="D184" s="8"/>
      <c r="E184" s="9"/>
    </row>
    <row r="185" spans="3:5" s="10" customFormat="1">
      <c r="C185" s="8"/>
      <c r="D185" s="8"/>
      <c r="E185" s="9"/>
    </row>
    <row r="186" spans="3:5" s="10" customFormat="1">
      <c r="C186" s="8"/>
      <c r="D186" s="8"/>
      <c r="E186" s="9"/>
    </row>
    <row r="187" spans="3:5" s="10" customFormat="1">
      <c r="C187" s="8"/>
      <c r="D187" s="8"/>
      <c r="E187" s="9"/>
    </row>
    <row r="188" spans="3:5" s="10" customFormat="1">
      <c r="C188" s="8"/>
      <c r="D188" s="8"/>
      <c r="E188" s="9"/>
    </row>
    <row r="189" spans="3:5" s="10" customFormat="1">
      <c r="C189" s="8"/>
      <c r="D189" s="8"/>
      <c r="E189" s="9"/>
    </row>
    <row r="190" spans="3:5" s="10" customFormat="1">
      <c r="C190" s="8"/>
      <c r="D190" s="8"/>
      <c r="E190" s="9"/>
    </row>
    <row r="191" spans="3:5" s="10" customFormat="1">
      <c r="C191" s="8"/>
      <c r="D191" s="8"/>
      <c r="E191" s="9"/>
    </row>
    <row r="192" spans="3:5" s="10" customFormat="1">
      <c r="C192" s="8"/>
      <c r="D192" s="8"/>
      <c r="E192" s="9"/>
    </row>
    <row r="193" spans="3:5" s="10" customFormat="1">
      <c r="C193" s="8"/>
      <c r="D193" s="8"/>
      <c r="E193" s="9"/>
    </row>
    <row r="194" spans="3:5" s="10" customFormat="1">
      <c r="C194" s="8"/>
      <c r="D194" s="8"/>
      <c r="E194" s="9"/>
    </row>
    <row r="195" spans="3:5" s="10" customFormat="1">
      <c r="C195" s="8"/>
      <c r="D195" s="8"/>
      <c r="E195" s="9"/>
    </row>
    <row r="196" spans="3:5" s="10" customFormat="1">
      <c r="C196" s="8"/>
      <c r="D196" s="8"/>
      <c r="E196" s="9"/>
    </row>
    <row r="197" spans="3:5" s="10" customFormat="1">
      <c r="C197" s="8"/>
      <c r="D197" s="8"/>
      <c r="E197" s="9"/>
    </row>
    <row r="198" spans="3:5" s="10" customFormat="1">
      <c r="C198" s="8"/>
      <c r="D198" s="8"/>
      <c r="E198" s="9"/>
    </row>
    <row r="199" spans="3:5" s="10" customFormat="1">
      <c r="C199" s="8"/>
      <c r="D199" s="8"/>
      <c r="E199" s="9"/>
    </row>
    <row r="200" spans="3:5" s="10" customFormat="1">
      <c r="C200" s="8"/>
      <c r="D200" s="8"/>
      <c r="E200" s="9"/>
    </row>
    <row r="201" spans="3:5" s="10" customFormat="1">
      <c r="C201" s="8"/>
      <c r="D201" s="8"/>
      <c r="E201" s="9"/>
    </row>
    <row r="202" spans="3:5" s="10" customFormat="1">
      <c r="C202" s="8"/>
      <c r="D202" s="8"/>
      <c r="E202" s="9"/>
    </row>
    <row r="203" spans="3:5" s="10" customFormat="1">
      <c r="C203" s="8"/>
      <c r="D203" s="8"/>
      <c r="E203" s="9"/>
    </row>
    <row r="204" spans="3:5" s="10" customFormat="1">
      <c r="C204" s="8"/>
      <c r="D204" s="8"/>
      <c r="E204" s="9"/>
    </row>
    <row r="205" spans="3:5" s="10" customFormat="1">
      <c r="C205" s="8"/>
      <c r="D205" s="8"/>
      <c r="E205" s="9"/>
    </row>
    <row r="206" spans="3:5" s="10" customFormat="1">
      <c r="C206" s="8"/>
      <c r="D206" s="8"/>
      <c r="E206" s="9"/>
    </row>
    <row r="207" spans="3:5" s="10" customFormat="1">
      <c r="C207" s="8"/>
      <c r="D207" s="8"/>
      <c r="E207" s="9"/>
    </row>
    <row r="208" spans="3:5" s="10" customFormat="1">
      <c r="C208" s="8"/>
      <c r="D208" s="8"/>
      <c r="E208" s="9"/>
    </row>
    <row r="209" spans="3:5" s="10" customFormat="1">
      <c r="C209" s="8"/>
      <c r="D209" s="8"/>
      <c r="E209" s="9"/>
    </row>
    <row r="210" spans="3:5" s="10" customFormat="1">
      <c r="C210" s="8"/>
      <c r="D210" s="8"/>
      <c r="E210" s="9"/>
    </row>
    <row r="211" spans="3:5" s="10" customFormat="1">
      <c r="C211" s="8"/>
      <c r="D211" s="8"/>
      <c r="E211" s="9"/>
    </row>
    <row r="212" spans="3:5" s="10" customFormat="1">
      <c r="C212" s="8"/>
      <c r="D212" s="8"/>
      <c r="E212" s="9"/>
    </row>
    <row r="213" spans="3:5" s="10" customFormat="1">
      <c r="C213" s="8"/>
      <c r="D213" s="8"/>
      <c r="E213" s="9"/>
    </row>
    <row r="214" spans="3:5" s="10" customFormat="1">
      <c r="C214" s="8"/>
      <c r="D214" s="8"/>
      <c r="E214" s="9"/>
    </row>
    <row r="215" spans="3:5" s="10" customFormat="1">
      <c r="C215" s="8"/>
      <c r="D215" s="8"/>
      <c r="E215" s="9"/>
    </row>
    <row r="216" spans="3:5" s="10" customFormat="1">
      <c r="C216" s="8"/>
      <c r="D216" s="8"/>
      <c r="E216" s="9"/>
    </row>
    <row r="217" spans="3:5" s="10" customFormat="1">
      <c r="C217" s="8"/>
      <c r="D217" s="8"/>
      <c r="E217" s="9"/>
    </row>
    <row r="218" spans="3:5" s="10" customFormat="1">
      <c r="C218" s="8"/>
      <c r="D218" s="8"/>
      <c r="E218" s="9"/>
    </row>
    <row r="219" spans="3:5" s="10" customFormat="1">
      <c r="C219" s="8"/>
      <c r="D219" s="8"/>
      <c r="E219" s="9"/>
    </row>
    <row r="220" spans="3:5" s="10" customFormat="1">
      <c r="C220" s="8"/>
      <c r="D220" s="8"/>
      <c r="E220" s="9"/>
    </row>
    <row r="221" spans="3:5" s="10" customFormat="1">
      <c r="C221" s="8"/>
      <c r="D221" s="8"/>
      <c r="E221" s="9"/>
    </row>
    <row r="222" spans="3:5" s="10" customFormat="1">
      <c r="C222" s="8"/>
      <c r="D222" s="8"/>
      <c r="E222" s="9"/>
    </row>
    <row r="223" spans="3:5" s="10" customFormat="1">
      <c r="C223" s="8"/>
      <c r="D223" s="8"/>
      <c r="E223" s="9"/>
    </row>
    <row r="224" spans="3:5" s="10" customFormat="1">
      <c r="C224" s="8"/>
      <c r="D224" s="8"/>
      <c r="E224" s="9"/>
    </row>
    <row r="225" spans="3:5" s="10" customFormat="1">
      <c r="C225" s="8"/>
      <c r="D225" s="8"/>
      <c r="E225" s="9"/>
    </row>
    <row r="226" spans="3:5" s="10" customFormat="1">
      <c r="C226" s="8"/>
      <c r="D226" s="8"/>
      <c r="E226" s="9"/>
    </row>
    <row r="227" spans="3:5" s="10" customFormat="1">
      <c r="C227" s="8"/>
      <c r="D227" s="8"/>
      <c r="E227" s="9"/>
    </row>
    <row r="228" spans="3:5" s="10" customFormat="1">
      <c r="C228" s="8"/>
      <c r="D228" s="8"/>
      <c r="E228" s="9"/>
    </row>
    <row r="229" spans="3:5" s="10" customFormat="1">
      <c r="C229" s="8"/>
      <c r="D229" s="8"/>
      <c r="E229" s="9"/>
    </row>
    <row r="230" spans="3:5" s="10" customFormat="1">
      <c r="C230" s="8"/>
      <c r="D230" s="8"/>
      <c r="E230" s="9"/>
    </row>
    <row r="231" spans="3:5" s="10" customFormat="1">
      <c r="C231" s="8"/>
      <c r="D231" s="8"/>
      <c r="E231" s="9"/>
    </row>
    <row r="232" spans="3:5" s="10" customFormat="1">
      <c r="C232" s="8"/>
      <c r="D232" s="8"/>
      <c r="E232" s="9"/>
    </row>
    <row r="233" spans="3:5" s="10" customFormat="1">
      <c r="C233" s="8"/>
      <c r="D233" s="8"/>
      <c r="E233" s="9"/>
    </row>
    <row r="234" spans="3:5" s="10" customFormat="1">
      <c r="C234" s="8"/>
      <c r="D234" s="8"/>
      <c r="E234" s="9"/>
    </row>
    <row r="235" spans="3:5" s="10" customFormat="1">
      <c r="C235" s="8"/>
      <c r="D235" s="8"/>
      <c r="E235" s="9"/>
    </row>
    <row r="236" spans="3:5" s="10" customFormat="1">
      <c r="C236" s="8"/>
      <c r="D236" s="8"/>
      <c r="E236" s="9"/>
    </row>
    <row r="237" spans="3:5" s="10" customFormat="1">
      <c r="C237" s="8"/>
      <c r="D237" s="8"/>
      <c r="E237" s="9"/>
    </row>
    <row r="238" spans="3:5" s="10" customFormat="1">
      <c r="C238" s="8"/>
      <c r="D238" s="8"/>
      <c r="E238" s="9"/>
    </row>
    <row r="239" spans="3:5" s="10" customFormat="1">
      <c r="C239" s="8"/>
      <c r="D239" s="8"/>
      <c r="E239" s="9"/>
    </row>
    <row r="240" spans="3:5" s="10" customFormat="1">
      <c r="C240" s="8"/>
      <c r="D240" s="8"/>
      <c r="E240" s="9"/>
    </row>
    <row r="241" spans="3:11" s="10" customFormat="1">
      <c r="C241" s="8"/>
      <c r="D241" s="8"/>
      <c r="E241" s="9"/>
    </row>
    <row r="242" spans="3:11" s="10" customFormat="1">
      <c r="C242" s="8"/>
      <c r="D242" s="8"/>
      <c r="E242" s="9"/>
    </row>
    <row r="243" spans="3:11" s="10" customFormat="1">
      <c r="C243" s="8"/>
      <c r="D243" s="8"/>
      <c r="E243" s="9"/>
    </row>
    <row r="244" spans="3:11" s="10" customFormat="1">
      <c r="C244" s="8"/>
      <c r="D244" s="8"/>
    </row>
    <row r="245" spans="3:11" s="10" customFormat="1">
      <c r="C245" s="8"/>
      <c r="D245" s="8"/>
    </row>
    <row r="246" spans="3:11" s="10" customFormat="1">
      <c r="C246" s="8"/>
      <c r="D246" s="8"/>
      <c r="E246" s="9"/>
    </row>
    <row r="247" spans="3:11" s="10" customFormat="1">
      <c r="C247" s="8"/>
      <c r="D247" s="8"/>
    </row>
    <row r="248" spans="3:11" s="10" customFormat="1">
      <c r="C248" s="8"/>
      <c r="D248" s="8"/>
    </row>
    <row r="249" spans="3:11" s="10" customFormat="1">
      <c r="C249" s="8"/>
      <c r="D249" s="8"/>
      <c r="J249" s="6"/>
      <c r="K249" s="6"/>
    </row>
    <row r="250" spans="3:11" s="10" customFormat="1">
      <c r="C250" s="8"/>
      <c r="D250" s="8"/>
      <c r="J250" s="6"/>
      <c r="K250" s="6"/>
    </row>
    <row r="251" spans="3:11" s="10" customFormat="1">
      <c r="C251" s="8"/>
      <c r="D251" s="8"/>
    </row>
    <row r="252" spans="3:11" s="10" customFormat="1">
      <c r="C252" s="8"/>
      <c r="D252" s="8"/>
    </row>
    <row r="295" spans="1:12" s="10" customFormat="1">
      <c r="A295"/>
      <c r="B295"/>
      <c r="C295" s="8"/>
      <c r="D295" s="8"/>
    </row>
    <row r="296" spans="1:12" s="10" customFormat="1">
      <c r="A296"/>
      <c r="B296"/>
      <c r="C296" s="8"/>
      <c r="D296" s="8"/>
    </row>
    <row r="297" spans="1:12" s="10" customFormat="1">
      <c r="A297"/>
      <c r="B297"/>
      <c r="C297" s="8"/>
      <c r="D297" s="8"/>
    </row>
    <row r="298" spans="1:12" s="10" customFormat="1">
      <c r="A298"/>
      <c r="B298"/>
      <c r="C298" s="8"/>
      <c r="D298" s="8"/>
    </row>
    <row r="299" spans="1:12" s="10" customFormat="1">
      <c r="A299"/>
      <c r="B299"/>
      <c r="C299" s="8"/>
      <c r="D299" s="8"/>
    </row>
    <row r="300" spans="1:12" s="10" customFormat="1">
      <c r="A300"/>
      <c r="B300"/>
      <c r="C300" s="8"/>
      <c r="D300" s="8"/>
    </row>
    <row r="301" spans="1:12" s="10" customFormat="1">
      <c r="A301"/>
      <c r="B301"/>
      <c r="C301" s="8"/>
      <c r="D301" s="8"/>
    </row>
    <row r="302" spans="1:12" s="10" customFormat="1">
      <c r="A302"/>
      <c r="B302"/>
      <c r="C302" s="8"/>
      <c r="D302" s="8"/>
      <c r="J302" s="8"/>
      <c r="K302" s="8"/>
      <c r="L302"/>
    </row>
    <row r="303" spans="1:12" s="10" customFormat="1">
      <c r="A303"/>
      <c r="B303"/>
      <c r="C303" s="8"/>
      <c r="D303" s="8"/>
      <c r="J303" s="8"/>
      <c r="K303" s="8"/>
      <c r="L303"/>
    </row>
    <row r="304" spans="1:12" s="10" customFormat="1">
      <c r="A304"/>
      <c r="B304"/>
      <c r="C304" s="8"/>
      <c r="D304" s="8"/>
      <c r="J304" s="8"/>
      <c r="K304" s="8"/>
      <c r="L304"/>
    </row>
    <row r="305" spans="1:12" s="10" customFormat="1">
      <c r="A305"/>
      <c r="B305"/>
      <c r="C305" s="8"/>
      <c r="D305" s="8"/>
      <c r="J305" s="6"/>
      <c r="K305" s="6"/>
      <c r="L305"/>
    </row>
    <row r="306" spans="1:12" s="10" customFormat="1">
      <c r="A306"/>
      <c r="B306"/>
      <c r="C306" s="8"/>
      <c r="D306" s="8"/>
      <c r="J306" s="6"/>
      <c r="K306" s="6"/>
      <c r="L306"/>
    </row>
    <row r="307" spans="1:12" s="10" customFormat="1">
      <c r="C307" s="8"/>
      <c r="D307" s="8"/>
      <c r="J307" s="6"/>
      <c r="K307" s="6"/>
    </row>
    <row r="308" spans="1:12" s="10" customFormat="1">
      <c r="C308" s="8"/>
      <c r="D308" s="8"/>
      <c r="J308" s="8"/>
      <c r="K308" s="8"/>
    </row>
    <row r="309" spans="1:12" s="10" customFormat="1">
      <c r="C309" s="8"/>
      <c r="D309" s="8"/>
      <c r="J309" s="8"/>
      <c r="K309" s="8"/>
    </row>
    <row r="310" spans="1:12" s="10" customFormat="1">
      <c r="C310" s="8"/>
      <c r="D310" s="8"/>
      <c r="J310" s="8"/>
      <c r="K310" s="8"/>
    </row>
    <row r="311" spans="1:12" s="10" customFormat="1">
      <c r="C311" s="8"/>
      <c r="D311" s="8"/>
      <c r="J311" s="8"/>
      <c r="K311" s="8"/>
    </row>
    <row r="312" spans="1:12" s="10" customFormat="1">
      <c r="C312" s="8"/>
      <c r="D312" s="8"/>
      <c r="J312" s="8"/>
      <c r="K312" s="8"/>
    </row>
    <row r="313" spans="1:12" s="10" customFormat="1">
      <c r="C313" s="8"/>
      <c r="D313" s="8"/>
      <c r="J313" s="8"/>
      <c r="K313" s="8"/>
    </row>
    <row r="314" spans="1:12" s="10" customFormat="1">
      <c r="C314" s="8"/>
      <c r="D314" s="8"/>
      <c r="J314" s="8"/>
      <c r="K314" s="8"/>
    </row>
    <row r="315" spans="1:12" s="10" customFormat="1">
      <c r="C315" s="8"/>
      <c r="D315" s="8"/>
      <c r="J315" s="8"/>
      <c r="K315" s="8"/>
    </row>
    <row r="316" spans="1:12" s="10" customFormat="1">
      <c r="C316" s="8"/>
      <c r="D316" s="8"/>
    </row>
    <row r="317" spans="1:12" s="10" customFormat="1">
      <c r="C317" s="8"/>
      <c r="D317" s="8"/>
      <c r="J317" s="8"/>
      <c r="K317" s="8"/>
    </row>
    <row r="318" spans="1:12" s="10" customFormat="1">
      <c r="C318" s="8"/>
      <c r="D318" s="8"/>
    </row>
    <row r="319" spans="1:12" s="10" customFormat="1">
      <c r="C319" s="8"/>
      <c r="D319" s="8"/>
    </row>
    <row r="320" spans="1:12" s="10" customFormat="1">
      <c r="C320" s="8"/>
      <c r="D320" s="8"/>
    </row>
    <row r="322" spans="3:4" s="10" customFormat="1">
      <c r="C322" s="8"/>
      <c r="D322" s="8"/>
    </row>
  </sheetData>
  <autoFilter ref="$C$4:$K$746"/>
  <mergeCells>
    <mergeCell ref="A1:B3"/>
    <mergeCell ref="C1:I1"/>
    <mergeCell ref="C2:E2"/>
    <mergeCell ref="F2:H2"/>
  </mergeCells>
  <conditionalFormatting sqref="K5:K12">
    <cfRule type="expression" priority="25" stopIfTrue="1" dxfId="60">
      <formula>#REF!=TRUE</formula>
    </cfRule>
  </conditionalFormatting>
  <conditionalFormatting sqref="K5:K12">
    <cfRule type="cellIs" operator="equal" priority="22" stopIfTrue="1" dxfId="65">
      <formula>"alto"</formula>
    </cfRule>
    <cfRule type="cellIs" operator="equal" priority="23" stopIfTrue="1" dxfId="66">
      <formula>"medio"</formula>
    </cfRule>
    <cfRule type="cellIs" operator="equal" priority="24" stopIfTrue="1" dxfId="67">
      <formula>"basso"</formula>
    </cfRule>
  </conditionalFormatting>
  <conditionalFormatting sqref="K5:K12">
    <cfRule type="expression" priority="21" stopIfTrue="1" dxfId="68">
      <formula>NOT(ISERROR(SEARCH("basso",K5)))</formula>
    </cfRule>
  </conditionalFormatting>
  <pageMargins header="0.314961" footer="0.314961" left="0.314961" right="0.314961" top="0.354331" bottom="0.354331"/>
  <pageSetup paperSize="9" firstPageNumber="1" scale="90" fitToWidth="1" fitToHeight="1" orientation="landscape" horizontalDpi="600" verticalDpi="600"/>
  <headerFooter differentFirst="0" differentOddEven="0">
    <oddHeader/>
    <oddFooter/>
  </headerFooter>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http://schemas.microsoft.com/office/spreadsheetml/2009/9/main" xmlns:x14ac="http://schemas.microsoft.com/office/spreadsheetml/2009/9/ac" mc:Ignorable="x14ac">
  <sheetPr/>
  <dimension ref="A1:M311"/>
  <sheetViews>
    <sheetView zoomScale="110" workbookViewId="0">
      <selection activeCell="C19" sqref="C19"/>
    </sheetView>
  </sheetViews>
  <sheetFormatPr defaultRowHeight="15" customHeight="1" baseColWidth="8"/>
  <cols>
    <col width="15.1406" customWidth="1" min="1" max="1"/>
    <col width="20.2852" customWidth="1" min="2" max="2"/>
    <col width="4.85547" customWidth="1" min="3" max="4" style="8"/>
    <col width="4.85547" customWidth="1" min="5" max="5" style="10"/>
    <col width="5.42578" customWidth="1" min="6" max="7" style="10"/>
    <col width="5.57031" customWidth="1" min="8" max="8" style="10"/>
    <col width="4.85547" customWidth="1" min="9" max="10" style="10"/>
    <col width="7.14062" customWidth="1" min="11" max="11" style="10"/>
    <col width="11.2852" customWidth="1" min="12" max="12" style="10"/>
    <col width="29.1406" customWidth="1" min="13" max="14"/>
    <col width="8.85547" customWidth="1" min="15" max="15"/>
    <col width="25.2852" customWidth="1" min="16" max="16"/>
    <col width="35" customWidth="1" min="17" max="17"/>
  </cols>
  <sheetData>
    <row r="1" spans="1:13" ht="63.75" customHeight="1">
      <c r="C1" s="17"/>
      <c r="D1" s="17"/>
      <c r="E1" s="16"/>
      <c r="F1" s="16"/>
      <c r="G1" s="16"/>
      <c r="H1" s="16"/>
      <c r="I1" s="16"/>
      <c r="J1" s="16"/>
      <c r="K1" s="16"/>
      <c r="L1" s="16"/>
      <c r="M1" s="5"/>
    </row>
    <row r="2" spans="1:13" s="2" customFormat="1" ht="73.15" customHeight="1">
      <c r="A2" s="91" t="s">
        <v>51</v>
      </c>
      <c r="B2" s="91"/>
      <c r="C2" s="91"/>
      <c r="D2" s="91"/>
      <c r="E2" s="91"/>
      <c r="F2" s="58"/>
      <c r="G2" s="58"/>
      <c r="H2" s="58"/>
      <c r="I2" s="58"/>
      <c r="J2" s="15" t="s">
        <v>0</v>
      </c>
      <c r="K2" s="15"/>
      <c r="L2" s="15"/>
    </row>
    <row r="3" spans="1:13" s="2" customFormat="1" ht="9" customHeight="1">
      <c r="C3" s="7"/>
      <c r="D3" s="7"/>
      <c r="E3" s="1"/>
      <c r="F3" s="1"/>
      <c r="G3" s="1"/>
      <c r="H3" s="1"/>
      <c r="I3" s="1"/>
      <c r="J3" s="1"/>
      <c r="K3" s="1"/>
      <c r="L3" s="1"/>
    </row>
    <row r="4" spans="1:13" s="10" customFormat="1">
      <c r="C4" s="8"/>
      <c r="D4" s="8"/>
      <c r="E4" s="9"/>
    </row>
    <row r="5" spans="1:13" s="10" customFormat="1">
      <c r="C5" s="8"/>
      <c r="D5" s="8"/>
      <c r="E5" s="9"/>
    </row>
    <row r="6" spans="1:13" s="10" customFormat="1">
      <c r="C6" s="8"/>
      <c r="D6" s="8"/>
      <c r="E6" s="9"/>
    </row>
    <row r="7" spans="1:13" s="10" customFormat="1">
      <c r="C7" s="8"/>
      <c r="D7" s="8"/>
      <c r="E7" s="9"/>
    </row>
    <row r="8" spans="1:13" s="10" customFormat="1">
      <c r="C8" s="8"/>
      <c r="D8" s="8"/>
      <c r="E8" s="9"/>
    </row>
    <row r="9" spans="1:13" s="10" customFormat="1">
      <c r="C9" s="8"/>
      <c r="D9" s="8"/>
      <c r="E9" s="9"/>
    </row>
    <row r="10" spans="1:13" s="10" customFormat="1">
      <c r="C10" s="8"/>
      <c r="D10" s="8"/>
      <c r="E10" s="9"/>
    </row>
    <row r="11" spans="1:13" s="10" customFormat="1">
      <c r="C11" s="8"/>
      <c r="D11" s="8"/>
      <c r="E11" s="9"/>
    </row>
    <row r="12" spans="1:13" s="10" customFormat="1">
      <c r="C12" s="8"/>
      <c r="D12" s="8"/>
      <c r="E12" s="9"/>
    </row>
    <row r="13" spans="1:13" s="10" customFormat="1">
      <c r="C13" s="8"/>
      <c r="D13" s="8"/>
      <c r="E13" s="9"/>
    </row>
    <row r="14" spans="1:13" s="10" customFormat="1">
      <c r="C14" s="8"/>
      <c r="D14" s="8"/>
      <c r="E14" s="9"/>
    </row>
    <row r="15" spans="1:13" s="10" customFormat="1">
      <c r="C15" s="8"/>
      <c r="D15" s="8"/>
      <c r="E15" s="9"/>
    </row>
    <row r="16" spans="1:13" s="10" customFormat="1">
      <c r="C16" s="8"/>
      <c r="D16" s="8"/>
      <c r="E16" s="9"/>
    </row>
    <row r="17" spans="3:5" s="10" customFormat="1">
      <c r="C17" s="8"/>
      <c r="D17" s="8"/>
      <c r="E17" s="9"/>
    </row>
    <row r="18" spans="3:5" s="10" customFormat="1">
      <c r="C18" s="8"/>
      <c r="D18" s="8"/>
      <c r="E18" s="9"/>
    </row>
    <row r="19" spans="3:5" s="10" customFormat="1">
      <c r="C19" s="8"/>
      <c r="D19" s="8"/>
      <c r="E19" s="9"/>
    </row>
    <row r="20" spans="3:5" s="10" customFormat="1">
      <c r="C20" s="8"/>
      <c r="D20" s="8"/>
      <c r="E20" s="9"/>
    </row>
    <row r="21" spans="3:5" s="10" customFormat="1">
      <c r="C21" s="8"/>
      <c r="D21" s="8"/>
      <c r="E21" s="9"/>
    </row>
    <row r="22" spans="3:5" s="10" customFormat="1">
      <c r="C22" s="8"/>
      <c r="D22" s="8"/>
      <c r="E22" s="9"/>
    </row>
    <row r="23" spans="3:5" s="10" customFormat="1">
      <c r="C23" s="8"/>
      <c r="D23" s="8"/>
      <c r="E23" s="9"/>
    </row>
    <row r="24" spans="3:5" s="10" customFormat="1">
      <c r="C24" s="8"/>
      <c r="D24" s="8"/>
      <c r="E24" s="9"/>
    </row>
    <row r="25" spans="3:5" s="10" customFormat="1">
      <c r="C25" s="8"/>
      <c r="D25" s="8"/>
      <c r="E25" s="9"/>
    </row>
    <row r="26" spans="3:5" s="10" customFormat="1">
      <c r="C26" s="8"/>
      <c r="D26" s="8"/>
      <c r="E26" s="9"/>
    </row>
    <row r="27" spans="3:5" s="10" customFormat="1">
      <c r="C27" s="8"/>
      <c r="D27" s="8"/>
      <c r="E27" s="9"/>
    </row>
    <row r="28" spans="3:5" s="10" customFormat="1">
      <c r="C28" s="8"/>
      <c r="D28" s="8"/>
      <c r="E28" s="9"/>
    </row>
    <row r="29" spans="3:5" s="10" customFormat="1">
      <c r="C29" s="8"/>
      <c r="D29" s="8"/>
      <c r="E29" s="9"/>
    </row>
    <row r="30" spans="3:5" s="10" customFormat="1">
      <c r="C30" s="8"/>
      <c r="D30" s="8"/>
      <c r="E30" s="9"/>
    </row>
    <row r="31" spans="3:5" s="10" customFormat="1">
      <c r="C31" s="8"/>
      <c r="D31" s="8"/>
      <c r="E31" s="9"/>
    </row>
    <row r="32" spans="3:5" s="10" customFormat="1">
      <c r="C32" s="8"/>
      <c r="D32" s="8"/>
      <c r="E32" s="9"/>
    </row>
    <row r="33" spans="3:5" s="10" customFormat="1">
      <c r="C33" s="8"/>
      <c r="D33" s="8"/>
      <c r="E33" s="9"/>
    </row>
    <row r="34" spans="3:5" s="10" customFormat="1">
      <c r="C34" s="8"/>
      <c r="D34" s="8"/>
      <c r="E34" s="9"/>
    </row>
    <row r="35" spans="3:5" s="10" customFormat="1">
      <c r="C35" s="8"/>
      <c r="D35" s="8"/>
      <c r="E35" s="9"/>
    </row>
    <row r="36" spans="3:5" s="10" customFormat="1">
      <c r="C36" s="8"/>
      <c r="D36" s="8"/>
      <c r="E36" s="9"/>
    </row>
    <row r="37" spans="3:5" s="10" customFormat="1">
      <c r="C37" s="8"/>
      <c r="D37" s="8"/>
      <c r="E37" s="9"/>
    </row>
    <row r="38" spans="3:5" s="10" customFormat="1">
      <c r="C38" s="8"/>
      <c r="D38" s="8"/>
      <c r="E38" s="9"/>
    </row>
    <row r="39" spans="3:5" s="10" customFormat="1">
      <c r="C39" s="8"/>
      <c r="D39" s="8"/>
      <c r="E39" s="9"/>
    </row>
    <row r="40" spans="3:5" s="10" customFormat="1">
      <c r="C40" s="8"/>
      <c r="D40" s="8"/>
      <c r="E40" s="9"/>
    </row>
    <row r="41" spans="3:5" s="10" customFormat="1">
      <c r="C41" s="8"/>
      <c r="D41" s="8"/>
      <c r="E41" s="9"/>
    </row>
    <row r="42" spans="3:5" s="10" customFormat="1">
      <c r="C42" s="8"/>
      <c r="D42" s="8"/>
      <c r="E42" s="9"/>
    </row>
    <row r="43" spans="3:5" s="10" customFormat="1">
      <c r="C43" s="8"/>
      <c r="D43" s="8"/>
      <c r="E43" s="9"/>
    </row>
    <row r="44" spans="3:5" s="10" customFormat="1">
      <c r="C44" s="8"/>
      <c r="D44" s="8"/>
      <c r="E44" s="9"/>
    </row>
    <row r="45" spans="3:5" s="10" customFormat="1">
      <c r="C45" s="8"/>
      <c r="D45" s="8"/>
      <c r="E45" s="9"/>
    </row>
    <row r="46" spans="3:5" s="10" customFormat="1">
      <c r="C46" s="8"/>
      <c r="D46" s="8"/>
      <c r="E46" s="9"/>
    </row>
    <row r="47" spans="3:5" s="10" customFormat="1">
      <c r="C47" s="8"/>
      <c r="D47" s="8"/>
      <c r="E47" s="9"/>
    </row>
    <row r="48" spans="3:5" s="10" customFormat="1">
      <c r="C48" s="8"/>
      <c r="D48" s="8"/>
      <c r="E48" s="9"/>
    </row>
    <row r="49" spans="3:5" s="10" customFormat="1">
      <c r="C49" s="8"/>
      <c r="D49" s="8"/>
      <c r="E49" s="9"/>
    </row>
    <row r="50" spans="3:5" s="10" customFormat="1">
      <c r="C50" s="8"/>
      <c r="D50" s="8"/>
      <c r="E50" s="9"/>
    </row>
    <row r="51" spans="3:5" s="10" customFormat="1">
      <c r="C51" s="8"/>
      <c r="D51" s="8"/>
      <c r="E51" s="9"/>
    </row>
    <row r="52" spans="3:5" s="10" customFormat="1">
      <c r="C52" s="8"/>
      <c r="D52" s="8"/>
      <c r="E52" s="9"/>
    </row>
    <row r="53" spans="3:5" s="10" customFormat="1">
      <c r="C53" s="8"/>
      <c r="D53" s="8"/>
      <c r="E53" s="9"/>
    </row>
    <row r="54" spans="3:5" s="10" customFormat="1">
      <c r="C54" s="8"/>
      <c r="D54" s="8"/>
      <c r="E54" s="9"/>
    </row>
    <row r="55" spans="3:5" s="10" customFormat="1">
      <c r="C55" s="8"/>
      <c r="D55" s="8"/>
      <c r="E55" s="9"/>
    </row>
    <row r="56" spans="3:5" s="10" customFormat="1">
      <c r="C56" s="8"/>
      <c r="D56" s="8"/>
      <c r="E56" s="9"/>
    </row>
    <row r="57" spans="3:5" s="10" customFormat="1">
      <c r="C57" s="8"/>
      <c r="D57" s="8"/>
      <c r="E57" s="9"/>
    </row>
    <row r="58" spans="3:5" s="10" customFormat="1">
      <c r="C58" s="8"/>
      <c r="D58" s="8"/>
      <c r="E58" s="9"/>
    </row>
    <row r="59" spans="3:5" s="10" customFormat="1">
      <c r="C59" s="8"/>
      <c r="D59" s="8"/>
      <c r="E59" s="9"/>
    </row>
    <row r="60" spans="3:5" s="10" customFormat="1">
      <c r="C60" s="8"/>
      <c r="D60" s="8"/>
      <c r="E60" s="9"/>
    </row>
    <row r="61" spans="3:5" s="10" customFormat="1">
      <c r="C61" s="8"/>
      <c r="D61" s="8"/>
      <c r="E61" s="9"/>
    </row>
    <row r="62" spans="3:5" s="10" customFormat="1">
      <c r="C62" s="8"/>
      <c r="D62" s="8"/>
      <c r="E62" s="9"/>
    </row>
    <row r="63" spans="3:5" s="10" customFormat="1">
      <c r="C63" s="8"/>
      <c r="D63" s="8"/>
      <c r="E63" s="9"/>
    </row>
    <row r="64" spans="3:5" s="10" customFormat="1">
      <c r="C64" s="8"/>
      <c r="D64" s="8"/>
      <c r="E64" s="9"/>
    </row>
    <row r="65" spans="3:5" s="10" customFormat="1">
      <c r="C65" s="8"/>
      <c r="D65" s="8"/>
      <c r="E65" s="9"/>
    </row>
    <row r="66" spans="3:5" s="10" customFormat="1">
      <c r="C66" s="8"/>
      <c r="D66" s="8"/>
      <c r="E66" s="9"/>
    </row>
    <row r="67" spans="3:5" s="10" customFormat="1">
      <c r="C67" s="8"/>
      <c r="D67" s="8"/>
      <c r="E67" s="9"/>
    </row>
    <row r="68" spans="3:5" s="10" customFormat="1">
      <c r="C68" s="8"/>
      <c r="D68" s="8"/>
      <c r="E68" s="9"/>
    </row>
    <row r="69" spans="3:5" s="10" customFormat="1">
      <c r="C69" s="8"/>
      <c r="D69" s="8"/>
      <c r="E69" s="9"/>
    </row>
    <row r="70" spans="3:5" s="10" customFormat="1">
      <c r="C70" s="8"/>
      <c r="D70" s="8"/>
      <c r="E70" s="9"/>
    </row>
    <row r="71" spans="3:5" s="10" customFormat="1">
      <c r="C71" s="8"/>
      <c r="D71" s="8"/>
      <c r="E71" s="9"/>
    </row>
    <row r="72" spans="3:5" s="10" customFormat="1">
      <c r="C72" s="8"/>
      <c r="D72" s="8"/>
      <c r="E72" s="9"/>
    </row>
    <row r="73" spans="3:5" s="10" customFormat="1">
      <c r="C73" s="8"/>
      <c r="D73" s="8"/>
      <c r="E73" s="9"/>
    </row>
    <row r="74" spans="3:5" s="10" customFormat="1">
      <c r="C74" s="8"/>
      <c r="D74" s="8"/>
      <c r="E74" s="9"/>
    </row>
    <row r="75" spans="3:5" s="10" customFormat="1">
      <c r="C75" s="8"/>
      <c r="D75" s="8"/>
      <c r="E75" s="9"/>
    </row>
    <row r="76" spans="3:5" s="10" customFormat="1">
      <c r="C76" s="8"/>
      <c r="D76" s="8"/>
      <c r="E76" s="9"/>
    </row>
    <row r="77" spans="3:5" s="10" customFormat="1">
      <c r="C77" s="8"/>
      <c r="D77" s="8"/>
      <c r="E77" s="9"/>
    </row>
    <row r="78" spans="3:5" s="10" customFormat="1">
      <c r="C78" s="8"/>
      <c r="D78" s="8"/>
      <c r="E78" s="9"/>
    </row>
    <row r="79" spans="3:5" s="10" customFormat="1">
      <c r="C79" s="8"/>
      <c r="D79" s="8"/>
      <c r="E79" s="9"/>
    </row>
    <row r="80" spans="3:5" s="10" customFormat="1">
      <c r="C80" s="8"/>
      <c r="D80" s="8"/>
      <c r="E80" s="9"/>
    </row>
    <row r="81" spans="3:12" s="10" customFormat="1">
      <c r="C81" s="8"/>
      <c r="D81" s="8"/>
      <c r="E81" s="9"/>
    </row>
    <row r="82" spans="3:12" s="10" customFormat="1">
      <c r="C82" s="8"/>
      <c r="D82" s="8"/>
      <c r="E82" s="9"/>
    </row>
    <row r="83" spans="3:12" s="10" customFormat="1">
      <c r="C83" s="8"/>
      <c r="D83" s="8"/>
      <c r="E83" s="9"/>
    </row>
    <row r="84" spans="3:12" s="10" customFormat="1">
      <c r="C84" s="8"/>
      <c r="D84" s="8"/>
      <c r="E84" s="9"/>
    </row>
    <row r="85" spans="3:12" s="10" customFormat="1">
      <c r="C85" s="8"/>
      <c r="D85" s="8"/>
      <c r="E85" s="9"/>
    </row>
    <row r="86" spans="3:12" s="10" customFormat="1">
      <c r="C86" s="8"/>
      <c r="D86" s="8"/>
      <c r="E86" s="9"/>
    </row>
    <row r="87" spans="3:12" s="10" customFormat="1">
      <c r="C87" s="8"/>
      <c r="D87" s="8"/>
      <c r="E87" s="9"/>
    </row>
    <row r="88" spans="3:12" s="10" customFormat="1">
      <c r="C88" s="8"/>
      <c r="D88" s="8"/>
      <c r="E88" s="9"/>
    </row>
    <row r="89" spans="3:12" s="10" customFormat="1">
      <c r="C89" s="8"/>
      <c r="D89" s="8"/>
      <c r="E89" s="9"/>
    </row>
    <row r="90" spans="3:12" s="10" customFormat="1">
      <c r="C90" s="8"/>
      <c r="D90" s="8"/>
      <c r="E90" s="9"/>
    </row>
    <row r="91" spans="3:12" s="10" customFormat="1">
      <c r="C91" s="8"/>
      <c r="D91" s="8"/>
      <c r="E91" s="9"/>
      <c r="K91" s="6"/>
      <c r="L91" s="6"/>
    </row>
    <row r="92" spans="3:12" s="10" customFormat="1">
      <c r="C92" s="8"/>
      <c r="D92" s="8"/>
      <c r="E92" s="9"/>
      <c r="K92" s="6"/>
      <c r="L92" s="6"/>
    </row>
    <row r="93" spans="3:12" s="10" customFormat="1">
      <c r="C93" s="8"/>
      <c r="D93" s="8"/>
      <c r="E93" s="9"/>
      <c r="K93" s="6"/>
      <c r="L93" s="6"/>
    </row>
    <row r="94" spans="3:12" s="10" customFormat="1">
      <c r="C94" s="8"/>
      <c r="D94" s="8"/>
      <c r="E94" s="9"/>
      <c r="K94" s="6"/>
      <c r="L94" s="6"/>
    </row>
    <row r="95" spans="3:12" s="10" customFormat="1">
      <c r="C95" s="8"/>
      <c r="D95" s="8"/>
      <c r="E95" s="9"/>
      <c r="K95" s="6"/>
      <c r="L95" s="6"/>
    </row>
    <row r="96" spans="3:12" s="10" customFormat="1">
      <c r="C96" s="8"/>
      <c r="D96" s="8"/>
      <c r="E96" s="9"/>
      <c r="K96" s="6"/>
      <c r="L96" s="6"/>
    </row>
    <row r="97" spans="1:13" s="10" customFormat="1">
      <c r="C97" s="8"/>
      <c r="D97" s="8"/>
      <c r="E97" s="9"/>
    </row>
    <row r="98" spans="1:13" s="10" customFormat="1">
      <c r="A98"/>
      <c r="B98"/>
      <c r="C98" s="8"/>
      <c r="D98" s="8"/>
      <c r="E98" s="9"/>
    </row>
    <row r="99" spans="1:13" s="10" customFormat="1">
      <c r="A99"/>
      <c r="B99"/>
      <c r="C99" s="8"/>
      <c r="D99" s="8"/>
      <c r="E99" s="9"/>
    </row>
    <row r="100" spans="1:13" s="10" customFormat="1">
      <c r="A100"/>
      <c r="B100"/>
      <c r="C100" s="8"/>
      <c r="D100" s="8"/>
      <c r="E100" s="9"/>
    </row>
    <row r="101" spans="1:13" s="10" customFormat="1">
      <c r="A101"/>
      <c r="B101"/>
      <c r="C101" s="8"/>
      <c r="D101" s="8"/>
      <c r="E101" s="9"/>
    </row>
    <row r="102" spans="1:13" s="10" customFormat="1">
      <c r="A102"/>
      <c r="B102"/>
      <c r="C102" s="8"/>
      <c r="D102" s="8"/>
      <c r="E102" s="9"/>
    </row>
    <row r="103" spans="1:13" s="10" customFormat="1">
      <c r="A103"/>
      <c r="B103"/>
      <c r="C103" s="8"/>
      <c r="D103" s="8"/>
      <c r="E103" s="9"/>
    </row>
    <row r="104" spans="1:13" s="10" customFormat="1">
      <c r="A104"/>
      <c r="B104"/>
      <c r="C104" s="8"/>
      <c r="D104" s="8"/>
      <c r="E104" s="9"/>
    </row>
    <row r="105" spans="1:13" s="10" customFormat="1">
      <c r="A105"/>
      <c r="B105"/>
      <c r="C105" s="8"/>
      <c r="D105" s="8"/>
      <c r="E105" s="9"/>
    </row>
    <row r="106" spans="1:13" s="10" customFormat="1">
      <c r="A106"/>
      <c r="B106"/>
      <c r="C106" s="8"/>
      <c r="D106" s="8"/>
      <c r="E106" s="9"/>
    </row>
    <row r="107" spans="1:13" s="10" customFormat="1">
      <c r="A107"/>
      <c r="B107"/>
      <c r="C107" s="8"/>
      <c r="D107" s="8"/>
      <c r="E107" s="9"/>
    </row>
    <row r="108" spans="1:13" s="10" customFormat="1">
      <c r="A108"/>
      <c r="B108"/>
      <c r="C108" s="8"/>
      <c r="D108" s="8"/>
      <c r="E108" s="9"/>
    </row>
    <row r="109" spans="1:13" s="10" customFormat="1">
      <c r="A109"/>
      <c r="B109"/>
      <c r="C109" s="8"/>
      <c r="D109" s="8"/>
      <c r="E109" s="9"/>
    </row>
    <row r="110" spans="1:13" s="10" customFormat="1">
      <c r="A110"/>
      <c r="B110"/>
      <c r="C110" s="8"/>
      <c r="D110" s="8"/>
      <c r="E110" s="9"/>
    </row>
    <row r="111" spans="1:13" s="10" customFormat="1">
      <c r="A111"/>
      <c r="B111"/>
      <c r="C111" s="8"/>
      <c r="D111" s="8"/>
      <c r="E111" s="9"/>
    </row>
    <row r="112" spans="1:13" s="10" customFormat="1">
      <c r="A112"/>
      <c r="B112"/>
      <c r="C112" s="8"/>
      <c r="D112" s="8"/>
      <c r="E112" s="9"/>
    </row>
    <row r="113" spans="1:13" s="10" customFormat="1">
      <c r="A113"/>
      <c r="B113"/>
      <c r="C113" s="8"/>
      <c r="D113" s="8"/>
      <c r="E113" s="9"/>
    </row>
    <row r="114" spans="1:13" s="10" customFormat="1">
      <c r="C114" s="8"/>
      <c r="D114" s="8"/>
      <c r="E114" s="9"/>
    </row>
    <row r="115" spans="1:13" s="10" customFormat="1">
      <c r="C115" s="8"/>
      <c r="D115" s="8"/>
      <c r="E115" s="9"/>
    </row>
    <row r="116" spans="1:13" s="10" customFormat="1">
      <c r="C116" s="8"/>
      <c r="D116" s="8"/>
      <c r="E116" s="9"/>
    </row>
    <row r="117" spans="1:13" s="10" customFormat="1">
      <c r="C117" s="8"/>
      <c r="D117" s="8"/>
      <c r="E117" s="9"/>
    </row>
    <row r="118" spans="1:13" s="10" customFormat="1">
      <c r="C118" s="8"/>
      <c r="D118" s="8"/>
      <c r="E118" s="9"/>
    </row>
    <row r="119" spans="1:13" s="10" customFormat="1">
      <c r="C119" s="8"/>
      <c r="D119" s="8"/>
      <c r="E119" s="9"/>
    </row>
    <row r="120" spans="1:13" s="10" customFormat="1">
      <c r="C120" s="8"/>
      <c r="D120" s="8"/>
      <c r="E120" s="9"/>
    </row>
    <row r="121" spans="1:13" s="10" customFormat="1">
      <c r="C121" s="8"/>
      <c r="D121" s="8"/>
      <c r="E121" s="9"/>
    </row>
    <row r="122" spans="1:13" s="10" customFormat="1">
      <c r="C122" s="8"/>
      <c r="D122" s="8"/>
      <c r="E122" s="9"/>
    </row>
    <row r="123" spans="1:13" s="10" customFormat="1">
      <c r="C123" s="8"/>
      <c r="D123" s="8"/>
      <c r="E123" s="9"/>
    </row>
    <row r="124" spans="1:13" s="10" customFormat="1">
      <c r="C124" s="8"/>
      <c r="D124" s="8"/>
      <c r="E124" s="9"/>
    </row>
    <row r="125" spans="1:13" s="10" customFormat="1">
      <c r="C125" s="8"/>
      <c r="D125" s="8"/>
      <c r="E125" s="9"/>
    </row>
    <row r="126" spans="1:13" s="10" customFormat="1">
      <c r="C126" s="8"/>
      <c r="D126" s="8"/>
      <c r="E126" s="9"/>
    </row>
    <row r="127" spans="1:13" s="10" customFormat="1">
      <c r="C127" s="8"/>
      <c r="D127" s="8"/>
      <c r="E127" s="9"/>
    </row>
    <row r="128" spans="1:13" s="10" customFormat="1">
      <c r="C128" s="8"/>
      <c r="D128" s="8"/>
      <c r="E128" s="9"/>
    </row>
    <row r="129" spans="3:5" s="10" customFormat="1">
      <c r="C129" s="8"/>
      <c r="D129" s="8"/>
      <c r="E129" s="9"/>
    </row>
    <row r="130" spans="3:5" s="10" customFormat="1">
      <c r="C130" s="8"/>
      <c r="D130" s="8"/>
      <c r="E130" s="9"/>
    </row>
    <row r="131" spans="3:5" s="10" customFormat="1">
      <c r="C131" s="8"/>
      <c r="D131" s="8"/>
      <c r="E131" s="9"/>
    </row>
    <row r="132" spans="3:5" s="10" customFormat="1">
      <c r="C132" s="8"/>
      <c r="D132" s="8"/>
      <c r="E132" s="9"/>
    </row>
    <row r="133" spans="3:5" s="10" customFormat="1">
      <c r="C133" s="8"/>
      <c r="D133" s="8"/>
      <c r="E133" s="9"/>
    </row>
    <row r="134" spans="3:5" s="10" customFormat="1">
      <c r="C134" s="8"/>
      <c r="D134" s="8"/>
      <c r="E134" s="9"/>
    </row>
    <row r="135" spans="3:5" s="10" customFormat="1">
      <c r="C135" s="8"/>
      <c r="D135" s="8"/>
      <c r="E135" s="9"/>
    </row>
    <row r="136" spans="3:5" s="10" customFormat="1">
      <c r="C136" s="8"/>
      <c r="D136" s="8"/>
      <c r="E136" s="9"/>
    </row>
    <row r="137" spans="3:5" s="10" customFormat="1">
      <c r="C137" s="8"/>
      <c r="D137" s="8"/>
      <c r="E137" s="9"/>
    </row>
    <row r="138" spans="3:5" s="10" customFormat="1">
      <c r="C138" s="8"/>
      <c r="D138" s="8"/>
      <c r="E138" s="9"/>
    </row>
    <row r="139" spans="3:5" s="10" customFormat="1">
      <c r="C139" s="8"/>
      <c r="D139" s="8"/>
      <c r="E139" s="9"/>
    </row>
    <row r="140" spans="3:5" s="10" customFormat="1">
      <c r="C140" s="8"/>
      <c r="D140" s="8"/>
      <c r="E140" s="9"/>
    </row>
    <row r="141" spans="3:5" s="10" customFormat="1">
      <c r="C141" s="8"/>
      <c r="D141" s="8"/>
      <c r="E141" s="9"/>
    </row>
    <row r="142" spans="3:5" s="10" customFormat="1">
      <c r="C142" s="8"/>
      <c r="D142" s="8"/>
      <c r="E142" s="9"/>
    </row>
    <row r="143" spans="3:5" s="10" customFormat="1">
      <c r="C143" s="8"/>
      <c r="D143" s="8"/>
      <c r="E143" s="9"/>
    </row>
    <row r="144" spans="3:5" s="10" customFormat="1">
      <c r="C144" s="8"/>
      <c r="D144" s="8"/>
      <c r="E144" s="9"/>
    </row>
    <row r="145" spans="3:5" s="10" customFormat="1">
      <c r="C145" s="8"/>
      <c r="D145" s="8"/>
      <c r="E145" s="9"/>
    </row>
    <row r="146" spans="3:5" s="10" customFormat="1">
      <c r="C146" s="8"/>
      <c r="D146" s="8"/>
      <c r="E146" s="9"/>
    </row>
    <row r="147" spans="3:5" s="10" customFormat="1">
      <c r="C147" s="8"/>
      <c r="D147" s="8"/>
      <c r="E147" s="9"/>
    </row>
    <row r="148" spans="3:5" s="10" customFormat="1">
      <c r="C148" s="8"/>
      <c r="D148" s="8"/>
      <c r="E148" s="9"/>
    </row>
    <row r="149" spans="3:5" s="10" customFormat="1">
      <c r="C149" s="8"/>
      <c r="D149" s="8"/>
      <c r="E149" s="9"/>
    </row>
    <row r="150" spans="3:5" s="10" customFormat="1">
      <c r="C150" s="8"/>
      <c r="D150" s="8"/>
      <c r="E150" s="9"/>
    </row>
    <row r="151" spans="3:5" s="10" customFormat="1">
      <c r="C151" s="8"/>
      <c r="D151" s="8"/>
      <c r="E151" s="9"/>
    </row>
    <row r="152" spans="3:5" s="10" customFormat="1">
      <c r="C152" s="8"/>
      <c r="D152" s="8"/>
      <c r="E152" s="9"/>
    </row>
    <row r="153" spans="3:5" s="10" customFormat="1">
      <c r="C153" s="8"/>
      <c r="D153" s="8"/>
      <c r="E153" s="9"/>
    </row>
    <row r="154" spans="3:5" s="10" customFormat="1">
      <c r="C154" s="8"/>
      <c r="D154" s="8"/>
      <c r="E154" s="9"/>
    </row>
    <row r="155" spans="3:5" s="10" customFormat="1">
      <c r="C155" s="8"/>
      <c r="D155" s="8"/>
      <c r="E155" s="9"/>
    </row>
    <row r="156" spans="3:5" s="10" customFormat="1">
      <c r="C156" s="8"/>
      <c r="D156" s="8"/>
      <c r="E156" s="9"/>
    </row>
    <row r="157" spans="3:5" s="10" customFormat="1">
      <c r="C157" s="8"/>
      <c r="D157" s="8"/>
      <c r="E157" s="9"/>
    </row>
    <row r="158" spans="3:5" s="10" customFormat="1">
      <c r="C158" s="8"/>
      <c r="D158" s="8"/>
      <c r="E158" s="9"/>
    </row>
    <row r="159" spans="3:5" s="10" customFormat="1">
      <c r="C159" s="8"/>
      <c r="D159" s="8"/>
      <c r="E159" s="9"/>
    </row>
    <row r="160" spans="3:5" s="10" customFormat="1">
      <c r="C160" s="8"/>
      <c r="D160" s="8"/>
      <c r="E160" s="9"/>
    </row>
    <row r="161" spans="3:5" s="10" customFormat="1">
      <c r="C161" s="8"/>
      <c r="D161" s="8"/>
      <c r="E161" s="9"/>
    </row>
    <row r="162" spans="3:5" s="10" customFormat="1">
      <c r="C162" s="8"/>
      <c r="D162" s="8"/>
      <c r="E162" s="9"/>
    </row>
    <row r="163" spans="3:5" s="10" customFormat="1">
      <c r="C163" s="8"/>
      <c r="D163" s="8"/>
      <c r="E163" s="9"/>
    </row>
    <row r="164" spans="3:5" s="10" customFormat="1">
      <c r="C164" s="8"/>
      <c r="D164" s="8"/>
      <c r="E164" s="9"/>
    </row>
    <row r="165" spans="3:5" s="10" customFormat="1">
      <c r="C165" s="8"/>
      <c r="D165" s="8"/>
      <c r="E165" s="9"/>
    </row>
    <row r="166" spans="3:5" s="10" customFormat="1">
      <c r="C166" s="8"/>
      <c r="D166" s="8"/>
      <c r="E166" s="9"/>
    </row>
    <row r="167" spans="3:5" s="10" customFormat="1">
      <c r="C167" s="8"/>
      <c r="D167" s="8"/>
      <c r="E167" s="9"/>
    </row>
    <row r="168" spans="3:5" s="10" customFormat="1">
      <c r="C168" s="8"/>
      <c r="D168" s="8"/>
      <c r="E168" s="9"/>
    </row>
    <row r="169" spans="3:5" s="10" customFormat="1">
      <c r="C169" s="8"/>
      <c r="D169" s="8"/>
      <c r="E169" s="9"/>
    </row>
    <row r="170" spans="3:5" s="10" customFormat="1">
      <c r="C170" s="8"/>
      <c r="D170" s="8"/>
      <c r="E170" s="9"/>
    </row>
    <row r="171" spans="3:5" s="10" customFormat="1">
      <c r="C171" s="8"/>
      <c r="D171" s="8"/>
      <c r="E171" s="9"/>
    </row>
    <row r="172" spans="3:5" s="10" customFormat="1">
      <c r="C172" s="8"/>
      <c r="D172" s="8"/>
      <c r="E172" s="9"/>
    </row>
    <row r="173" spans="3:5" s="10" customFormat="1">
      <c r="C173" s="8"/>
      <c r="D173" s="8"/>
      <c r="E173" s="9"/>
    </row>
    <row r="174" spans="3:5" s="10" customFormat="1">
      <c r="C174" s="8"/>
      <c r="D174" s="8"/>
      <c r="E174" s="9"/>
    </row>
    <row r="175" spans="3:5" s="10" customFormat="1">
      <c r="C175" s="8"/>
      <c r="D175" s="8"/>
      <c r="E175" s="9"/>
    </row>
    <row r="176" spans="3:5" s="10" customFormat="1">
      <c r="C176" s="8"/>
      <c r="D176" s="8"/>
      <c r="E176" s="9"/>
    </row>
    <row r="177" spans="3:5" s="10" customFormat="1">
      <c r="C177" s="8"/>
      <c r="D177" s="8"/>
      <c r="E177" s="9"/>
    </row>
    <row r="178" spans="3:5" s="10" customFormat="1">
      <c r="C178" s="8"/>
      <c r="D178" s="8"/>
      <c r="E178" s="9"/>
    </row>
    <row r="179" spans="3:5" s="10" customFormat="1">
      <c r="C179" s="8"/>
      <c r="D179" s="8"/>
      <c r="E179" s="9"/>
    </row>
    <row r="180" spans="3:5" s="10" customFormat="1">
      <c r="C180" s="8"/>
      <c r="D180" s="8"/>
      <c r="E180" s="9"/>
    </row>
    <row r="181" spans="3:5" s="10" customFormat="1">
      <c r="C181" s="8"/>
      <c r="D181" s="8"/>
      <c r="E181" s="9"/>
    </row>
    <row r="182" spans="3:5" s="10" customFormat="1">
      <c r="C182" s="8"/>
      <c r="D182" s="8"/>
      <c r="E182" s="9"/>
    </row>
    <row r="183" spans="3:5" s="10" customFormat="1">
      <c r="C183" s="8"/>
      <c r="D183" s="8"/>
      <c r="E183" s="9"/>
    </row>
    <row r="184" spans="3:5" s="10" customFormat="1">
      <c r="C184" s="8"/>
      <c r="D184" s="8"/>
      <c r="E184" s="9"/>
    </row>
    <row r="185" spans="3:5" s="10" customFormat="1">
      <c r="C185" s="8"/>
      <c r="D185" s="8"/>
      <c r="E185" s="9"/>
    </row>
    <row r="186" spans="3:5" s="10" customFormat="1">
      <c r="C186" s="8"/>
      <c r="D186" s="8"/>
      <c r="E186" s="9"/>
    </row>
    <row r="187" spans="3:5" s="10" customFormat="1">
      <c r="C187" s="8"/>
      <c r="D187" s="8"/>
      <c r="E187" s="9"/>
    </row>
    <row r="188" spans="3:5" s="10" customFormat="1">
      <c r="C188" s="8"/>
      <c r="D188" s="8"/>
      <c r="E188" s="9"/>
    </row>
    <row r="189" spans="3:5" s="10" customFormat="1">
      <c r="C189" s="8"/>
      <c r="D189" s="8"/>
      <c r="E189" s="9"/>
    </row>
    <row r="190" spans="3:5" s="10" customFormat="1">
      <c r="C190" s="8"/>
      <c r="D190" s="8"/>
      <c r="E190" s="9"/>
    </row>
    <row r="191" spans="3:5" s="10" customFormat="1">
      <c r="C191" s="8"/>
      <c r="D191" s="8"/>
      <c r="E191" s="9"/>
    </row>
    <row r="192" spans="3:5" s="10" customFormat="1">
      <c r="C192" s="8"/>
      <c r="D192" s="8"/>
      <c r="E192" s="9"/>
    </row>
    <row r="193" spans="3:5" s="10" customFormat="1">
      <c r="C193" s="8"/>
      <c r="D193" s="8"/>
      <c r="E193" s="9"/>
    </row>
    <row r="194" spans="3:5" s="10" customFormat="1">
      <c r="C194" s="8"/>
      <c r="D194" s="8"/>
      <c r="E194" s="9"/>
    </row>
    <row r="195" spans="3:5" s="10" customFormat="1">
      <c r="C195" s="8"/>
      <c r="D195" s="8"/>
      <c r="E195" s="9"/>
    </row>
    <row r="196" spans="3:5" s="10" customFormat="1">
      <c r="C196" s="8"/>
      <c r="D196" s="8"/>
      <c r="E196" s="9"/>
    </row>
    <row r="197" spans="3:5" s="10" customFormat="1">
      <c r="C197" s="8"/>
      <c r="D197" s="8"/>
      <c r="E197" s="9"/>
    </row>
    <row r="198" spans="3:5" s="10" customFormat="1">
      <c r="C198" s="8"/>
      <c r="D198" s="8"/>
      <c r="E198" s="9"/>
    </row>
    <row r="199" spans="3:5" s="10" customFormat="1">
      <c r="C199" s="8"/>
      <c r="D199" s="8"/>
      <c r="E199" s="9"/>
    </row>
    <row r="200" spans="3:5" s="10" customFormat="1">
      <c r="C200" s="8"/>
      <c r="D200" s="8"/>
      <c r="E200" s="9"/>
    </row>
    <row r="201" spans="3:5" s="10" customFormat="1">
      <c r="C201" s="8"/>
      <c r="D201" s="8"/>
      <c r="E201" s="9"/>
    </row>
    <row r="202" spans="3:5" s="10" customFormat="1">
      <c r="C202" s="8"/>
      <c r="D202" s="8"/>
      <c r="E202" s="9"/>
    </row>
    <row r="203" spans="3:5" s="10" customFormat="1">
      <c r="C203" s="8"/>
      <c r="D203" s="8"/>
      <c r="E203" s="9"/>
    </row>
    <row r="204" spans="3:5" s="10" customFormat="1">
      <c r="C204" s="8"/>
      <c r="D204" s="8"/>
      <c r="E204" s="9"/>
    </row>
    <row r="205" spans="3:5" s="10" customFormat="1">
      <c r="C205" s="8"/>
      <c r="D205" s="8"/>
      <c r="E205" s="9"/>
    </row>
    <row r="206" spans="3:5" s="10" customFormat="1">
      <c r="C206" s="8"/>
      <c r="D206" s="8"/>
      <c r="E206" s="9"/>
    </row>
    <row r="207" spans="3:5" s="10" customFormat="1">
      <c r="C207" s="8"/>
      <c r="D207" s="8"/>
      <c r="E207" s="9"/>
    </row>
    <row r="208" spans="3:5" s="10" customFormat="1">
      <c r="C208" s="8"/>
      <c r="D208" s="8"/>
      <c r="E208" s="9"/>
    </row>
    <row r="209" spans="3:5" s="10" customFormat="1">
      <c r="C209" s="8"/>
      <c r="D209" s="8"/>
      <c r="E209" s="9"/>
    </row>
    <row r="210" spans="3:5" s="10" customFormat="1">
      <c r="C210" s="8"/>
      <c r="D210" s="8"/>
      <c r="E210" s="9"/>
    </row>
    <row r="211" spans="3:5" s="10" customFormat="1">
      <c r="C211" s="8"/>
      <c r="D211" s="8"/>
      <c r="E211" s="9"/>
    </row>
    <row r="212" spans="3:5" s="10" customFormat="1">
      <c r="C212" s="8"/>
      <c r="D212" s="8"/>
      <c r="E212" s="9"/>
    </row>
    <row r="213" spans="3:5" s="10" customFormat="1">
      <c r="C213" s="8"/>
      <c r="D213" s="8"/>
      <c r="E213" s="9"/>
    </row>
    <row r="214" spans="3:5" s="10" customFormat="1">
      <c r="C214" s="8"/>
      <c r="D214" s="8"/>
      <c r="E214" s="9"/>
    </row>
    <row r="215" spans="3:5" s="10" customFormat="1">
      <c r="C215" s="8"/>
      <c r="D215" s="8"/>
      <c r="E215" s="9"/>
    </row>
    <row r="216" spans="3:5" s="10" customFormat="1">
      <c r="C216" s="8"/>
      <c r="D216" s="8"/>
      <c r="E216" s="9"/>
    </row>
    <row r="217" spans="3:5" s="10" customFormat="1">
      <c r="C217" s="8"/>
      <c r="D217" s="8"/>
      <c r="E217" s="9"/>
    </row>
    <row r="218" spans="3:5" s="10" customFormat="1">
      <c r="C218" s="8"/>
      <c r="D218" s="8"/>
      <c r="E218" s="9"/>
    </row>
    <row r="219" spans="3:5" s="10" customFormat="1">
      <c r="C219" s="8"/>
      <c r="D219" s="8"/>
      <c r="E219" s="9"/>
    </row>
    <row r="220" spans="3:5" s="10" customFormat="1">
      <c r="C220" s="8"/>
      <c r="D220" s="8"/>
      <c r="E220" s="9"/>
    </row>
    <row r="221" spans="3:5" s="10" customFormat="1">
      <c r="C221" s="8"/>
      <c r="D221" s="8"/>
      <c r="E221" s="9"/>
    </row>
    <row r="222" spans="3:5" s="10" customFormat="1">
      <c r="C222" s="8"/>
      <c r="D222" s="8"/>
      <c r="E222" s="9"/>
    </row>
    <row r="223" spans="3:5" s="10" customFormat="1">
      <c r="C223" s="8"/>
      <c r="D223" s="8"/>
      <c r="E223" s="9"/>
    </row>
    <row r="224" spans="3:5" s="10" customFormat="1">
      <c r="C224" s="8"/>
      <c r="D224" s="8"/>
      <c r="E224" s="9"/>
    </row>
    <row r="225" spans="3:12" s="10" customFormat="1">
      <c r="C225" s="8"/>
      <c r="D225" s="8"/>
      <c r="E225" s="9"/>
    </row>
    <row r="226" spans="3:12" s="10" customFormat="1">
      <c r="C226" s="8"/>
      <c r="D226" s="8"/>
      <c r="E226" s="9"/>
    </row>
    <row r="227" spans="3:12" s="10" customFormat="1">
      <c r="C227" s="8"/>
      <c r="D227" s="8"/>
      <c r="E227" s="9"/>
    </row>
    <row r="228" spans="3:12" s="10" customFormat="1">
      <c r="C228" s="8"/>
      <c r="D228" s="8"/>
      <c r="E228" s="9"/>
    </row>
    <row r="229" spans="3:12" s="10" customFormat="1">
      <c r="C229" s="8"/>
      <c r="D229" s="8"/>
      <c r="E229" s="9"/>
    </row>
    <row r="230" spans="3:12" s="10" customFormat="1">
      <c r="C230" s="8"/>
      <c r="D230" s="8"/>
      <c r="E230" s="9"/>
    </row>
    <row r="231" spans="3:12" s="10" customFormat="1">
      <c r="C231" s="8"/>
      <c r="D231" s="8"/>
      <c r="E231" s="9"/>
    </row>
    <row r="232" spans="3:12" s="10" customFormat="1">
      <c r="C232" s="8"/>
      <c r="D232" s="8"/>
      <c r="E232" s="9"/>
    </row>
    <row r="233" spans="3:12" s="10" customFormat="1">
      <c r="C233" s="8"/>
      <c r="D233" s="8"/>
    </row>
    <row r="234" spans="3:12" s="10" customFormat="1">
      <c r="C234" s="8"/>
      <c r="D234" s="8"/>
    </row>
    <row r="235" spans="3:12" s="10" customFormat="1">
      <c r="C235" s="8"/>
      <c r="D235" s="8"/>
      <c r="E235" s="9"/>
    </row>
    <row r="236" spans="3:12" s="10" customFormat="1">
      <c r="C236" s="8"/>
      <c r="D236" s="8"/>
    </row>
    <row r="237" spans="3:12" s="10" customFormat="1">
      <c r="C237" s="8"/>
      <c r="D237" s="8"/>
    </row>
    <row r="238" spans="3:12" s="10" customFormat="1">
      <c r="C238" s="8"/>
      <c r="D238" s="8"/>
      <c r="K238" s="6"/>
      <c r="L238" s="6"/>
    </row>
    <row r="239" spans="3:12" s="10" customFormat="1">
      <c r="C239" s="8"/>
      <c r="D239" s="8"/>
      <c r="K239" s="6"/>
      <c r="L239" s="6"/>
    </row>
    <row r="240" spans="3:12" s="10" customFormat="1">
      <c r="C240" s="8"/>
      <c r="D240" s="8"/>
    </row>
    <row r="241" spans="3:4" s="10" customFormat="1">
      <c r="C241" s="8"/>
      <c r="D241" s="8"/>
    </row>
    <row r="284" spans="1:13" s="10" customFormat="1">
      <c r="A284"/>
      <c r="B284"/>
      <c r="C284" s="8"/>
      <c r="D284" s="8"/>
    </row>
    <row r="285" spans="1:13" s="10" customFormat="1">
      <c r="A285"/>
      <c r="B285"/>
      <c r="C285" s="8"/>
      <c r="D285" s="8"/>
    </row>
    <row r="286" spans="1:13" s="10" customFormat="1">
      <c r="A286"/>
      <c r="B286"/>
      <c r="C286" s="8"/>
      <c r="D286" s="8"/>
    </row>
    <row r="287" spans="1:13" s="10" customFormat="1">
      <c r="A287"/>
      <c r="B287"/>
      <c r="C287" s="8"/>
      <c r="D287" s="8"/>
    </row>
    <row r="288" spans="1:13" s="10" customFormat="1">
      <c r="A288"/>
      <c r="B288"/>
      <c r="C288" s="8"/>
      <c r="D288" s="8"/>
    </row>
    <row r="289" spans="1:13" s="10" customFormat="1">
      <c r="A289"/>
      <c r="B289"/>
      <c r="C289" s="8"/>
      <c r="D289" s="8"/>
    </row>
    <row r="290" spans="1:13" s="10" customFormat="1">
      <c r="A290"/>
      <c r="B290"/>
      <c r="C290" s="8"/>
      <c r="D290" s="8"/>
    </row>
    <row r="291" spans="1:13" s="10" customFormat="1">
      <c r="A291"/>
      <c r="B291"/>
      <c r="C291" s="8"/>
      <c r="D291" s="8"/>
      <c r="K291" s="8"/>
      <c r="L291" s="8"/>
      <c r="M291"/>
    </row>
    <row r="292" spans="1:13" s="10" customFormat="1">
      <c r="A292"/>
      <c r="B292"/>
      <c r="C292" s="8"/>
      <c r="D292" s="8"/>
      <c r="K292" s="8"/>
      <c r="L292" s="8"/>
      <c r="M292"/>
    </row>
    <row r="293" spans="1:13" s="10" customFormat="1">
      <c r="A293"/>
      <c r="B293"/>
      <c r="C293" s="8"/>
      <c r="D293" s="8"/>
      <c r="K293" s="8"/>
      <c r="L293" s="8"/>
      <c r="M293"/>
    </row>
    <row r="294" spans="1:13" s="10" customFormat="1">
      <c r="A294"/>
      <c r="B294"/>
      <c r="C294" s="8"/>
      <c r="D294" s="8"/>
      <c r="K294" s="6"/>
      <c r="L294" s="6"/>
      <c r="M294"/>
    </row>
    <row r="295" spans="1:13" s="10" customFormat="1">
      <c r="A295"/>
      <c r="B295"/>
      <c r="C295" s="8"/>
      <c r="D295" s="8"/>
      <c r="K295" s="6"/>
      <c r="L295" s="6"/>
      <c r="M295"/>
    </row>
    <row r="296" spans="1:13" s="10" customFormat="1">
      <c r="C296" s="8"/>
      <c r="D296" s="8"/>
      <c r="K296" s="6"/>
      <c r="L296" s="6"/>
    </row>
    <row r="297" spans="1:13" s="10" customFormat="1">
      <c r="C297" s="8"/>
      <c r="D297" s="8"/>
      <c r="K297" s="8"/>
      <c r="L297" s="8"/>
    </row>
    <row r="298" spans="1:13" s="10" customFormat="1">
      <c r="C298" s="8"/>
      <c r="D298" s="8"/>
      <c r="K298" s="8"/>
      <c r="L298" s="8"/>
    </row>
    <row r="299" spans="1:13" s="10" customFormat="1">
      <c r="C299" s="8"/>
      <c r="D299" s="8"/>
      <c r="K299" s="8"/>
      <c r="L299" s="8"/>
    </row>
    <row r="300" spans="1:13" s="10" customFormat="1">
      <c r="C300" s="8"/>
      <c r="D300" s="8"/>
      <c r="K300" s="8"/>
      <c r="L300" s="8"/>
    </row>
    <row r="301" spans="1:13" s="10" customFormat="1">
      <c r="C301" s="8"/>
      <c r="D301" s="8"/>
      <c r="K301" s="8"/>
      <c r="L301" s="8"/>
    </row>
    <row r="302" spans="1:13" s="10" customFormat="1">
      <c r="C302" s="8"/>
      <c r="D302" s="8"/>
      <c r="K302" s="8"/>
      <c r="L302" s="8"/>
    </row>
    <row r="303" spans="1:13" s="10" customFormat="1">
      <c r="C303" s="8"/>
      <c r="D303" s="8"/>
      <c r="K303" s="8"/>
      <c r="L303" s="8"/>
    </row>
    <row r="304" spans="1:13" s="10" customFormat="1">
      <c r="C304" s="8"/>
      <c r="D304" s="8"/>
      <c r="K304" s="8"/>
      <c r="L304" s="8"/>
    </row>
    <row r="305" spans="3:12" s="10" customFormat="1">
      <c r="C305" s="8"/>
      <c r="D305" s="8"/>
    </row>
    <row r="306" spans="3:12" s="10" customFormat="1">
      <c r="C306" s="8"/>
      <c r="D306" s="8"/>
      <c r="K306" s="8"/>
      <c r="L306" s="8"/>
    </row>
    <row r="307" spans="3:12" s="10" customFormat="1">
      <c r="C307" s="8"/>
      <c r="D307" s="8"/>
    </row>
    <row r="308" spans="3:12" s="10" customFormat="1">
      <c r="C308" s="8"/>
      <c r="D308" s="8"/>
    </row>
    <row r="309" spans="3:12" s="10" customFormat="1">
      <c r="C309" s="8"/>
      <c r="D309" s="8"/>
    </row>
    <row r="311" spans="3:12" s="10" customFormat="1">
      <c r="C311" s="8"/>
      <c r="D311" s="8"/>
    </row>
  </sheetData>
  <mergeCells>
    <mergeCell ref="A2:E2"/>
  </mergeCells>
  <pageMargins header="0.314961" footer="0.314961" left="0.314961" right="0.314961" top="0.354331" bottom="0.354331"/>
  <pageSetup paperSize="9" firstPageNumber="1" scale="90" fitToWidth="1" fitToHeight="1" orientation="landscape" horizontalDpi="600" verticalDpi="600"/>
  <headerFooter differentFirst="0" differentOddEven="0">
    <oddHeader/>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http://schemas.microsoft.com/office/spreadsheetml/2009/9/main" xmlns:x14ac="http://schemas.microsoft.com/office/spreadsheetml/2009/9/ac" mc:Ignorable="x14ac">
  <sheetPr/>
  <dimension ref="A1:M309"/>
  <sheetViews>
    <sheetView zoomScale="110" workbookViewId="0">
      <selection activeCell="F11" sqref="F11"/>
    </sheetView>
  </sheetViews>
  <sheetFormatPr defaultRowHeight="15" customHeight="1" baseColWidth="8"/>
  <cols>
    <col width="15.1406" customWidth="1" min="1" max="1"/>
    <col width="20.2852" customWidth="1" min="2" max="2"/>
    <col width="4.85547" customWidth="1" min="3" max="4" style="8"/>
    <col width="4.85547" customWidth="1" min="5" max="5" style="10"/>
    <col width="5.42578" customWidth="1" min="6" max="7" style="10"/>
    <col width="5.57031" customWidth="1" min="8" max="8" style="10"/>
    <col width="4.85547" customWidth="1" min="9" max="10" style="10"/>
    <col width="7.14062" customWidth="1" min="11" max="11" style="10"/>
    <col width="11.2852" customWidth="1" min="12" max="12" style="10"/>
    <col width="29.1406" customWidth="1" min="13" max="14"/>
    <col width="8.85547" customWidth="1" min="15" max="15"/>
    <col width="25.2852" customWidth="1" min="16" max="16"/>
    <col width="35" customWidth="1" min="17" max="17"/>
  </cols>
  <sheetData>
    <row r="1" spans="1:13" ht="15" customHeight="1">
      <c r="A1" s="81" t="s">
        <v>1</v>
      </c>
      <c r="B1" s="81"/>
      <c r="C1" s="75" t="s">
        <v>4</v>
      </c>
      <c r="D1" s="76"/>
      <c r="E1" s="76"/>
      <c r="F1" s="76"/>
      <c r="G1" s="76"/>
      <c r="H1" s="76"/>
      <c r="I1" s="76"/>
      <c r="J1" s="77"/>
      <c r="K1" s="37"/>
      <c r="L1" s="38"/>
      <c r="M1" s="5"/>
    </row>
    <row r="2" spans="1:13" ht="15" customHeight="1">
      <c r="A2" s="81"/>
      <c r="B2" s="81"/>
      <c r="C2" s="78" t="s">
        <v>15</v>
      </c>
      <c r="D2" s="78"/>
      <c r="E2" s="78"/>
      <c r="F2" s="79" t="s">
        <v>16</v>
      </c>
      <c r="G2" s="79"/>
      <c r="H2" s="79"/>
      <c r="I2" s="80" t="s">
        <v>17</v>
      </c>
      <c r="J2" s="80"/>
      <c r="K2" s="38"/>
      <c r="L2" s="38"/>
      <c r="M2" s="5"/>
    </row>
    <row r="3" spans="1:13" ht="11.45" customHeight="1">
      <c r="A3" s="81"/>
      <c r="B3" s="81"/>
      <c r="C3" s="21">
        <v>2</v>
      </c>
      <c r="D3" s="21">
        <v>3</v>
      </c>
      <c r="E3" s="21">
        <v>1</v>
      </c>
      <c r="F3" s="22">
        <v>2</v>
      </c>
      <c r="G3" s="22">
        <v>3</v>
      </c>
      <c r="H3" s="22">
        <v>2</v>
      </c>
      <c r="I3" s="23">
        <v>3</v>
      </c>
      <c r="J3" s="23">
        <v>2</v>
      </c>
      <c r="K3" s="13"/>
      <c r="L3" s="4"/>
      <c r="M3" s="14"/>
    </row>
    <row r="4" spans="1:13" s="3" customFormat="1" ht="171.75" customHeight="1">
      <c r="A4" s="35" t="s">
        <v>12</v>
      </c>
      <c r="B4" s="34" t="s">
        <v>18</v>
      </c>
      <c r="C4" s="24" t="s">
        <v>57</v>
      </c>
      <c r="D4" s="25" t="s">
        <v>23</v>
      </c>
      <c r="E4" s="25" t="s">
        <v>14</v>
      </c>
      <c r="F4" s="26" t="s">
        <v>9</v>
      </c>
      <c r="G4" s="27" t="s">
        <v>10</v>
      </c>
      <c r="H4" s="28" t="s">
        <v>6</v>
      </c>
      <c r="I4" s="29" t="s">
        <v>8</v>
      </c>
      <c r="J4" s="30" t="s">
        <v>13</v>
      </c>
      <c r="K4" s="31" t="s">
        <v>11</v>
      </c>
      <c r="L4" s="32" t="s">
        <v>7</v>
      </c>
      <c r="M4" s="33" t="s">
        <v>2</v>
      </c>
    </row>
    <row r="5" spans="1:13" s="12" customFormat="1" ht="37.9" customHeight="1">
      <c r="A5" s="42" t="s">
        <v>56</v>
      </c>
      <c r="B5" s="40" t="s">
        <v>55</v>
      </c>
      <c r="C5" s="43">
        <v>1</v>
      </c>
      <c r="D5" s="43">
        <v>2</v>
      </c>
      <c r="E5" s="43">
        <v>1</v>
      </c>
      <c r="F5" s="43">
        <v>1</v>
      </c>
      <c r="G5" s="43">
        <v>1</v>
      </c>
      <c r="H5" s="43">
        <v>1</v>
      </c>
      <c r="I5" s="43">
        <v>3</v>
      </c>
      <c r="J5" s="43">
        <v>1</v>
      </c>
      <c r="K5" s="44">
        <f>((C5*C3)+(D5*D3)+(E5*E3)+(F5*F3)+(G5*G3)+(H5*H3)+(I5*I3)+(J5*J3))/8</f>
        <v>3.375</v>
      </c>
      <c r="L5" t="str" s="45">
        <f>IF(AND(K5&gt;=0.5,K5&lt;=3.5),"1/Anno",IF(AND(K5&gt;3.5,K5&lt;=4.5),"2/Anno",IF(AND(K5&gt;4.5,K5&lt;=5.5),"3/Anno",IF(AND(K5&gt;5.5,K5&lt;=6.5),"4/Anno",IF(K5&gt;6.5,"Settimanale","?")))))</f>
        <v>1/Anno</v>
      </c>
      <c r="M5" s="41"/>
    </row>
    <row r="6" spans="1:13" s="10" customFormat="1">
      <c r="A6" s="48" t="s">
        <v>58</v>
      </c>
      <c r="B6" s="40" t="s">
        <v>59</v>
      </c>
      <c r="C6" s="43">
        <v>1</v>
      </c>
      <c r="D6" s="43">
        <v>2</v>
      </c>
      <c r="E6" s="43">
        <v>1</v>
      </c>
      <c r="F6" s="43">
        <v>1</v>
      </c>
      <c r="G6" s="43">
        <v>1</v>
      </c>
      <c r="H6" s="43">
        <v>1</v>
      </c>
      <c r="I6" s="43">
        <v>3</v>
      </c>
      <c r="J6" s="43">
        <v>1</v>
      </c>
      <c r="K6" s="44">
        <f>((C6*C3)+(D6*D3)+(E6*E3)+(F6*F3)+(G6*G3)+(H6*H3)+(I6*I3)+(J6*J3))/8</f>
        <v>3.375</v>
      </c>
      <c r="L6" t="str" s="45">
        <f>IF(AND(K6&gt;=0.5,K6&lt;=3.5),"1/Anno",IF(AND(K6&gt;3.5,K6&lt;=4.5),"2/Anno",IF(AND(K6&gt;4.5,K6&lt;=5.5),"3/Anno",IF(AND(K6&gt;5.5,K6&lt;=6.5),"4/Anno",IF(K6&gt;6.5,"Settimanale","?")))))</f>
        <v>1/Anno</v>
      </c>
      <c r="M6" s="41"/>
    </row>
    <row r="7" spans="1:13" s="10" customFormat="1">
      <c r="C7" s="8"/>
      <c r="D7" s="8"/>
      <c r="E7" s="9"/>
    </row>
    <row r="8" spans="1:13" s="10" customFormat="1">
      <c r="C8" s="8"/>
      <c r="D8" s="8"/>
      <c r="E8" s="9"/>
    </row>
    <row r="9" spans="1:13" s="10" customFormat="1">
      <c r="C9" s="8"/>
      <c r="D9" s="8"/>
      <c r="E9" s="9"/>
    </row>
    <row r="10" spans="1:13" s="10" customFormat="1">
      <c r="C10" s="8"/>
      <c r="D10" s="8"/>
      <c r="E10" s="9"/>
    </row>
    <row r="11" spans="1:13" s="10" customFormat="1">
      <c r="C11" s="8"/>
      <c r="D11" s="8"/>
      <c r="E11" s="9"/>
    </row>
    <row r="12" spans="1:13" s="10" customFormat="1">
      <c r="C12" s="8"/>
      <c r="D12" s="8"/>
      <c r="E12" s="9"/>
    </row>
    <row r="13" spans="1:13" s="10" customFormat="1">
      <c r="C13" s="8"/>
      <c r="D13" s="8"/>
      <c r="E13" s="9"/>
    </row>
    <row r="14" spans="1:13" s="10" customFormat="1">
      <c r="C14" s="8"/>
      <c r="D14" s="8"/>
      <c r="E14" s="9"/>
    </row>
    <row r="15" spans="1:13" s="10" customFormat="1">
      <c r="C15" s="8"/>
      <c r="D15" s="8"/>
      <c r="E15" s="9"/>
    </row>
    <row r="16" spans="1:13" s="10" customFormat="1">
      <c r="C16" s="8"/>
      <c r="D16" s="8"/>
      <c r="E16" s="9"/>
    </row>
    <row r="17" spans="3:5" s="10" customFormat="1">
      <c r="C17" s="8"/>
      <c r="D17" s="8"/>
      <c r="E17" s="9"/>
    </row>
    <row r="18" spans="3:5" s="10" customFormat="1">
      <c r="C18" s="8"/>
      <c r="D18" s="8"/>
      <c r="E18" s="9"/>
    </row>
    <row r="19" spans="3:5" s="10" customFormat="1">
      <c r="C19" s="8"/>
      <c r="D19" s="8"/>
      <c r="E19" s="9"/>
    </row>
    <row r="20" spans="3:5" s="10" customFormat="1">
      <c r="C20" s="8"/>
      <c r="D20" s="8"/>
      <c r="E20" s="9"/>
    </row>
    <row r="21" spans="3:5" s="10" customFormat="1">
      <c r="C21" s="8"/>
      <c r="D21" s="8"/>
      <c r="E21" s="9"/>
    </row>
    <row r="22" spans="3:5" s="10" customFormat="1">
      <c r="C22" s="8"/>
      <c r="D22" s="8"/>
      <c r="E22" s="9"/>
    </row>
    <row r="23" spans="3:5" s="10" customFormat="1">
      <c r="C23" s="8"/>
      <c r="D23" s="8"/>
      <c r="E23" s="9"/>
    </row>
    <row r="24" spans="3:5" s="10" customFormat="1">
      <c r="C24" s="8"/>
      <c r="D24" s="8"/>
      <c r="E24" s="9"/>
    </row>
    <row r="25" spans="3:5" s="10" customFormat="1">
      <c r="C25" s="8"/>
      <c r="D25" s="8"/>
      <c r="E25" s="9"/>
    </row>
    <row r="26" spans="3:5" s="10" customFormat="1">
      <c r="C26" s="8"/>
      <c r="D26" s="8"/>
      <c r="E26" s="9"/>
    </row>
    <row r="27" spans="3:5" s="10" customFormat="1">
      <c r="C27" s="8"/>
      <c r="D27" s="8"/>
      <c r="E27" s="9"/>
    </row>
    <row r="28" spans="3:5" s="10" customFormat="1">
      <c r="C28" s="8"/>
      <c r="D28" s="8"/>
      <c r="E28" s="9"/>
    </row>
    <row r="29" spans="3:5" s="10" customFormat="1">
      <c r="C29" s="8"/>
      <c r="D29" s="8"/>
      <c r="E29" s="9"/>
    </row>
    <row r="30" spans="3:5" s="10" customFormat="1">
      <c r="C30" s="8"/>
      <c r="D30" s="8"/>
      <c r="E30" s="9"/>
    </row>
    <row r="31" spans="3:5" s="10" customFormat="1">
      <c r="C31" s="8"/>
      <c r="D31" s="8"/>
      <c r="E31" s="9"/>
    </row>
    <row r="32" spans="3:5" s="10" customFormat="1">
      <c r="C32" s="8"/>
      <c r="D32" s="8"/>
      <c r="E32" s="9"/>
    </row>
    <row r="33" spans="3:5" s="10" customFormat="1">
      <c r="C33" s="8"/>
      <c r="D33" s="8"/>
      <c r="E33" s="9"/>
    </row>
    <row r="34" spans="3:5" s="10" customFormat="1">
      <c r="C34" s="8"/>
      <c r="D34" s="8"/>
      <c r="E34" s="9"/>
    </row>
    <row r="35" spans="3:5" s="10" customFormat="1">
      <c r="C35" s="8"/>
      <c r="D35" s="8"/>
      <c r="E35" s="9"/>
    </row>
    <row r="36" spans="3:5" s="10" customFormat="1">
      <c r="C36" s="8"/>
      <c r="D36" s="8"/>
      <c r="E36" s="9"/>
    </row>
    <row r="37" spans="3:5" s="10" customFormat="1">
      <c r="C37" s="8"/>
      <c r="D37" s="8"/>
      <c r="E37" s="9"/>
    </row>
    <row r="38" spans="3:5" s="10" customFormat="1">
      <c r="C38" s="8"/>
      <c r="D38" s="8"/>
      <c r="E38" s="9"/>
    </row>
    <row r="39" spans="3:5" s="10" customFormat="1">
      <c r="C39" s="8"/>
      <c r="D39" s="8"/>
      <c r="E39" s="9"/>
    </row>
    <row r="40" spans="3:5" s="10" customFormat="1">
      <c r="C40" s="8"/>
      <c r="D40" s="8"/>
      <c r="E40" s="9"/>
    </row>
    <row r="41" spans="3:5" s="10" customFormat="1">
      <c r="C41" s="8"/>
      <c r="D41" s="8"/>
      <c r="E41" s="9"/>
    </row>
    <row r="42" spans="3:5" s="10" customFormat="1">
      <c r="C42" s="8"/>
      <c r="D42" s="8"/>
      <c r="E42" s="9"/>
    </row>
    <row r="43" spans="3:5" s="10" customFormat="1">
      <c r="C43" s="8"/>
      <c r="D43" s="8"/>
      <c r="E43" s="9"/>
    </row>
    <row r="44" spans="3:5" s="10" customFormat="1">
      <c r="C44" s="8"/>
      <c r="D44" s="8"/>
      <c r="E44" s="9"/>
    </row>
    <row r="45" spans="3:5" s="10" customFormat="1">
      <c r="C45" s="8"/>
      <c r="D45" s="8"/>
      <c r="E45" s="9"/>
    </row>
    <row r="46" spans="3:5" s="10" customFormat="1">
      <c r="C46" s="8"/>
      <c r="D46" s="8"/>
      <c r="E46" s="9"/>
    </row>
    <row r="47" spans="3:5" s="10" customFormat="1">
      <c r="C47" s="8"/>
      <c r="D47" s="8"/>
      <c r="E47" s="9"/>
    </row>
    <row r="48" spans="3:5" s="10" customFormat="1">
      <c r="C48" s="8"/>
      <c r="D48" s="8"/>
      <c r="E48" s="9"/>
    </row>
    <row r="49" spans="3:5" s="10" customFormat="1">
      <c r="C49" s="8"/>
      <c r="D49" s="8"/>
      <c r="E49" s="9"/>
    </row>
    <row r="50" spans="3:5" s="10" customFormat="1">
      <c r="C50" s="8"/>
      <c r="D50" s="8"/>
      <c r="E50" s="9"/>
    </row>
    <row r="51" spans="3:5" s="10" customFormat="1">
      <c r="C51" s="8"/>
      <c r="D51" s="8"/>
      <c r="E51" s="9"/>
    </row>
    <row r="52" spans="3:5" s="10" customFormat="1">
      <c r="C52" s="8"/>
      <c r="D52" s="8"/>
      <c r="E52" s="9"/>
    </row>
    <row r="53" spans="3:5" s="10" customFormat="1">
      <c r="C53" s="8"/>
      <c r="D53" s="8"/>
      <c r="E53" s="9"/>
    </row>
    <row r="54" spans="3:5" s="10" customFormat="1">
      <c r="C54" s="8"/>
      <c r="D54" s="8"/>
      <c r="E54" s="9"/>
    </row>
    <row r="55" spans="3:5" s="10" customFormat="1">
      <c r="C55" s="8"/>
      <c r="D55" s="8"/>
      <c r="E55" s="9"/>
    </row>
    <row r="56" spans="3:5" s="10" customFormat="1">
      <c r="C56" s="8"/>
      <c r="D56" s="8"/>
      <c r="E56" s="9"/>
    </row>
    <row r="57" spans="3:5" s="10" customFormat="1">
      <c r="C57" s="8"/>
      <c r="D57" s="8"/>
      <c r="E57" s="9"/>
    </row>
    <row r="58" spans="3:5" s="10" customFormat="1">
      <c r="C58" s="8"/>
      <c r="D58" s="8"/>
      <c r="E58" s="9"/>
    </row>
    <row r="59" spans="3:5" s="10" customFormat="1">
      <c r="C59" s="8"/>
      <c r="D59" s="8"/>
      <c r="E59" s="9"/>
    </row>
    <row r="60" spans="3:5" s="10" customFormat="1">
      <c r="C60" s="8"/>
      <c r="D60" s="8"/>
      <c r="E60" s="9"/>
    </row>
    <row r="61" spans="3:5" s="10" customFormat="1">
      <c r="C61" s="8"/>
      <c r="D61" s="8"/>
      <c r="E61" s="9"/>
    </row>
    <row r="62" spans="3:5" s="10" customFormat="1">
      <c r="C62" s="8"/>
      <c r="D62" s="8"/>
      <c r="E62" s="9"/>
    </row>
    <row r="63" spans="3:5" s="10" customFormat="1">
      <c r="C63" s="8"/>
      <c r="D63" s="8"/>
      <c r="E63" s="9"/>
    </row>
    <row r="64" spans="3:5" s="10" customFormat="1">
      <c r="C64" s="8"/>
      <c r="D64" s="8"/>
      <c r="E64" s="9"/>
    </row>
    <row r="65" spans="3:5" s="10" customFormat="1">
      <c r="C65" s="8"/>
      <c r="D65" s="8"/>
      <c r="E65" s="9"/>
    </row>
    <row r="66" spans="3:5" s="10" customFormat="1">
      <c r="C66" s="8"/>
      <c r="D66" s="8"/>
      <c r="E66" s="9"/>
    </row>
    <row r="67" spans="3:5" s="10" customFormat="1">
      <c r="C67" s="8"/>
      <c r="D67" s="8"/>
      <c r="E67" s="9"/>
    </row>
    <row r="68" spans="3:5" s="10" customFormat="1">
      <c r="C68" s="8"/>
      <c r="D68" s="8"/>
      <c r="E68" s="9"/>
    </row>
    <row r="69" spans="3:5" s="10" customFormat="1">
      <c r="C69" s="8"/>
      <c r="D69" s="8"/>
      <c r="E69" s="9"/>
    </row>
    <row r="70" spans="3:5" s="10" customFormat="1">
      <c r="C70" s="8"/>
      <c r="D70" s="8"/>
      <c r="E70" s="9"/>
    </row>
    <row r="71" spans="3:5" s="10" customFormat="1">
      <c r="C71" s="8"/>
      <c r="D71" s="8"/>
      <c r="E71" s="9"/>
    </row>
    <row r="72" spans="3:5" s="10" customFormat="1">
      <c r="C72" s="8"/>
      <c r="D72" s="8"/>
      <c r="E72" s="9"/>
    </row>
    <row r="73" spans="3:5" s="10" customFormat="1">
      <c r="C73" s="8"/>
      <c r="D73" s="8"/>
      <c r="E73" s="9"/>
    </row>
    <row r="74" spans="3:5" s="10" customFormat="1">
      <c r="C74" s="8"/>
      <c r="D74" s="8"/>
      <c r="E74" s="9"/>
    </row>
    <row r="75" spans="3:5" s="10" customFormat="1">
      <c r="C75" s="8"/>
      <c r="D75" s="8"/>
      <c r="E75" s="9"/>
    </row>
    <row r="76" spans="3:5" s="10" customFormat="1">
      <c r="C76" s="8"/>
      <c r="D76" s="8"/>
      <c r="E76" s="9"/>
    </row>
    <row r="77" spans="3:5" s="10" customFormat="1">
      <c r="C77" s="8"/>
      <c r="D77" s="8"/>
      <c r="E77" s="9"/>
    </row>
    <row r="78" spans="3:5" s="10" customFormat="1">
      <c r="C78" s="8"/>
      <c r="D78" s="8"/>
      <c r="E78" s="9"/>
    </row>
    <row r="79" spans="3:5" s="10" customFormat="1">
      <c r="C79" s="8"/>
      <c r="D79" s="8"/>
      <c r="E79" s="9"/>
    </row>
    <row r="80" spans="3:5" s="10" customFormat="1">
      <c r="C80" s="8"/>
      <c r="D80" s="8"/>
      <c r="E80" s="9"/>
    </row>
    <row r="81" spans="1:13" s="10" customFormat="1">
      <c r="C81" s="8"/>
      <c r="D81" s="8"/>
      <c r="E81" s="9"/>
    </row>
    <row r="82" spans="1:13" s="10" customFormat="1">
      <c r="C82" s="8"/>
      <c r="D82" s="8"/>
      <c r="E82" s="9"/>
    </row>
    <row r="83" spans="1:13" s="10" customFormat="1">
      <c r="C83" s="8"/>
      <c r="D83" s="8"/>
      <c r="E83" s="9"/>
    </row>
    <row r="84" spans="1:13" s="10" customFormat="1">
      <c r="C84" s="8"/>
      <c r="D84" s="8"/>
      <c r="E84" s="9"/>
    </row>
    <row r="85" spans="1:13" s="10" customFormat="1">
      <c r="C85" s="8"/>
      <c r="D85" s="8"/>
      <c r="E85" s="9"/>
    </row>
    <row r="86" spans="1:13" s="10" customFormat="1">
      <c r="C86" s="8"/>
      <c r="D86" s="8"/>
      <c r="E86" s="9"/>
    </row>
    <row r="87" spans="1:13" s="10" customFormat="1">
      <c r="C87" s="8"/>
      <c r="D87" s="8"/>
      <c r="E87" s="9"/>
    </row>
    <row r="88" spans="1:13" s="10" customFormat="1">
      <c r="C88" s="8"/>
      <c r="D88" s="8"/>
      <c r="E88" s="9"/>
    </row>
    <row r="89" spans="1:13" s="10" customFormat="1">
      <c r="C89" s="8"/>
      <c r="D89" s="8"/>
      <c r="E89" s="9"/>
      <c r="K89" s="6"/>
      <c r="L89" s="6"/>
    </row>
    <row r="90" spans="1:13" s="10" customFormat="1">
      <c r="C90" s="8"/>
      <c r="D90" s="8"/>
      <c r="E90" s="9"/>
      <c r="K90" s="6"/>
      <c r="L90" s="6"/>
    </row>
    <row r="91" spans="1:13" s="10" customFormat="1">
      <c r="C91" s="8"/>
      <c r="D91" s="8"/>
      <c r="E91" s="9"/>
      <c r="K91" s="6"/>
      <c r="L91" s="6"/>
    </row>
    <row r="92" spans="1:13" s="10" customFormat="1">
      <c r="C92" s="8"/>
      <c r="D92" s="8"/>
      <c r="E92" s="9"/>
      <c r="K92" s="6"/>
      <c r="L92" s="6"/>
    </row>
    <row r="93" spans="1:13" s="10" customFormat="1">
      <c r="C93" s="8"/>
      <c r="D93" s="8"/>
      <c r="E93" s="9"/>
      <c r="K93" s="6"/>
      <c r="L93" s="6"/>
    </row>
    <row r="94" spans="1:13" s="10" customFormat="1">
      <c r="C94" s="8"/>
      <c r="D94" s="8"/>
      <c r="E94" s="9"/>
      <c r="K94" s="6"/>
      <c r="L94" s="6"/>
    </row>
    <row r="95" spans="1:13" s="10" customFormat="1">
      <c r="C95" s="8"/>
      <c r="D95" s="8"/>
      <c r="E95" s="9"/>
    </row>
    <row r="96" spans="1:13" s="10" customFormat="1">
      <c r="A96"/>
      <c r="B96"/>
      <c r="C96" s="8"/>
      <c r="D96" s="8"/>
      <c r="E96" s="9"/>
    </row>
    <row r="97" spans="1:13" s="10" customFormat="1">
      <c r="A97"/>
      <c r="B97"/>
      <c r="C97" s="8"/>
      <c r="D97" s="8"/>
      <c r="E97" s="9"/>
    </row>
    <row r="98" spans="1:13" s="10" customFormat="1">
      <c r="A98"/>
      <c r="B98"/>
      <c r="C98" s="8"/>
      <c r="D98" s="8"/>
      <c r="E98" s="9"/>
    </row>
    <row r="99" spans="1:13" s="10" customFormat="1">
      <c r="A99"/>
      <c r="B99"/>
      <c r="C99" s="8"/>
      <c r="D99" s="8"/>
      <c r="E99" s="9"/>
    </row>
    <row r="100" spans="1:13" s="10" customFormat="1">
      <c r="A100"/>
      <c r="B100"/>
      <c r="C100" s="8"/>
      <c r="D100" s="8"/>
      <c r="E100" s="9"/>
    </row>
    <row r="101" spans="1:13" s="10" customFormat="1">
      <c r="A101"/>
      <c r="B101"/>
      <c r="C101" s="8"/>
      <c r="D101" s="8"/>
      <c r="E101" s="9"/>
    </row>
    <row r="102" spans="1:13" s="10" customFormat="1">
      <c r="A102"/>
      <c r="B102"/>
      <c r="C102" s="8"/>
      <c r="D102" s="8"/>
      <c r="E102" s="9"/>
    </row>
    <row r="103" spans="1:13" s="10" customFormat="1">
      <c r="A103"/>
      <c r="B103"/>
      <c r="C103" s="8"/>
      <c r="D103" s="8"/>
      <c r="E103" s="9"/>
    </row>
    <row r="104" spans="1:13" s="10" customFormat="1">
      <c r="A104"/>
      <c r="B104"/>
      <c r="C104" s="8"/>
      <c r="D104" s="8"/>
      <c r="E104" s="9"/>
    </row>
    <row r="105" spans="1:13" s="10" customFormat="1">
      <c r="A105"/>
      <c r="B105"/>
      <c r="C105" s="8"/>
      <c r="D105" s="8"/>
      <c r="E105" s="9"/>
    </row>
    <row r="106" spans="1:13" s="10" customFormat="1">
      <c r="A106"/>
      <c r="B106"/>
      <c r="C106" s="8"/>
      <c r="D106" s="8"/>
      <c r="E106" s="9"/>
    </row>
    <row r="107" spans="1:13" s="10" customFormat="1">
      <c r="A107"/>
      <c r="B107"/>
      <c r="C107" s="8"/>
      <c r="D107" s="8"/>
      <c r="E107" s="9"/>
    </row>
    <row r="108" spans="1:13" s="10" customFormat="1">
      <c r="A108"/>
      <c r="B108"/>
      <c r="C108" s="8"/>
      <c r="D108" s="8"/>
      <c r="E108" s="9"/>
    </row>
    <row r="109" spans="1:13" s="10" customFormat="1">
      <c r="A109"/>
      <c r="B109"/>
      <c r="C109" s="8"/>
      <c r="D109" s="8"/>
      <c r="E109" s="9"/>
    </row>
    <row r="110" spans="1:13" s="10" customFormat="1">
      <c r="A110"/>
      <c r="B110"/>
      <c r="C110" s="8"/>
      <c r="D110" s="8"/>
      <c r="E110" s="9"/>
    </row>
    <row r="111" spans="1:13" s="10" customFormat="1">
      <c r="A111"/>
      <c r="B111"/>
      <c r="C111" s="8"/>
      <c r="D111" s="8"/>
      <c r="E111" s="9"/>
    </row>
    <row r="112" spans="1:13" s="10" customFormat="1">
      <c r="C112" s="8"/>
      <c r="D112" s="8"/>
      <c r="E112" s="9"/>
    </row>
    <row r="113" spans="3:5" s="10" customFormat="1">
      <c r="C113" s="8"/>
      <c r="D113" s="8"/>
      <c r="E113" s="9"/>
    </row>
    <row r="114" spans="3:5" s="10" customFormat="1">
      <c r="C114" s="8"/>
      <c r="D114" s="8"/>
      <c r="E114" s="9"/>
    </row>
    <row r="115" spans="3:5" s="10" customFormat="1">
      <c r="C115" s="8"/>
      <c r="D115" s="8"/>
      <c r="E115" s="9"/>
    </row>
    <row r="116" spans="3:5" s="10" customFormat="1">
      <c r="C116" s="8"/>
      <c r="D116" s="8"/>
      <c r="E116" s="9"/>
    </row>
    <row r="117" spans="3:5" s="10" customFormat="1">
      <c r="C117" s="8"/>
      <c r="D117" s="8"/>
      <c r="E117" s="9"/>
    </row>
    <row r="118" spans="3:5" s="10" customFormat="1">
      <c r="C118" s="8"/>
      <c r="D118" s="8"/>
      <c r="E118" s="9"/>
    </row>
    <row r="119" spans="3:5" s="10" customFormat="1">
      <c r="C119" s="8"/>
      <c r="D119" s="8"/>
      <c r="E119" s="9"/>
    </row>
    <row r="120" spans="3:5" s="10" customFormat="1">
      <c r="C120" s="8"/>
      <c r="D120" s="8"/>
      <c r="E120" s="9"/>
    </row>
    <row r="121" spans="3:5" s="10" customFormat="1">
      <c r="C121" s="8"/>
      <c r="D121" s="8"/>
      <c r="E121" s="9"/>
    </row>
    <row r="122" spans="3:5" s="10" customFormat="1">
      <c r="C122" s="8"/>
      <c r="D122" s="8"/>
      <c r="E122" s="9"/>
    </row>
    <row r="123" spans="3:5" s="10" customFormat="1">
      <c r="C123" s="8"/>
      <c r="D123" s="8"/>
      <c r="E123" s="9"/>
    </row>
    <row r="124" spans="3:5" s="10" customFormat="1">
      <c r="C124" s="8"/>
      <c r="D124" s="8"/>
      <c r="E124" s="9"/>
    </row>
    <row r="125" spans="3:5" s="10" customFormat="1">
      <c r="C125" s="8"/>
      <c r="D125" s="8"/>
      <c r="E125" s="9"/>
    </row>
    <row r="126" spans="3:5" s="10" customFormat="1">
      <c r="C126" s="8"/>
      <c r="D126" s="8"/>
      <c r="E126" s="9"/>
    </row>
    <row r="127" spans="3:5" s="10" customFormat="1">
      <c r="C127" s="8"/>
      <c r="D127" s="8"/>
      <c r="E127" s="9"/>
    </row>
    <row r="128" spans="3:5" s="10" customFormat="1">
      <c r="C128" s="8"/>
      <c r="D128" s="8"/>
      <c r="E128" s="9"/>
    </row>
    <row r="129" spans="3:5" s="10" customFormat="1">
      <c r="C129" s="8"/>
      <c r="D129" s="8"/>
      <c r="E129" s="9"/>
    </row>
    <row r="130" spans="3:5" s="10" customFormat="1">
      <c r="C130" s="8"/>
      <c r="D130" s="8"/>
      <c r="E130" s="9"/>
    </row>
    <row r="131" spans="3:5" s="10" customFormat="1">
      <c r="C131" s="8"/>
      <c r="D131" s="8"/>
      <c r="E131" s="9"/>
    </row>
    <row r="132" spans="3:5" s="10" customFormat="1">
      <c r="C132" s="8"/>
      <c r="D132" s="8"/>
      <c r="E132" s="9"/>
    </row>
    <row r="133" spans="3:5" s="10" customFormat="1">
      <c r="C133" s="8"/>
      <c r="D133" s="8"/>
      <c r="E133" s="9"/>
    </row>
    <row r="134" spans="3:5" s="10" customFormat="1">
      <c r="C134" s="8"/>
      <c r="D134" s="8"/>
      <c r="E134" s="9"/>
    </row>
    <row r="135" spans="3:5" s="10" customFormat="1">
      <c r="C135" s="8"/>
      <c r="D135" s="8"/>
      <c r="E135" s="9"/>
    </row>
    <row r="136" spans="3:5" s="10" customFormat="1">
      <c r="C136" s="8"/>
      <c r="D136" s="8"/>
      <c r="E136" s="9"/>
    </row>
    <row r="137" spans="3:5" s="10" customFormat="1">
      <c r="C137" s="8"/>
      <c r="D137" s="8"/>
      <c r="E137" s="9"/>
    </row>
    <row r="138" spans="3:5" s="10" customFormat="1">
      <c r="C138" s="8"/>
      <c r="D138" s="8"/>
      <c r="E138" s="9"/>
    </row>
    <row r="139" spans="3:5" s="10" customFormat="1">
      <c r="C139" s="8"/>
      <c r="D139" s="8"/>
      <c r="E139" s="9"/>
    </row>
    <row r="140" spans="3:5" s="10" customFormat="1">
      <c r="C140" s="8"/>
      <c r="D140" s="8"/>
      <c r="E140" s="9"/>
    </row>
    <row r="141" spans="3:5" s="10" customFormat="1">
      <c r="C141" s="8"/>
      <c r="D141" s="8"/>
      <c r="E141" s="9"/>
    </row>
    <row r="142" spans="3:5" s="10" customFormat="1">
      <c r="C142" s="8"/>
      <c r="D142" s="8"/>
      <c r="E142" s="9"/>
    </row>
    <row r="143" spans="3:5" s="10" customFormat="1">
      <c r="C143" s="8"/>
      <c r="D143" s="8"/>
      <c r="E143" s="9"/>
    </row>
    <row r="144" spans="3:5" s="10" customFormat="1">
      <c r="C144" s="8"/>
      <c r="D144" s="8"/>
      <c r="E144" s="9"/>
    </row>
    <row r="145" spans="3:5" s="10" customFormat="1">
      <c r="C145" s="8"/>
      <c r="D145" s="8"/>
      <c r="E145" s="9"/>
    </row>
    <row r="146" spans="3:5" s="10" customFormat="1">
      <c r="C146" s="8"/>
      <c r="D146" s="8"/>
      <c r="E146" s="9"/>
    </row>
    <row r="147" spans="3:5" s="10" customFormat="1">
      <c r="C147" s="8"/>
      <c r="D147" s="8"/>
      <c r="E147" s="9"/>
    </row>
    <row r="148" spans="3:5" s="10" customFormat="1">
      <c r="C148" s="8"/>
      <c r="D148" s="8"/>
      <c r="E148" s="9"/>
    </row>
    <row r="149" spans="3:5" s="10" customFormat="1">
      <c r="C149" s="8"/>
      <c r="D149" s="8"/>
      <c r="E149" s="9"/>
    </row>
    <row r="150" spans="3:5" s="10" customFormat="1">
      <c r="C150" s="8"/>
      <c r="D150" s="8"/>
      <c r="E150" s="9"/>
    </row>
    <row r="151" spans="3:5" s="10" customFormat="1">
      <c r="C151" s="8"/>
      <c r="D151" s="8"/>
      <c r="E151" s="9"/>
    </row>
    <row r="152" spans="3:5" s="10" customFormat="1">
      <c r="C152" s="8"/>
      <c r="D152" s="8"/>
      <c r="E152" s="9"/>
    </row>
    <row r="153" spans="3:5" s="10" customFormat="1">
      <c r="C153" s="8"/>
      <c r="D153" s="8"/>
      <c r="E153" s="9"/>
    </row>
    <row r="154" spans="3:5" s="10" customFormat="1">
      <c r="C154" s="8"/>
      <c r="D154" s="8"/>
      <c r="E154" s="9"/>
    </row>
    <row r="155" spans="3:5" s="10" customFormat="1">
      <c r="C155" s="8"/>
      <c r="D155" s="8"/>
      <c r="E155" s="9"/>
    </row>
    <row r="156" spans="3:5" s="10" customFormat="1">
      <c r="C156" s="8"/>
      <c r="D156" s="8"/>
      <c r="E156" s="9"/>
    </row>
    <row r="157" spans="3:5" s="10" customFormat="1">
      <c r="C157" s="8"/>
      <c r="D157" s="8"/>
      <c r="E157" s="9"/>
    </row>
    <row r="158" spans="3:5" s="10" customFormat="1">
      <c r="C158" s="8"/>
      <c r="D158" s="8"/>
      <c r="E158" s="9"/>
    </row>
    <row r="159" spans="3:5" s="10" customFormat="1">
      <c r="C159" s="8"/>
      <c r="D159" s="8"/>
      <c r="E159" s="9"/>
    </row>
    <row r="160" spans="3:5" s="10" customFormat="1">
      <c r="C160" s="8"/>
      <c r="D160" s="8"/>
      <c r="E160" s="9"/>
    </row>
    <row r="161" spans="3:5" s="10" customFormat="1">
      <c r="C161" s="8"/>
      <c r="D161" s="8"/>
      <c r="E161" s="9"/>
    </row>
    <row r="162" spans="3:5" s="10" customFormat="1">
      <c r="C162" s="8"/>
      <c r="D162" s="8"/>
      <c r="E162" s="9"/>
    </row>
    <row r="163" spans="3:5" s="10" customFormat="1">
      <c r="C163" s="8"/>
      <c r="D163" s="8"/>
      <c r="E163" s="9"/>
    </row>
    <row r="164" spans="3:5" s="10" customFormat="1">
      <c r="C164" s="8"/>
      <c r="D164" s="8"/>
      <c r="E164" s="9"/>
    </row>
    <row r="165" spans="3:5" s="10" customFormat="1">
      <c r="C165" s="8"/>
      <c r="D165" s="8"/>
      <c r="E165" s="9"/>
    </row>
    <row r="166" spans="3:5" s="10" customFormat="1">
      <c r="C166" s="8"/>
      <c r="D166" s="8"/>
      <c r="E166" s="9"/>
    </row>
    <row r="167" spans="3:5" s="10" customFormat="1">
      <c r="C167" s="8"/>
      <c r="D167" s="8"/>
      <c r="E167" s="9"/>
    </row>
    <row r="168" spans="3:5" s="10" customFormat="1">
      <c r="C168" s="8"/>
      <c r="D168" s="8"/>
      <c r="E168" s="9"/>
    </row>
    <row r="169" spans="3:5" s="10" customFormat="1">
      <c r="C169" s="8"/>
      <c r="D169" s="8"/>
      <c r="E169" s="9"/>
    </row>
    <row r="170" spans="3:5" s="10" customFormat="1">
      <c r="C170" s="8"/>
      <c r="D170" s="8"/>
      <c r="E170" s="9"/>
    </row>
    <row r="171" spans="3:5" s="10" customFormat="1">
      <c r="C171" s="8"/>
      <c r="D171" s="8"/>
      <c r="E171" s="9"/>
    </row>
    <row r="172" spans="3:5" s="10" customFormat="1">
      <c r="C172" s="8"/>
      <c r="D172" s="8"/>
      <c r="E172" s="9"/>
    </row>
    <row r="173" spans="3:5" s="10" customFormat="1">
      <c r="C173" s="8"/>
      <c r="D173" s="8"/>
      <c r="E173" s="9"/>
    </row>
    <row r="174" spans="3:5" s="10" customFormat="1">
      <c r="C174" s="8"/>
      <c r="D174" s="8"/>
      <c r="E174" s="9"/>
    </row>
    <row r="175" spans="3:5" s="10" customFormat="1">
      <c r="C175" s="8"/>
      <c r="D175" s="8"/>
      <c r="E175" s="9"/>
    </row>
    <row r="176" spans="3:5" s="10" customFormat="1">
      <c r="C176" s="8"/>
      <c r="D176" s="8"/>
      <c r="E176" s="9"/>
    </row>
    <row r="177" spans="3:5" s="10" customFormat="1">
      <c r="C177" s="8"/>
      <c r="D177" s="8"/>
      <c r="E177" s="9"/>
    </row>
    <row r="178" spans="3:5" s="10" customFormat="1">
      <c r="C178" s="8"/>
      <c r="D178" s="8"/>
      <c r="E178" s="9"/>
    </row>
    <row r="179" spans="3:5" s="10" customFormat="1">
      <c r="C179" s="8"/>
      <c r="D179" s="8"/>
      <c r="E179" s="9"/>
    </row>
    <row r="180" spans="3:5" s="10" customFormat="1">
      <c r="C180" s="8"/>
      <c r="D180" s="8"/>
      <c r="E180" s="9"/>
    </row>
    <row r="181" spans="3:5" s="10" customFormat="1">
      <c r="C181" s="8"/>
      <c r="D181" s="8"/>
      <c r="E181" s="9"/>
    </row>
    <row r="182" spans="3:5" s="10" customFormat="1">
      <c r="C182" s="8"/>
      <c r="D182" s="8"/>
      <c r="E182" s="9"/>
    </row>
    <row r="183" spans="3:5" s="10" customFormat="1">
      <c r="C183" s="8"/>
      <c r="D183" s="8"/>
      <c r="E183" s="9"/>
    </row>
    <row r="184" spans="3:5" s="10" customFormat="1">
      <c r="C184" s="8"/>
      <c r="D184" s="8"/>
      <c r="E184" s="9"/>
    </row>
    <row r="185" spans="3:5" s="10" customFormat="1">
      <c r="C185" s="8"/>
      <c r="D185" s="8"/>
      <c r="E185" s="9"/>
    </row>
    <row r="186" spans="3:5" s="10" customFormat="1">
      <c r="C186" s="8"/>
      <c r="D186" s="8"/>
      <c r="E186" s="9"/>
    </row>
    <row r="187" spans="3:5" s="10" customFormat="1">
      <c r="C187" s="8"/>
      <c r="D187" s="8"/>
      <c r="E187" s="9"/>
    </row>
    <row r="188" spans="3:5" s="10" customFormat="1">
      <c r="C188" s="8"/>
      <c r="D188" s="8"/>
      <c r="E188" s="9"/>
    </row>
    <row r="189" spans="3:5" s="10" customFormat="1">
      <c r="C189" s="8"/>
      <c r="D189" s="8"/>
      <c r="E189" s="9"/>
    </row>
    <row r="190" spans="3:5" s="10" customFormat="1">
      <c r="C190" s="8"/>
      <c r="D190" s="8"/>
      <c r="E190" s="9"/>
    </row>
    <row r="191" spans="3:5" s="10" customFormat="1">
      <c r="C191" s="8"/>
      <c r="D191" s="8"/>
      <c r="E191" s="9"/>
    </row>
    <row r="192" spans="3:5" s="10" customFormat="1">
      <c r="C192" s="8"/>
      <c r="D192" s="8"/>
      <c r="E192" s="9"/>
    </row>
    <row r="193" spans="3:5" s="10" customFormat="1">
      <c r="C193" s="8"/>
      <c r="D193" s="8"/>
      <c r="E193" s="9"/>
    </row>
    <row r="194" spans="3:5" s="10" customFormat="1">
      <c r="C194" s="8"/>
      <c r="D194" s="8"/>
      <c r="E194" s="9"/>
    </row>
    <row r="195" spans="3:5" s="10" customFormat="1">
      <c r="C195" s="8"/>
      <c r="D195" s="8"/>
      <c r="E195" s="9"/>
    </row>
    <row r="196" spans="3:5" s="10" customFormat="1">
      <c r="C196" s="8"/>
      <c r="D196" s="8"/>
      <c r="E196" s="9"/>
    </row>
    <row r="197" spans="3:5" s="10" customFormat="1">
      <c r="C197" s="8"/>
      <c r="D197" s="8"/>
      <c r="E197" s="9"/>
    </row>
    <row r="198" spans="3:5" s="10" customFormat="1">
      <c r="C198" s="8"/>
      <c r="D198" s="8"/>
      <c r="E198" s="9"/>
    </row>
    <row r="199" spans="3:5" s="10" customFormat="1">
      <c r="C199" s="8"/>
      <c r="D199" s="8"/>
      <c r="E199" s="9"/>
    </row>
    <row r="200" spans="3:5" s="10" customFormat="1">
      <c r="C200" s="8"/>
      <c r="D200" s="8"/>
      <c r="E200" s="9"/>
    </row>
    <row r="201" spans="3:5" s="10" customFormat="1">
      <c r="C201" s="8"/>
      <c r="D201" s="8"/>
      <c r="E201" s="9"/>
    </row>
    <row r="202" spans="3:5" s="10" customFormat="1">
      <c r="C202" s="8"/>
      <c r="D202" s="8"/>
      <c r="E202" s="9"/>
    </row>
    <row r="203" spans="3:5" s="10" customFormat="1">
      <c r="C203" s="8"/>
      <c r="D203" s="8"/>
      <c r="E203" s="9"/>
    </row>
    <row r="204" spans="3:5" s="10" customFormat="1">
      <c r="C204" s="8"/>
      <c r="D204" s="8"/>
      <c r="E204" s="9"/>
    </row>
    <row r="205" spans="3:5" s="10" customFormat="1">
      <c r="C205" s="8"/>
      <c r="D205" s="8"/>
      <c r="E205" s="9"/>
    </row>
    <row r="206" spans="3:5" s="10" customFormat="1">
      <c r="C206" s="8"/>
      <c r="D206" s="8"/>
      <c r="E206" s="9"/>
    </row>
    <row r="207" spans="3:5" s="10" customFormat="1">
      <c r="C207" s="8"/>
      <c r="D207" s="8"/>
      <c r="E207" s="9"/>
    </row>
    <row r="208" spans="3:5" s="10" customFormat="1">
      <c r="C208" s="8"/>
      <c r="D208" s="8"/>
      <c r="E208" s="9"/>
    </row>
    <row r="209" spans="3:5" s="10" customFormat="1">
      <c r="C209" s="8"/>
      <c r="D209" s="8"/>
      <c r="E209" s="9"/>
    </row>
    <row r="210" spans="3:5" s="10" customFormat="1">
      <c r="C210" s="8"/>
      <c r="D210" s="8"/>
      <c r="E210" s="9"/>
    </row>
    <row r="211" spans="3:5" s="10" customFormat="1">
      <c r="C211" s="8"/>
      <c r="D211" s="8"/>
      <c r="E211" s="9"/>
    </row>
    <row r="212" spans="3:5" s="10" customFormat="1">
      <c r="C212" s="8"/>
      <c r="D212" s="8"/>
      <c r="E212" s="9"/>
    </row>
    <row r="213" spans="3:5" s="10" customFormat="1">
      <c r="C213" s="8"/>
      <c r="D213" s="8"/>
      <c r="E213" s="9"/>
    </row>
    <row r="214" spans="3:5" s="10" customFormat="1">
      <c r="C214" s="8"/>
      <c r="D214" s="8"/>
      <c r="E214" s="9"/>
    </row>
    <row r="215" spans="3:5" s="10" customFormat="1">
      <c r="C215" s="8"/>
      <c r="D215" s="8"/>
      <c r="E215" s="9"/>
    </row>
    <row r="216" spans="3:5" s="10" customFormat="1">
      <c r="C216" s="8"/>
      <c r="D216" s="8"/>
      <c r="E216" s="9"/>
    </row>
    <row r="217" spans="3:5" s="10" customFormat="1">
      <c r="C217" s="8"/>
      <c r="D217" s="8"/>
      <c r="E217" s="9"/>
    </row>
    <row r="218" spans="3:5" s="10" customFormat="1">
      <c r="C218" s="8"/>
      <c r="D218" s="8"/>
      <c r="E218" s="9"/>
    </row>
    <row r="219" spans="3:5" s="10" customFormat="1">
      <c r="C219" s="8"/>
      <c r="D219" s="8"/>
      <c r="E219" s="9"/>
    </row>
    <row r="220" spans="3:5" s="10" customFormat="1">
      <c r="C220" s="8"/>
      <c r="D220" s="8"/>
      <c r="E220" s="9"/>
    </row>
    <row r="221" spans="3:5" s="10" customFormat="1">
      <c r="C221" s="8"/>
      <c r="D221" s="8"/>
      <c r="E221" s="9"/>
    </row>
    <row r="222" spans="3:5" s="10" customFormat="1">
      <c r="C222" s="8"/>
      <c r="D222" s="8"/>
      <c r="E222" s="9"/>
    </row>
    <row r="223" spans="3:5" s="10" customFormat="1">
      <c r="C223" s="8"/>
      <c r="D223" s="8"/>
      <c r="E223" s="9"/>
    </row>
    <row r="224" spans="3:5" s="10" customFormat="1">
      <c r="C224" s="8"/>
      <c r="D224" s="8"/>
      <c r="E224" s="9"/>
    </row>
    <row r="225" spans="3:12" s="10" customFormat="1">
      <c r="C225" s="8"/>
      <c r="D225" s="8"/>
      <c r="E225" s="9"/>
    </row>
    <row r="226" spans="3:12" s="10" customFormat="1">
      <c r="C226" s="8"/>
      <c r="D226" s="8"/>
      <c r="E226" s="9"/>
    </row>
    <row r="227" spans="3:12" s="10" customFormat="1">
      <c r="C227" s="8"/>
      <c r="D227" s="8"/>
      <c r="E227" s="9"/>
    </row>
    <row r="228" spans="3:12" s="10" customFormat="1">
      <c r="C228" s="8"/>
      <c r="D228" s="8"/>
      <c r="E228" s="9"/>
    </row>
    <row r="229" spans="3:12" s="10" customFormat="1">
      <c r="C229" s="8"/>
      <c r="D229" s="8"/>
      <c r="E229" s="9"/>
    </row>
    <row r="230" spans="3:12" s="10" customFormat="1">
      <c r="C230" s="8"/>
      <c r="D230" s="8"/>
      <c r="E230" s="9"/>
    </row>
    <row r="231" spans="3:12" s="10" customFormat="1">
      <c r="C231" s="8"/>
      <c r="D231" s="8"/>
    </row>
    <row r="232" spans="3:12" s="10" customFormat="1">
      <c r="C232" s="8"/>
      <c r="D232" s="8"/>
    </row>
    <row r="233" spans="3:12" s="10" customFormat="1">
      <c r="C233" s="8"/>
      <c r="D233" s="8"/>
      <c r="E233" s="9"/>
    </row>
    <row r="234" spans="3:12" s="10" customFormat="1">
      <c r="C234" s="8"/>
      <c r="D234" s="8"/>
    </row>
    <row r="235" spans="3:12" s="10" customFormat="1">
      <c r="C235" s="8"/>
      <c r="D235" s="8"/>
    </row>
    <row r="236" spans="3:12" s="10" customFormat="1">
      <c r="C236" s="8"/>
      <c r="D236" s="8"/>
      <c r="K236" s="6"/>
      <c r="L236" s="6"/>
    </row>
    <row r="237" spans="3:12" s="10" customFormat="1">
      <c r="C237" s="8"/>
      <c r="D237" s="8"/>
      <c r="K237" s="6"/>
      <c r="L237" s="6"/>
    </row>
    <row r="238" spans="3:12" s="10" customFormat="1">
      <c r="C238" s="8"/>
      <c r="D238" s="8"/>
    </row>
    <row r="239" spans="3:12" s="10" customFormat="1">
      <c r="C239" s="8"/>
      <c r="D239" s="8"/>
    </row>
    <row r="282" spans="1:13" s="10" customFormat="1">
      <c r="A282"/>
      <c r="B282"/>
      <c r="C282" s="8"/>
      <c r="D282" s="8"/>
    </row>
    <row r="283" spans="1:13" s="10" customFormat="1">
      <c r="A283"/>
      <c r="B283"/>
      <c r="C283" s="8"/>
      <c r="D283" s="8"/>
    </row>
    <row r="284" spans="1:13" s="10" customFormat="1">
      <c r="A284"/>
      <c r="B284"/>
      <c r="C284" s="8"/>
      <c r="D284" s="8"/>
    </row>
    <row r="285" spans="1:13" s="10" customFormat="1">
      <c r="A285"/>
      <c r="B285"/>
      <c r="C285" s="8"/>
      <c r="D285" s="8"/>
    </row>
    <row r="286" spans="1:13" s="10" customFormat="1">
      <c r="A286"/>
      <c r="B286"/>
      <c r="C286" s="8"/>
      <c r="D286" s="8"/>
    </row>
    <row r="287" spans="1:13" s="10" customFormat="1">
      <c r="A287"/>
      <c r="B287"/>
      <c r="C287" s="8"/>
      <c r="D287" s="8"/>
    </row>
    <row r="288" spans="1:13" s="10" customFormat="1">
      <c r="A288"/>
      <c r="B288"/>
      <c r="C288" s="8"/>
      <c r="D288" s="8"/>
    </row>
    <row r="289" spans="1:13" s="10" customFormat="1">
      <c r="A289"/>
      <c r="B289"/>
      <c r="C289" s="8"/>
      <c r="D289" s="8"/>
      <c r="K289" s="8"/>
      <c r="L289" s="8"/>
      <c r="M289"/>
    </row>
    <row r="290" spans="1:13" s="10" customFormat="1">
      <c r="A290"/>
      <c r="B290"/>
      <c r="C290" s="8"/>
      <c r="D290" s="8"/>
      <c r="K290" s="8"/>
      <c r="L290" s="8"/>
      <c r="M290"/>
    </row>
    <row r="291" spans="1:13" s="10" customFormat="1">
      <c r="A291"/>
      <c r="B291"/>
      <c r="C291" s="8"/>
      <c r="D291" s="8"/>
      <c r="K291" s="8"/>
      <c r="L291" s="8"/>
      <c r="M291"/>
    </row>
    <row r="292" spans="1:13" s="10" customFormat="1">
      <c r="A292"/>
      <c r="B292"/>
      <c r="C292" s="8"/>
      <c r="D292" s="8"/>
      <c r="K292" s="6"/>
      <c r="L292" s="6"/>
      <c r="M292"/>
    </row>
    <row r="293" spans="1:13" s="10" customFormat="1">
      <c r="A293"/>
      <c r="B293"/>
      <c r="C293" s="8"/>
      <c r="D293" s="8"/>
      <c r="K293" s="6"/>
      <c r="L293" s="6"/>
      <c r="M293"/>
    </row>
    <row r="294" spans="1:13" s="10" customFormat="1">
      <c r="C294" s="8"/>
      <c r="D294" s="8"/>
      <c r="K294" s="6"/>
      <c r="L294" s="6"/>
    </row>
    <row r="295" spans="1:13" s="10" customFormat="1">
      <c r="C295" s="8"/>
      <c r="D295" s="8"/>
      <c r="K295" s="8"/>
      <c r="L295" s="8"/>
    </row>
    <row r="296" spans="1:13" s="10" customFormat="1">
      <c r="C296" s="8"/>
      <c r="D296" s="8"/>
      <c r="K296" s="8"/>
      <c r="L296" s="8"/>
    </row>
    <row r="297" spans="1:13" s="10" customFormat="1">
      <c r="C297" s="8"/>
      <c r="D297" s="8"/>
      <c r="K297" s="8"/>
      <c r="L297" s="8"/>
    </row>
    <row r="298" spans="1:13" s="10" customFormat="1">
      <c r="C298" s="8"/>
      <c r="D298" s="8"/>
      <c r="K298" s="8"/>
      <c r="L298" s="8"/>
    </row>
    <row r="299" spans="1:13" s="10" customFormat="1">
      <c r="C299" s="8"/>
      <c r="D299" s="8"/>
      <c r="K299" s="8"/>
      <c r="L299" s="8"/>
    </row>
    <row r="300" spans="1:13" s="10" customFormat="1">
      <c r="C300" s="8"/>
      <c r="D300" s="8"/>
      <c r="K300" s="8"/>
      <c r="L300" s="8"/>
    </row>
    <row r="301" spans="1:13" s="10" customFormat="1">
      <c r="C301" s="8"/>
      <c r="D301" s="8"/>
      <c r="K301" s="8"/>
      <c r="L301" s="8"/>
    </row>
    <row r="302" spans="1:13" s="10" customFormat="1">
      <c r="C302" s="8"/>
      <c r="D302" s="8"/>
      <c r="K302" s="8"/>
      <c r="L302" s="8"/>
    </row>
    <row r="303" spans="1:13" s="10" customFormat="1">
      <c r="C303" s="8"/>
      <c r="D303" s="8"/>
    </row>
    <row r="304" spans="1:13" s="10" customFormat="1">
      <c r="C304" s="8"/>
      <c r="D304" s="8"/>
      <c r="K304" s="8"/>
      <c r="L304" s="8"/>
    </row>
    <row r="305" spans="3:4" s="10" customFormat="1">
      <c r="C305" s="8"/>
      <c r="D305" s="8"/>
    </row>
    <row r="306" spans="3:4" s="10" customFormat="1">
      <c r="C306" s="8"/>
      <c r="D306" s="8"/>
    </row>
    <row r="307" spans="3:4" s="10" customFormat="1">
      <c r="C307" s="8"/>
      <c r="D307" s="8"/>
    </row>
    <row r="309" spans="3:4" s="10" customFormat="1">
      <c r="C309" s="8"/>
      <c r="D309" s="8"/>
    </row>
  </sheetData>
  <autoFilter ref="$C$4:$L$733"/>
  <mergeCells>
    <mergeCell ref="A1:B3"/>
    <mergeCell ref="C1:J1"/>
    <mergeCell ref="C2:E2"/>
    <mergeCell ref="F2:H2"/>
    <mergeCell ref="I2:J2"/>
  </mergeCells>
  <conditionalFormatting sqref="M5">
    <cfRule type="expression" priority="25" stopIfTrue="1" dxfId="60">
      <formula>#REF!=TRUE</formula>
    </cfRule>
  </conditionalFormatting>
  <conditionalFormatting sqref="M5">
    <cfRule type="cellIs" operator="equal" priority="22" stopIfTrue="1" dxfId="65">
      <formula>"alto"</formula>
    </cfRule>
    <cfRule type="cellIs" operator="equal" priority="23" stopIfTrue="1" dxfId="66">
      <formula>"medio"</formula>
    </cfRule>
    <cfRule type="cellIs" operator="equal" priority="24" stopIfTrue="1" dxfId="67">
      <formula>"basso"</formula>
    </cfRule>
  </conditionalFormatting>
  <conditionalFormatting sqref="M5">
    <cfRule type="expression" priority="21" stopIfTrue="1" dxfId="68">
      <formula>NOT(ISERROR(SEARCH("basso",M5)))</formula>
    </cfRule>
  </conditionalFormatting>
  <conditionalFormatting sqref="L5">
    <cfRule type="expression" priority="16" stopIfTrue="1" dxfId="68">
      <formula>NOT(ISERROR(SEARCH("basso",L5)))</formula>
    </cfRule>
  </conditionalFormatting>
  <conditionalFormatting sqref="L5">
    <cfRule type="expression" priority="20" stopIfTrue="1" dxfId="60">
      <formula>#REF!=TRUE</formula>
    </cfRule>
  </conditionalFormatting>
  <conditionalFormatting sqref="L5">
    <cfRule type="cellIs" operator="equal" priority="17" stopIfTrue="1" dxfId="65">
      <formula>"alto"</formula>
    </cfRule>
    <cfRule type="cellIs" operator="equal" priority="18" stopIfTrue="1" dxfId="66">
      <formula>"medio"</formula>
    </cfRule>
    <cfRule type="cellIs" operator="equal" priority="19" stopIfTrue="1" dxfId="67">
      <formula>"basso"</formula>
    </cfRule>
  </conditionalFormatting>
  <conditionalFormatting sqref="M6">
    <cfRule type="expression" priority="10" stopIfTrue="1" dxfId="60">
      <formula>#REF!=TRUE</formula>
    </cfRule>
  </conditionalFormatting>
  <conditionalFormatting sqref="M6">
    <cfRule type="cellIs" operator="equal" priority="7" stopIfTrue="1" dxfId="65">
      <formula>"alto"</formula>
    </cfRule>
    <cfRule type="cellIs" operator="equal" priority="8" stopIfTrue="1" dxfId="66">
      <formula>"medio"</formula>
    </cfRule>
    <cfRule type="cellIs" operator="equal" priority="9" stopIfTrue="1" dxfId="67">
      <formula>"basso"</formula>
    </cfRule>
  </conditionalFormatting>
  <conditionalFormatting sqref="M6">
    <cfRule type="expression" priority="6" stopIfTrue="1" dxfId="68">
      <formula>NOT(ISERROR(SEARCH("basso",M6)))</formula>
    </cfRule>
  </conditionalFormatting>
  <conditionalFormatting sqref="L6">
    <cfRule type="expression" priority="1" stopIfTrue="1" dxfId="68">
      <formula>NOT(ISERROR(SEARCH("basso",L6)))</formula>
    </cfRule>
  </conditionalFormatting>
  <conditionalFormatting sqref="L6">
    <cfRule type="expression" priority="5" stopIfTrue="1" dxfId="60">
      <formula>#REF!=TRUE</formula>
    </cfRule>
  </conditionalFormatting>
  <conditionalFormatting sqref="L6">
    <cfRule type="cellIs" operator="equal" priority="2" stopIfTrue="1" dxfId="65">
      <formula>"alto"</formula>
    </cfRule>
    <cfRule type="cellIs" operator="equal" priority="3" stopIfTrue="1" dxfId="66">
      <formula>"medio"</formula>
    </cfRule>
    <cfRule type="cellIs" operator="equal" priority="4" stopIfTrue="1" dxfId="67">
      <formula>"basso"</formula>
    </cfRule>
  </conditionalFormatting>
  <pageMargins header="0.314961" footer="0.314961" left="0.314961" right="0.314961" top="0.354331" bottom="0.354331"/>
  <pageSetup paperSize="9" firstPageNumber="1" scale="90" fitToWidth="1" fitToHeight="1" orientation="landscape" horizontalDpi="600" verticalDpi="600"/>
  <headerFooter differentFirst="0" differentOddEven="0">
    <oddHeader/>
    <oddFooter/>
  </headerFooter>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http://schemas.microsoft.com/office/spreadsheetml/2009/9/main" xmlns:x14ac="http://schemas.microsoft.com/office/spreadsheetml/2009/9/ac" mc:Ignorable="x14ac">
  <sheetPr/>
  <dimension ref="A1:Q318"/>
  <sheetViews>
    <sheetView tabSelected="1" zoomScale="110" workbookViewId="0">
      <selection activeCell="M9" sqref="M9"/>
    </sheetView>
  </sheetViews>
  <sheetFormatPr defaultRowHeight="15" customHeight="1" baseColWidth="8"/>
  <cols>
    <col width="15.1406" customWidth="1" min="1" max="1"/>
    <col width="20.2852" customWidth="1" min="2" max="2"/>
    <col width="4.85547" customWidth="1" min="3" max="5" style="8"/>
    <col width="4.85547" customWidth="1" min="6" max="6" style="10"/>
    <col width="11.7109" customWidth="1" min="7" max="7" style="10"/>
    <col width="7" customWidth="1" min="8" max="8" style="10"/>
    <col width="7.14062" customWidth="1" min="9" max="9" style="10"/>
    <col width="11.2852" customWidth="1" min="10" max="10" style="10"/>
    <col width="29.1406" customWidth="1" min="11" max="12"/>
    <col width="8.85547" customWidth="1" min="13" max="13"/>
    <col width="25.2852" customWidth="1" min="14" max="14"/>
    <col width="35" customWidth="1" min="15" max="15"/>
  </cols>
  <sheetData>
    <row r="1" spans="1:17" ht="15" customHeight="1">
      <c r="A1" s="81" t="s">
        <v>1</v>
      </c>
      <c r="B1" s="81"/>
      <c r="C1" s="93" t="s">
        <v>4</v>
      </c>
      <c r="D1" s="93"/>
      <c r="E1" s="93"/>
      <c r="F1" s="93"/>
      <c r="G1" s="93"/>
      <c r="H1" s="93"/>
      <c r="I1" s="37"/>
      <c r="J1" s="38"/>
      <c r="K1" s="5"/>
    </row>
    <row r="2" spans="1:17" ht="21.6" customHeight="1">
      <c r="A2" s="81"/>
      <c r="B2" s="81"/>
      <c r="C2" s="92" t="s">
        <v>15</v>
      </c>
      <c r="D2" s="92"/>
      <c r="E2" s="92"/>
      <c r="F2" s="92"/>
      <c r="G2" s="56" t="s">
        <v>45</v>
      </c>
      <c r="H2" s="57" t="s">
        <v>17</v>
      </c>
      <c r="I2" s="38"/>
      <c r="J2" s="38"/>
      <c r="K2" s="5"/>
    </row>
    <row r="3" spans="1:17" ht="11.45" customHeight="1">
      <c r="A3" s="81"/>
      <c r="B3" s="81"/>
      <c r="C3" s="21">
        <v>3</v>
      </c>
      <c r="D3" s="21">
        <v>1</v>
      </c>
      <c r="E3" s="21">
        <v>2</v>
      </c>
      <c r="F3" s="21">
        <v>3</v>
      </c>
      <c r="G3" s="22">
        <v>3</v>
      </c>
      <c r="H3" s="54">
        <v>2</v>
      </c>
      <c r="I3" s="13"/>
      <c r="J3" s="4"/>
      <c r="K3" s="14"/>
    </row>
    <row r="4" spans="1:17" s="3" customFormat="1" ht="182.45" customHeight="1">
      <c r="A4" s="35" t="s">
        <v>12</v>
      </c>
      <c r="B4" s="34" t="s">
        <v>18</v>
      </c>
      <c r="C4" s="24" t="s">
        <v>44</v>
      </c>
      <c r="D4" s="25" t="s">
        <v>23</v>
      </c>
      <c r="E4" s="25" t="s">
        <v>47</v>
      </c>
      <c r="F4" s="25" t="s">
        <v>42</v>
      </c>
      <c r="G4" s="28" t="s">
        <v>6</v>
      </c>
      <c r="H4" s="29" t="s">
        <v>8</v>
      </c>
      <c r="I4" s="31" t="s">
        <v>11</v>
      </c>
      <c r="J4" s="32" t="s">
        <v>7</v>
      </c>
      <c r="K4" s="33" t="s">
        <v>2</v>
      </c>
    </row>
    <row r="5" spans="1:17" s="12" customFormat="1" ht="26.1" customHeight="1">
      <c r="A5" s="42" t="s">
        <v>40</v>
      </c>
      <c r="B5" s="40" t="s">
        <v>39</v>
      </c>
      <c r="C5" s="43">
        <v>1</v>
      </c>
      <c r="D5" s="43">
        <v>1</v>
      </c>
      <c r="E5" s="43">
        <v>2</v>
      </c>
      <c r="F5" s="43">
        <v>2</v>
      </c>
      <c r="G5" s="43">
        <v>3</v>
      </c>
      <c r="H5" s="43">
        <v>2</v>
      </c>
      <c r="I5" s="44">
        <f>((C5*C3)+(D5*D3)+(E5*E3)+(F5*F3)+(G5*G3)+(H5*H3))/6</f>
        <v>4.5</v>
      </c>
      <c r="J5" t="str" s="45">
        <f>IF(AND(I5&gt;=0.5,I5&lt;=3.5),"Semestrale",IF(AND(I5&gt;3.5,I5&lt;=4),"Trimestrale",IF(AND(I5&gt;4,I5&lt;=4.4000000000000004),"Mensile",IF(AND(I5&gt;4.4000000000000004,I5&lt;=5),"Giornaliera su ogni lotto",IF(I5&gt;5,"Giornaliera su ogni lotto almeno una volta a turno","?")))))</f>
        <v>Giornaliera su ogni lotto</v>
      </c>
      <c r="K5" s="41" t="s">
        <v>48</v>
      </c>
    </row>
    <row r="6" spans="1:17" s="12" customFormat="1" ht="26.1" customHeight="1">
      <c r="A6" s="46"/>
      <c r="B6" s="40" t="s">
        <v>24</v>
      </c>
      <c r="C6" s="43">
        <v>1</v>
      </c>
      <c r="D6" s="43">
        <v>1</v>
      </c>
      <c r="E6" s="43">
        <v>2</v>
      </c>
      <c r="F6" s="43">
        <v>2</v>
      </c>
      <c r="G6" s="43">
        <v>3</v>
      </c>
      <c r="H6" s="43">
        <v>2</v>
      </c>
      <c r="I6" s="44">
        <f>((C6*C3)+(D6*D3)+(E6*E3)+(F6*F3)+(G6*G3)+(H6*H3))/6</f>
        <v>4.5</v>
      </c>
      <c r="J6" t="str" s="45">
        <f ref="J6:J11" t="shared" si="0">IF(AND(I6&gt;=0.5,I6&lt;=3.5),"Semestrale",IF(AND(I6&gt;3.5,I6&lt;=4),"Trimestrale",IF(AND(I6&gt;4,I6&lt;=4.4000000000000004),"Mensile",IF(AND(I6&gt;4.4000000000000004,I6&lt;=5),"Giornaliera su ogni lotto",IF(I6&gt;5,"Giornaliera su ogni lotto almeno una volta a turno","?")))))</f>
        <v>Giornaliera su ogni lotto</v>
      </c>
      <c r="K6" s="41" t="s">
        <v>48</v>
      </c>
      <c r="M6" s="19"/>
      <c r="N6" s="19"/>
      <c r="O6" s="19" t="s">
        <v>5</v>
      </c>
      <c r="P6" s="19"/>
      <c r="Q6" s="19"/>
    </row>
    <row r="7" spans="1:17" s="12" customFormat="1" ht="26.1" customHeight="1">
      <c r="A7" s="46"/>
      <c r="B7" s="40" t="s">
        <v>25</v>
      </c>
      <c r="C7" s="43">
        <v>1</v>
      </c>
      <c r="D7" s="43">
        <v>1</v>
      </c>
      <c r="E7" s="43">
        <v>2</v>
      </c>
      <c r="F7" s="43">
        <v>2</v>
      </c>
      <c r="G7" s="43">
        <v>3</v>
      </c>
      <c r="H7" s="43">
        <v>2</v>
      </c>
      <c r="I7" s="44">
        <f>((C7*C3)+(D7*D3)+(E7*E3)+(F7*F3)+(G7*G3)+(H7*H3))/6</f>
        <v>4.5</v>
      </c>
      <c r="J7" t="str" s="45">
        <f t="shared" si="0"/>
        <v>Giornaliera su ogni lotto</v>
      </c>
      <c r="K7" s="41" t="s">
        <v>48</v>
      </c>
      <c r="M7" s="19"/>
      <c r="N7" s="19"/>
      <c r="O7" s="19"/>
      <c r="P7" s="19"/>
      <c r="Q7" s="19"/>
    </row>
    <row r="8" spans="1:17" s="12" customFormat="1" ht="23.1" customHeight="1">
      <c r="A8" s="46"/>
      <c r="B8" s="40" t="s">
        <v>26</v>
      </c>
      <c r="C8" s="43">
        <v>3</v>
      </c>
      <c r="D8" s="43">
        <v>2</v>
      </c>
      <c r="E8" s="43">
        <v>1</v>
      </c>
      <c r="F8" s="43">
        <v>2</v>
      </c>
      <c r="G8" s="43">
        <v>1</v>
      </c>
      <c r="H8" s="43">
        <v>2</v>
      </c>
      <c r="I8" s="44">
        <f>((C8*C3)+(D8*D3)+(E8*E3)+(F8*F3)+(G8*G3)+(H8*H3))/6</f>
        <v>4.333333333333333</v>
      </c>
      <c r="J8" t="str" s="45">
        <f t="shared" si="0"/>
        <v>Mensile</v>
      </c>
      <c r="K8" s="41" t="s">
        <v>49</v>
      </c>
      <c r="M8" s="19"/>
      <c r="N8" s="19"/>
      <c r="O8" s="19"/>
      <c r="P8" s="19"/>
      <c r="Q8" s="19"/>
    </row>
    <row r="9" spans="1:17" s="12" customFormat="1" ht="22.5" customHeight="1">
      <c r="A9" s="46"/>
      <c r="B9" s="40" t="s">
        <v>27</v>
      </c>
      <c r="C9" s="43">
        <v>3</v>
      </c>
      <c r="D9" s="43">
        <v>2</v>
      </c>
      <c r="E9" s="43">
        <v>1</v>
      </c>
      <c r="F9" s="43">
        <v>2</v>
      </c>
      <c r="G9" s="43">
        <v>1</v>
      </c>
      <c r="H9" s="43">
        <v>2</v>
      </c>
      <c r="I9" s="44">
        <f>((C9*C3)+(D9*D3)+(E9*E3)+(F9*F3)+(G9*G3)+(H9*H3))/6</f>
        <v>4.333333333333333</v>
      </c>
      <c r="J9" t="str" s="45">
        <f t="shared" si="0"/>
        <v>Mensile</v>
      </c>
      <c r="K9" s="41" t="s">
        <v>49</v>
      </c>
      <c r="M9" s="19"/>
      <c r="N9" s="19"/>
      <c r="O9" s="19"/>
      <c r="P9" s="19"/>
      <c r="Q9" s="19"/>
    </row>
    <row r="10" spans="1:17" s="12" customFormat="1" ht="44.45" customHeight="1">
      <c r="A10" s="46"/>
      <c r="B10" s="40" t="s">
        <v>41</v>
      </c>
      <c r="C10" s="43">
        <v>2</v>
      </c>
      <c r="D10" s="43">
        <v>3</v>
      </c>
      <c r="E10" s="43">
        <v>2</v>
      </c>
      <c r="F10" s="43">
        <v>1</v>
      </c>
      <c r="G10" s="43">
        <v>3</v>
      </c>
      <c r="H10" s="43">
        <v>3</v>
      </c>
      <c r="I10" s="44">
        <f>((C10*C3)+(D10*D3)+(E10*E3)+(F10*F3)+(G10*G3)+(H10*H3))/6</f>
        <v>5.166666666666667</v>
      </c>
      <c r="J10" t="str" s="45">
        <f t="shared" si="0"/>
        <v>Giornaliera su ogni lotto almeno una volta a turno</v>
      </c>
      <c r="K10" s="41" t="s">
        <v>46</v>
      </c>
    </row>
    <row r="11" spans="1:17" s="12" customFormat="1" ht="43.9" customHeight="1">
      <c r="A11" s="55"/>
      <c r="B11" s="40" t="s">
        <v>43</v>
      </c>
      <c r="C11" s="43">
        <v>3</v>
      </c>
      <c r="D11" s="43">
        <v>3</v>
      </c>
      <c r="E11" s="43">
        <v>2</v>
      </c>
      <c r="F11" s="43">
        <v>3</v>
      </c>
      <c r="G11" s="43">
        <v>3</v>
      </c>
      <c r="H11" s="43">
        <v>2</v>
      </c>
      <c r="I11" s="44">
        <f>((C11*C3)+(D11*D3)+(E11*E3)+(F11*F3)+(G11*G3)+(H11*H3))/6</f>
        <v>6.333333333333333</v>
      </c>
      <c r="J11" t="str" s="45">
        <f t="shared" si="0"/>
        <v>Giornaliera su ogni lotto almeno una volta a turno</v>
      </c>
      <c r="K11" s="41" t="s">
        <v>50</v>
      </c>
      <c r="M11" s="19"/>
      <c r="N11" s="19"/>
      <c r="O11" s="19" t="s">
        <v>5</v>
      </c>
      <c r="P11" s="19"/>
      <c r="Q11" s="19"/>
    </row>
    <row r="12" spans="1:17" s="10" customFormat="1">
      <c r="C12" s="8"/>
      <c r="D12" s="8"/>
      <c r="E12" s="8"/>
      <c r="F12" s="9"/>
    </row>
    <row r="13" spans="1:17" s="10" customFormat="1">
      <c r="C13" s="8"/>
      <c r="D13" s="8"/>
      <c r="E13" s="8"/>
      <c r="F13" s="9"/>
    </row>
    <row r="14" spans="1:17" s="10" customFormat="1">
      <c r="C14" s="8"/>
      <c r="D14" s="8"/>
      <c r="E14" s="8"/>
      <c r="F14" s="9"/>
    </row>
    <row r="15" spans="1:17" s="10" customFormat="1">
      <c r="C15" s="8"/>
      <c r="D15" s="8"/>
      <c r="E15" s="8"/>
      <c r="F15" s="9"/>
    </row>
    <row r="16" spans="1:17" s="10" customFormat="1">
      <c r="C16" s="8"/>
      <c r="D16" s="8"/>
      <c r="E16" s="8"/>
      <c r="F16" s="9"/>
    </row>
    <row r="17" spans="3:6" s="10" customFormat="1">
      <c r="C17" s="8"/>
      <c r="D17" s="8"/>
      <c r="E17" s="8"/>
      <c r="F17" s="9"/>
    </row>
    <row r="18" spans="3:6" s="10" customFormat="1">
      <c r="C18" s="8"/>
      <c r="D18" s="8"/>
      <c r="E18" s="8"/>
      <c r="F18" s="9"/>
    </row>
    <row r="19" spans="3:6" s="10" customFormat="1">
      <c r="C19" s="8"/>
      <c r="D19" s="8"/>
      <c r="E19" s="8"/>
      <c r="F19" s="9"/>
    </row>
    <row r="20" spans="3:6" s="10" customFormat="1">
      <c r="C20" s="8"/>
      <c r="D20" s="8"/>
      <c r="E20" s="8"/>
      <c r="F20" s="9"/>
    </row>
    <row r="21" spans="3:6" s="10" customFormat="1">
      <c r="C21" s="8"/>
      <c r="D21" s="8"/>
      <c r="E21" s="8"/>
      <c r="F21" s="9"/>
    </row>
    <row r="22" spans="3:6" s="10" customFormat="1">
      <c r="C22" s="8"/>
      <c r="D22" s="8"/>
      <c r="E22" s="8"/>
      <c r="F22" s="9"/>
    </row>
    <row r="23" spans="3:6" s="10" customFormat="1">
      <c r="C23" s="8"/>
      <c r="D23" s="8"/>
      <c r="E23" s="8"/>
      <c r="F23" s="9"/>
    </row>
    <row r="24" spans="3:6" s="10" customFormat="1">
      <c r="C24" s="8"/>
      <c r="D24" s="8"/>
      <c r="E24" s="8"/>
      <c r="F24" s="9"/>
    </row>
    <row r="25" spans="3:6" s="10" customFormat="1">
      <c r="C25" s="8"/>
      <c r="D25" s="8"/>
      <c r="E25" s="8"/>
      <c r="F25" s="9"/>
    </row>
    <row r="26" spans="3:6" s="10" customFormat="1">
      <c r="C26" s="8"/>
      <c r="D26" s="8"/>
      <c r="E26" s="8"/>
      <c r="F26" s="9"/>
    </row>
    <row r="27" spans="3:6" s="10" customFormat="1">
      <c r="C27" s="8"/>
      <c r="D27" s="8"/>
      <c r="E27" s="8"/>
      <c r="F27" s="9"/>
    </row>
    <row r="28" spans="3:6" s="10" customFormat="1">
      <c r="C28" s="8"/>
      <c r="D28" s="8"/>
      <c r="E28" s="8"/>
      <c r="F28" s="9"/>
    </row>
    <row r="29" spans="3:6" s="10" customFormat="1">
      <c r="C29" s="8"/>
      <c r="D29" s="8"/>
      <c r="E29" s="8"/>
      <c r="F29" s="9"/>
    </row>
    <row r="30" spans="3:6" s="10" customFormat="1">
      <c r="C30" s="8"/>
      <c r="D30" s="8"/>
      <c r="E30" s="8"/>
      <c r="F30" s="9"/>
    </row>
    <row r="31" spans="3:6" s="10" customFormat="1">
      <c r="C31" s="8"/>
      <c r="D31" s="8"/>
      <c r="E31" s="8"/>
      <c r="F31" s="9"/>
    </row>
    <row r="32" spans="3:6" s="10" customFormat="1">
      <c r="C32" s="8"/>
      <c r="D32" s="8"/>
      <c r="E32" s="8"/>
      <c r="F32" s="9"/>
    </row>
    <row r="33" spans="3:6" s="10" customFormat="1">
      <c r="C33" s="8"/>
      <c r="D33" s="8"/>
      <c r="E33" s="8"/>
      <c r="F33" s="9"/>
    </row>
    <row r="34" spans="3:6" s="10" customFormat="1">
      <c r="C34" s="8"/>
      <c r="D34" s="8"/>
      <c r="E34" s="8"/>
      <c r="F34" s="9"/>
    </row>
    <row r="35" spans="3:6" s="10" customFormat="1">
      <c r="C35" s="8"/>
      <c r="D35" s="8"/>
      <c r="E35" s="8"/>
      <c r="F35" s="9"/>
    </row>
    <row r="36" spans="3:6" s="10" customFormat="1">
      <c r="C36" s="8"/>
      <c r="D36" s="8"/>
      <c r="E36" s="8"/>
      <c r="F36" s="9"/>
    </row>
    <row r="37" spans="3:6" s="10" customFormat="1">
      <c r="C37" s="8"/>
      <c r="D37" s="8"/>
      <c r="E37" s="8"/>
      <c r="F37" s="9"/>
    </row>
    <row r="38" spans="3:6" s="10" customFormat="1">
      <c r="C38" s="8"/>
      <c r="D38" s="8"/>
      <c r="E38" s="8"/>
      <c r="F38" s="9"/>
    </row>
    <row r="39" spans="3:6" s="10" customFormat="1">
      <c r="C39" s="8"/>
      <c r="D39" s="8"/>
      <c r="E39" s="8"/>
      <c r="F39" s="9"/>
    </row>
    <row r="40" spans="3:6" s="10" customFormat="1">
      <c r="C40" s="8"/>
      <c r="D40" s="8"/>
      <c r="E40" s="8"/>
      <c r="F40" s="9"/>
    </row>
    <row r="41" spans="3:6" s="10" customFormat="1">
      <c r="C41" s="8"/>
      <c r="D41" s="8"/>
      <c r="E41" s="8"/>
      <c r="F41" s="9"/>
    </row>
    <row r="42" spans="3:6" s="10" customFormat="1">
      <c r="C42" s="8"/>
      <c r="D42" s="8"/>
      <c r="E42" s="8"/>
      <c r="F42" s="9"/>
    </row>
    <row r="43" spans="3:6" s="10" customFormat="1">
      <c r="C43" s="8"/>
      <c r="D43" s="8"/>
      <c r="E43" s="8"/>
      <c r="F43" s="9"/>
    </row>
    <row r="44" spans="3:6" s="10" customFormat="1">
      <c r="C44" s="8"/>
      <c r="D44" s="8"/>
      <c r="E44" s="8"/>
      <c r="F44" s="9"/>
    </row>
    <row r="45" spans="3:6" s="10" customFormat="1">
      <c r="C45" s="8"/>
      <c r="D45" s="8"/>
      <c r="E45" s="8"/>
      <c r="F45" s="9"/>
    </row>
    <row r="46" spans="3:6" s="10" customFormat="1">
      <c r="C46" s="8"/>
      <c r="D46" s="8"/>
      <c r="E46" s="8"/>
      <c r="F46" s="9"/>
    </row>
    <row r="47" spans="3:6" s="10" customFormat="1">
      <c r="C47" s="8"/>
      <c r="D47" s="8"/>
      <c r="E47" s="8"/>
      <c r="F47" s="9"/>
    </row>
    <row r="48" spans="3:6" s="10" customFormat="1">
      <c r="C48" s="8"/>
      <c r="D48" s="8"/>
      <c r="E48" s="8"/>
      <c r="F48" s="9"/>
    </row>
    <row r="49" spans="3:6" s="10" customFormat="1">
      <c r="C49" s="8"/>
      <c r="D49" s="8"/>
      <c r="E49" s="8"/>
      <c r="F49" s="9"/>
    </row>
    <row r="50" spans="3:6" s="10" customFormat="1">
      <c r="C50" s="8"/>
      <c r="D50" s="8"/>
      <c r="E50" s="8"/>
      <c r="F50" s="9"/>
    </row>
    <row r="51" spans="3:6" s="10" customFormat="1">
      <c r="C51" s="8"/>
      <c r="D51" s="8"/>
      <c r="E51" s="8"/>
      <c r="F51" s="9"/>
    </row>
    <row r="52" spans="3:6" s="10" customFormat="1">
      <c r="C52" s="8"/>
      <c r="D52" s="8"/>
      <c r="E52" s="8"/>
      <c r="F52" s="9"/>
    </row>
    <row r="53" spans="3:6" s="10" customFormat="1">
      <c r="C53" s="8"/>
      <c r="D53" s="8"/>
      <c r="E53" s="8"/>
      <c r="F53" s="9"/>
    </row>
    <row r="54" spans="3:6" s="10" customFormat="1">
      <c r="C54" s="8"/>
      <c r="D54" s="8"/>
      <c r="E54" s="8"/>
      <c r="F54" s="9"/>
    </row>
    <row r="55" spans="3:6" s="10" customFormat="1">
      <c r="C55" s="8"/>
      <c r="D55" s="8"/>
      <c r="E55" s="8"/>
      <c r="F55" s="9"/>
    </row>
    <row r="56" spans="3:6" s="10" customFormat="1">
      <c r="C56" s="8"/>
      <c r="D56" s="8"/>
      <c r="E56" s="8"/>
      <c r="F56" s="9"/>
    </row>
    <row r="57" spans="3:6" s="10" customFormat="1">
      <c r="C57" s="8"/>
      <c r="D57" s="8"/>
      <c r="E57" s="8"/>
      <c r="F57" s="9"/>
    </row>
    <row r="58" spans="3:6" s="10" customFormat="1">
      <c r="C58" s="8"/>
      <c r="D58" s="8"/>
      <c r="E58" s="8"/>
      <c r="F58" s="9"/>
    </row>
    <row r="59" spans="3:6" s="10" customFormat="1">
      <c r="C59" s="8"/>
      <c r="D59" s="8"/>
      <c r="E59" s="8"/>
      <c r="F59" s="9"/>
    </row>
    <row r="60" spans="3:6" s="10" customFormat="1">
      <c r="C60" s="8"/>
      <c r="D60" s="8"/>
      <c r="E60" s="8"/>
      <c r="F60" s="9"/>
    </row>
    <row r="61" spans="3:6" s="10" customFormat="1">
      <c r="C61" s="8"/>
      <c r="D61" s="8"/>
      <c r="E61" s="8"/>
      <c r="F61" s="9"/>
    </row>
    <row r="62" spans="3:6" s="10" customFormat="1">
      <c r="C62" s="8"/>
      <c r="D62" s="8"/>
      <c r="E62" s="8"/>
      <c r="F62" s="9"/>
    </row>
    <row r="63" spans="3:6" s="10" customFormat="1">
      <c r="C63" s="8"/>
      <c r="D63" s="8"/>
      <c r="E63" s="8"/>
      <c r="F63" s="9"/>
    </row>
    <row r="64" spans="3:6" s="10" customFormat="1">
      <c r="C64" s="8"/>
      <c r="D64" s="8"/>
      <c r="E64" s="8"/>
      <c r="F64" s="9"/>
    </row>
    <row r="65" spans="3:6" s="10" customFormat="1">
      <c r="C65" s="8"/>
      <c r="D65" s="8"/>
      <c r="E65" s="8"/>
      <c r="F65" s="9"/>
    </row>
    <row r="66" spans="3:6" s="10" customFormat="1">
      <c r="C66" s="8"/>
      <c r="D66" s="8"/>
      <c r="E66" s="8"/>
      <c r="F66" s="9"/>
    </row>
    <row r="67" spans="3:6" s="10" customFormat="1">
      <c r="C67" s="8"/>
      <c r="D67" s="8"/>
      <c r="E67" s="8"/>
      <c r="F67" s="9"/>
    </row>
    <row r="68" spans="3:6" s="10" customFormat="1">
      <c r="C68" s="8"/>
      <c r="D68" s="8"/>
      <c r="E68" s="8"/>
      <c r="F68" s="9"/>
    </row>
    <row r="69" spans="3:6" s="10" customFormat="1">
      <c r="C69" s="8"/>
      <c r="D69" s="8"/>
      <c r="E69" s="8"/>
      <c r="F69" s="9"/>
    </row>
    <row r="70" spans="3:6" s="10" customFormat="1">
      <c r="C70" s="8"/>
      <c r="D70" s="8"/>
      <c r="E70" s="8"/>
      <c r="F70" s="9"/>
    </row>
    <row r="71" spans="3:6" s="10" customFormat="1">
      <c r="C71" s="8"/>
      <c r="D71" s="8"/>
      <c r="E71" s="8"/>
      <c r="F71" s="9"/>
    </row>
    <row r="72" spans="3:6" s="10" customFormat="1">
      <c r="C72" s="8"/>
      <c r="D72" s="8"/>
      <c r="E72" s="8"/>
      <c r="F72" s="9"/>
    </row>
    <row r="73" spans="3:6" s="10" customFormat="1">
      <c r="C73" s="8"/>
      <c r="D73" s="8"/>
      <c r="E73" s="8"/>
      <c r="F73" s="9"/>
    </row>
    <row r="74" spans="3:6" s="10" customFormat="1">
      <c r="C74" s="8"/>
      <c r="D74" s="8"/>
      <c r="E74" s="8"/>
      <c r="F74" s="9"/>
    </row>
    <row r="75" spans="3:6" s="10" customFormat="1">
      <c r="C75" s="8"/>
      <c r="D75" s="8"/>
      <c r="E75" s="8"/>
      <c r="F75" s="9"/>
    </row>
    <row r="76" spans="3:6" s="10" customFormat="1">
      <c r="C76" s="8"/>
      <c r="D76" s="8"/>
      <c r="E76" s="8"/>
      <c r="F76" s="9"/>
    </row>
    <row r="77" spans="3:6" s="10" customFormat="1">
      <c r="C77" s="8"/>
      <c r="D77" s="8"/>
      <c r="E77" s="8"/>
      <c r="F77" s="9"/>
    </row>
    <row r="78" spans="3:6" s="10" customFormat="1">
      <c r="C78" s="8"/>
      <c r="D78" s="8"/>
      <c r="E78" s="8"/>
      <c r="F78" s="9"/>
    </row>
    <row r="79" spans="3:6" s="10" customFormat="1">
      <c r="C79" s="8"/>
      <c r="D79" s="8"/>
      <c r="E79" s="8"/>
      <c r="F79" s="9"/>
    </row>
    <row r="80" spans="3:6" s="10" customFormat="1">
      <c r="C80" s="8"/>
      <c r="D80" s="8"/>
      <c r="E80" s="8"/>
      <c r="F80" s="9"/>
    </row>
    <row r="81" spans="3:6" s="10" customFormat="1">
      <c r="C81" s="8"/>
      <c r="D81" s="8"/>
      <c r="E81" s="8"/>
      <c r="F81" s="9"/>
    </row>
    <row r="82" spans="3:6" s="10" customFormat="1">
      <c r="C82" s="8"/>
      <c r="D82" s="8"/>
      <c r="E82" s="8"/>
      <c r="F82" s="9"/>
    </row>
    <row r="83" spans="3:6" s="10" customFormat="1">
      <c r="C83" s="8"/>
      <c r="D83" s="8"/>
      <c r="E83" s="8"/>
      <c r="F83" s="9"/>
    </row>
    <row r="84" spans="3:6" s="10" customFormat="1">
      <c r="C84" s="8"/>
      <c r="D84" s="8"/>
      <c r="E84" s="8"/>
      <c r="F84" s="9"/>
    </row>
    <row r="85" spans="3:6" s="10" customFormat="1">
      <c r="C85" s="8"/>
      <c r="D85" s="8"/>
      <c r="E85" s="8"/>
      <c r="F85" s="9"/>
    </row>
    <row r="86" spans="3:6" s="10" customFormat="1">
      <c r="C86" s="8"/>
      <c r="D86" s="8"/>
      <c r="E86" s="8"/>
      <c r="F86" s="9"/>
    </row>
    <row r="87" spans="3:6" s="10" customFormat="1">
      <c r="C87" s="8"/>
      <c r="D87" s="8"/>
      <c r="E87" s="8"/>
      <c r="F87" s="9"/>
    </row>
    <row r="88" spans="3:6" s="10" customFormat="1">
      <c r="C88" s="8"/>
      <c r="D88" s="8"/>
      <c r="E88" s="8"/>
      <c r="F88" s="9"/>
    </row>
    <row r="89" spans="3:6" s="10" customFormat="1">
      <c r="C89" s="8"/>
      <c r="D89" s="8"/>
      <c r="E89" s="8"/>
      <c r="F89" s="9"/>
    </row>
    <row r="90" spans="3:6" s="10" customFormat="1">
      <c r="C90" s="8"/>
      <c r="D90" s="8"/>
      <c r="E90" s="8"/>
      <c r="F90" s="9"/>
    </row>
    <row r="91" spans="3:6" s="10" customFormat="1">
      <c r="C91" s="8"/>
      <c r="D91" s="8"/>
      <c r="E91" s="8"/>
      <c r="F91" s="9"/>
    </row>
    <row r="92" spans="3:6" s="10" customFormat="1">
      <c r="C92" s="8"/>
      <c r="D92" s="8"/>
      <c r="E92" s="8"/>
      <c r="F92" s="9"/>
    </row>
    <row r="93" spans="3:6" s="10" customFormat="1">
      <c r="C93" s="8"/>
      <c r="D93" s="8"/>
      <c r="E93" s="8"/>
      <c r="F93" s="9"/>
    </row>
    <row r="94" spans="3:6" s="10" customFormat="1">
      <c r="C94" s="8"/>
      <c r="D94" s="8"/>
      <c r="E94" s="8"/>
      <c r="F94" s="9"/>
    </row>
    <row r="95" spans="3:6" s="10" customFormat="1">
      <c r="C95" s="8"/>
      <c r="D95" s="8"/>
      <c r="E95" s="8"/>
      <c r="F95" s="9"/>
    </row>
    <row r="96" spans="3:6" s="10" customFormat="1">
      <c r="C96" s="8"/>
      <c r="D96" s="8"/>
      <c r="E96" s="8"/>
      <c r="F96" s="9"/>
    </row>
    <row r="97" spans="1:11" s="10" customFormat="1">
      <c r="C97" s="8"/>
      <c r="D97" s="8"/>
      <c r="E97" s="8"/>
      <c r="F97" s="9"/>
    </row>
    <row r="98" spans="1:11" s="10" customFormat="1">
      <c r="C98" s="8"/>
      <c r="D98" s="8"/>
      <c r="E98" s="8"/>
      <c r="F98" s="9"/>
      <c r="I98" s="6"/>
      <c r="J98" s="6"/>
    </row>
    <row r="99" spans="1:11" s="10" customFormat="1">
      <c r="C99" s="8"/>
      <c r="D99" s="8"/>
      <c r="E99" s="8"/>
      <c r="F99" s="9"/>
      <c r="I99" s="6"/>
      <c r="J99" s="6"/>
    </row>
    <row r="100" spans="1:11" s="10" customFormat="1">
      <c r="C100" s="8"/>
      <c r="D100" s="8"/>
      <c r="E100" s="8"/>
      <c r="F100" s="9"/>
      <c r="I100" s="6"/>
      <c r="J100" s="6"/>
    </row>
    <row r="101" spans="1:11" s="10" customFormat="1">
      <c r="C101" s="8"/>
      <c r="D101" s="8"/>
      <c r="E101" s="8"/>
      <c r="F101" s="9"/>
      <c r="I101" s="6"/>
      <c r="J101" s="6"/>
    </row>
    <row r="102" spans="1:11" s="10" customFormat="1">
      <c r="C102" s="8"/>
      <c r="D102" s="8"/>
      <c r="E102" s="8"/>
      <c r="F102" s="9"/>
      <c r="I102" s="6"/>
      <c r="J102" s="6"/>
    </row>
    <row r="103" spans="1:11" s="10" customFormat="1">
      <c r="C103" s="8"/>
      <c r="D103" s="8"/>
      <c r="E103" s="8"/>
      <c r="F103" s="9"/>
      <c r="I103" s="6"/>
      <c r="J103" s="6"/>
    </row>
    <row r="104" spans="1:11" s="10" customFormat="1">
      <c r="C104" s="8"/>
      <c r="D104" s="8"/>
      <c r="E104" s="8"/>
      <c r="F104" s="9"/>
    </row>
    <row r="105" spans="1:11" s="10" customFormat="1">
      <c r="A105"/>
      <c r="B105"/>
      <c r="C105" s="8"/>
      <c r="D105" s="8"/>
      <c r="E105" s="8"/>
      <c r="F105" s="9"/>
    </row>
    <row r="106" spans="1:11" s="10" customFormat="1">
      <c r="A106"/>
      <c r="B106"/>
      <c r="C106" s="8"/>
      <c r="D106" s="8"/>
      <c r="E106" s="8"/>
      <c r="F106" s="9"/>
    </row>
    <row r="107" spans="1:11" s="10" customFormat="1">
      <c r="A107"/>
      <c r="B107"/>
      <c r="C107" s="8"/>
      <c r="D107" s="8"/>
      <c r="E107" s="8"/>
      <c r="F107" s="9"/>
    </row>
    <row r="108" spans="1:11" s="10" customFormat="1">
      <c r="A108"/>
      <c r="B108"/>
      <c r="C108" s="8"/>
      <c r="D108" s="8"/>
      <c r="E108" s="8"/>
      <c r="F108" s="9"/>
    </row>
    <row r="109" spans="1:11" s="10" customFormat="1">
      <c r="A109"/>
      <c r="B109"/>
      <c r="C109" s="8"/>
      <c r="D109" s="8"/>
      <c r="E109" s="8"/>
      <c r="F109" s="9"/>
    </row>
    <row r="110" spans="1:11" s="10" customFormat="1">
      <c r="A110"/>
      <c r="B110"/>
      <c r="C110" s="8"/>
      <c r="D110" s="8"/>
      <c r="E110" s="8"/>
      <c r="F110" s="9"/>
    </row>
    <row r="111" spans="1:11" s="10" customFormat="1">
      <c r="A111"/>
      <c r="B111"/>
      <c r="C111" s="8"/>
      <c r="D111" s="8"/>
      <c r="E111" s="8"/>
      <c r="F111" s="9"/>
    </row>
    <row r="112" spans="1:11" s="10" customFormat="1">
      <c r="A112"/>
      <c r="B112"/>
      <c r="C112" s="8"/>
      <c r="D112" s="8"/>
      <c r="E112" s="8"/>
      <c r="F112" s="9"/>
    </row>
    <row r="113" spans="1:11" s="10" customFormat="1">
      <c r="A113"/>
      <c r="B113"/>
      <c r="C113" s="8"/>
      <c r="D113" s="8"/>
      <c r="E113" s="8"/>
      <c r="F113" s="9"/>
    </row>
    <row r="114" spans="1:11" s="10" customFormat="1">
      <c r="A114"/>
      <c r="B114"/>
      <c r="C114" s="8"/>
      <c r="D114" s="8"/>
      <c r="E114" s="8"/>
      <c r="F114" s="9"/>
    </row>
    <row r="115" spans="1:11" s="10" customFormat="1">
      <c r="A115"/>
      <c r="B115"/>
      <c r="C115" s="8"/>
      <c r="D115" s="8"/>
      <c r="E115" s="8"/>
      <c r="F115" s="9"/>
    </row>
    <row r="116" spans="1:11" s="10" customFormat="1">
      <c r="A116"/>
      <c r="B116"/>
      <c r="C116" s="8"/>
      <c r="D116" s="8"/>
      <c r="E116" s="8"/>
      <c r="F116" s="9"/>
    </row>
    <row r="117" spans="1:11" s="10" customFormat="1">
      <c r="A117"/>
      <c r="B117"/>
      <c r="C117" s="8"/>
      <c r="D117" s="8"/>
      <c r="E117" s="8"/>
      <c r="F117" s="9"/>
    </row>
    <row r="118" spans="1:11" s="10" customFormat="1">
      <c r="A118"/>
      <c r="B118"/>
      <c r="C118" s="8"/>
      <c r="D118" s="8"/>
      <c r="E118" s="8"/>
      <c r="F118" s="9"/>
    </row>
    <row r="119" spans="1:11" s="10" customFormat="1">
      <c r="A119"/>
      <c r="B119"/>
      <c r="C119" s="8"/>
      <c r="D119" s="8"/>
      <c r="E119" s="8"/>
      <c r="F119" s="9"/>
    </row>
    <row r="120" spans="1:11" s="10" customFormat="1">
      <c r="A120"/>
      <c r="B120"/>
      <c r="C120" s="8"/>
      <c r="D120" s="8"/>
      <c r="E120" s="8"/>
      <c r="F120" s="9"/>
    </row>
    <row r="121" spans="1:11" s="10" customFormat="1">
      <c r="C121" s="8"/>
      <c r="D121" s="8"/>
      <c r="E121" s="8"/>
      <c r="F121" s="9"/>
    </row>
    <row r="122" spans="1:11" s="10" customFormat="1">
      <c r="C122" s="8"/>
      <c r="D122" s="8"/>
      <c r="E122" s="8"/>
      <c r="F122" s="9"/>
    </row>
    <row r="123" spans="1:11" s="10" customFormat="1">
      <c r="C123" s="8"/>
      <c r="D123" s="8"/>
      <c r="E123" s="8"/>
      <c r="F123" s="9"/>
    </row>
    <row r="124" spans="1:11" s="10" customFormat="1">
      <c r="C124" s="8"/>
      <c r="D124" s="8"/>
      <c r="E124" s="8"/>
      <c r="F124" s="9"/>
    </row>
    <row r="125" spans="1:11" s="10" customFormat="1">
      <c r="C125" s="8"/>
      <c r="D125" s="8"/>
      <c r="E125" s="8"/>
      <c r="F125" s="9"/>
    </row>
    <row r="126" spans="1:11" s="10" customFormat="1">
      <c r="C126" s="8"/>
      <c r="D126" s="8"/>
      <c r="E126" s="8"/>
      <c r="F126" s="9"/>
    </row>
    <row r="127" spans="1:11" s="10" customFormat="1">
      <c r="C127" s="8"/>
      <c r="D127" s="8"/>
      <c r="E127" s="8"/>
      <c r="F127" s="9"/>
    </row>
    <row r="128" spans="1:11" s="10" customFormat="1">
      <c r="C128" s="8"/>
      <c r="D128" s="8"/>
      <c r="E128" s="8"/>
      <c r="F128" s="9"/>
    </row>
    <row r="129" spans="3:6" s="10" customFormat="1">
      <c r="C129" s="8"/>
      <c r="D129" s="8"/>
      <c r="E129" s="8"/>
      <c r="F129" s="9"/>
    </row>
    <row r="130" spans="3:6" s="10" customFormat="1">
      <c r="C130" s="8"/>
      <c r="D130" s="8"/>
      <c r="E130" s="8"/>
      <c r="F130" s="9"/>
    </row>
    <row r="131" spans="3:6" s="10" customFormat="1">
      <c r="C131" s="8"/>
      <c r="D131" s="8"/>
      <c r="E131" s="8"/>
      <c r="F131" s="9"/>
    </row>
    <row r="132" spans="3:6" s="10" customFormat="1">
      <c r="C132" s="8"/>
      <c r="D132" s="8"/>
      <c r="E132" s="8"/>
      <c r="F132" s="9"/>
    </row>
    <row r="133" spans="3:6" s="10" customFormat="1">
      <c r="C133" s="8"/>
      <c r="D133" s="8"/>
      <c r="E133" s="8"/>
      <c r="F133" s="9"/>
    </row>
    <row r="134" spans="3:6" s="10" customFormat="1">
      <c r="C134" s="8"/>
      <c r="D134" s="8"/>
      <c r="E134" s="8"/>
      <c r="F134" s="9"/>
    </row>
    <row r="135" spans="3:6" s="10" customFormat="1">
      <c r="C135" s="8"/>
      <c r="D135" s="8"/>
      <c r="E135" s="8"/>
      <c r="F135" s="9"/>
    </row>
    <row r="136" spans="3:6" s="10" customFormat="1">
      <c r="C136" s="8"/>
      <c r="D136" s="8"/>
      <c r="E136" s="8"/>
      <c r="F136" s="9"/>
    </row>
    <row r="137" spans="3:6" s="10" customFormat="1">
      <c r="C137" s="8"/>
      <c r="D137" s="8"/>
      <c r="E137" s="8"/>
      <c r="F137" s="9"/>
    </row>
    <row r="138" spans="3:6" s="10" customFormat="1">
      <c r="C138" s="8"/>
      <c r="D138" s="8"/>
      <c r="E138" s="8"/>
      <c r="F138" s="9"/>
    </row>
    <row r="139" spans="3:6" s="10" customFormat="1">
      <c r="C139" s="8"/>
      <c r="D139" s="8"/>
      <c r="E139" s="8"/>
      <c r="F139" s="9"/>
    </row>
    <row r="140" spans="3:6" s="10" customFormat="1">
      <c r="C140" s="8"/>
      <c r="D140" s="8"/>
      <c r="E140" s="8"/>
      <c r="F140" s="9"/>
    </row>
    <row r="141" spans="3:6" s="10" customFormat="1">
      <c r="C141" s="8"/>
      <c r="D141" s="8"/>
      <c r="E141" s="8"/>
      <c r="F141" s="9"/>
    </row>
    <row r="142" spans="3:6" s="10" customFormat="1">
      <c r="C142" s="8"/>
      <c r="D142" s="8"/>
      <c r="E142" s="8"/>
      <c r="F142" s="9"/>
    </row>
    <row r="143" spans="3:6" s="10" customFormat="1">
      <c r="C143" s="8"/>
      <c r="D143" s="8"/>
      <c r="E143" s="8"/>
      <c r="F143" s="9"/>
    </row>
    <row r="144" spans="3:6" s="10" customFormat="1">
      <c r="C144" s="8"/>
      <c r="D144" s="8"/>
      <c r="E144" s="8"/>
      <c r="F144" s="9"/>
    </row>
    <row r="145" spans="3:6" s="10" customFormat="1">
      <c r="C145" s="8"/>
      <c r="D145" s="8"/>
      <c r="E145" s="8"/>
      <c r="F145" s="9"/>
    </row>
    <row r="146" spans="3:6" s="10" customFormat="1">
      <c r="C146" s="8"/>
      <c r="D146" s="8"/>
      <c r="E146" s="8"/>
      <c r="F146" s="9"/>
    </row>
    <row r="147" spans="3:6" s="10" customFormat="1">
      <c r="C147" s="8"/>
      <c r="D147" s="8"/>
      <c r="E147" s="8"/>
      <c r="F147" s="9"/>
    </row>
    <row r="148" spans="3:6" s="10" customFormat="1">
      <c r="C148" s="8"/>
      <c r="D148" s="8"/>
      <c r="E148" s="8"/>
      <c r="F148" s="9"/>
    </row>
    <row r="149" spans="3:6" s="10" customFormat="1">
      <c r="C149" s="8"/>
      <c r="D149" s="8"/>
      <c r="E149" s="8"/>
      <c r="F149" s="9"/>
    </row>
    <row r="150" spans="3:6" s="10" customFormat="1">
      <c r="C150" s="8"/>
      <c r="D150" s="8"/>
      <c r="E150" s="8"/>
      <c r="F150" s="9"/>
    </row>
    <row r="151" spans="3:6" s="10" customFormat="1">
      <c r="C151" s="8"/>
      <c r="D151" s="8"/>
      <c r="E151" s="8"/>
      <c r="F151" s="9"/>
    </row>
    <row r="152" spans="3:6" s="10" customFormat="1">
      <c r="C152" s="8"/>
      <c r="D152" s="8"/>
      <c r="E152" s="8"/>
      <c r="F152" s="9"/>
    </row>
    <row r="153" spans="3:6" s="10" customFormat="1">
      <c r="C153" s="8"/>
      <c r="D153" s="8"/>
      <c r="E153" s="8"/>
      <c r="F153" s="9"/>
    </row>
    <row r="154" spans="3:6" s="10" customFormat="1">
      <c r="C154" s="8"/>
      <c r="D154" s="8"/>
      <c r="E154" s="8"/>
      <c r="F154" s="9"/>
    </row>
    <row r="155" spans="3:6" s="10" customFormat="1">
      <c r="C155" s="8"/>
      <c r="D155" s="8"/>
      <c r="E155" s="8"/>
      <c r="F155" s="9"/>
    </row>
    <row r="156" spans="3:6" s="10" customFormat="1">
      <c r="C156" s="8"/>
      <c r="D156" s="8"/>
      <c r="E156" s="8"/>
      <c r="F156" s="9"/>
    </row>
    <row r="157" spans="3:6" s="10" customFormat="1">
      <c r="C157" s="8"/>
      <c r="D157" s="8"/>
      <c r="E157" s="8"/>
      <c r="F157" s="9"/>
    </row>
    <row r="158" spans="3:6" s="10" customFormat="1">
      <c r="C158" s="8"/>
      <c r="D158" s="8"/>
      <c r="E158" s="8"/>
      <c r="F158" s="9"/>
    </row>
    <row r="159" spans="3:6" s="10" customFormat="1">
      <c r="C159" s="8"/>
      <c r="D159" s="8"/>
      <c r="E159" s="8"/>
      <c r="F159" s="9"/>
    </row>
    <row r="160" spans="3:6" s="10" customFormat="1">
      <c r="C160" s="8"/>
      <c r="D160" s="8"/>
      <c r="E160" s="8"/>
      <c r="F160" s="9"/>
    </row>
    <row r="161" spans="3:6" s="10" customFormat="1">
      <c r="C161" s="8"/>
      <c r="D161" s="8"/>
      <c r="E161" s="8"/>
      <c r="F161" s="9"/>
    </row>
    <row r="162" spans="3:6" s="10" customFormat="1">
      <c r="C162" s="8"/>
      <c r="D162" s="8"/>
      <c r="E162" s="8"/>
      <c r="F162" s="9"/>
    </row>
    <row r="163" spans="3:6" s="10" customFormat="1">
      <c r="C163" s="8"/>
      <c r="D163" s="8"/>
      <c r="E163" s="8"/>
      <c r="F163" s="9"/>
    </row>
    <row r="164" spans="3:6" s="10" customFormat="1">
      <c r="C164" s="8"/>
      <c r="D164" s="8"/>
      <c r="E164" s="8"/>
      <c r="F164" s="9"/>
    </row>
    <row r="165" spans="3:6" s="10" customFormat="1">
      <c r="C165" s="8"/>
      <c r="D165" s="8"/>
      <c r="E165" s="8"/>
      <c r="F165" s="9"/>
    </row>
    <row r="166" spans="3:6" s="10" customFormat="1">
      <c r="C166" s="8"/>
      <c r="D166" s="8"/>
      <c r="E166" s="8"/>
      <c r="F166" s="9"/>
    </row>
    <row r="167" spans="3:6" s="10" customFormat="1">
      <c r="C167" s="8"/>
      <c r="D167" s="8"/>
      <c r="E167" s="8"/>
      <c r="F167" s="9"/>
    </row>
    <row r="168" spans="3:6" s="10" customFormat="1">
      <c r="C168" s="8"/>
      <c r="D168" s="8"/>
      <c r="E168" s="8"/>
      <c r="F168" s="9"/>
    </row>
    <row r="169" spans="3:6" s="10" customFormat="1">
      <c r="C169" s="8"/>
      <c r="D169" s="8"/>
      <c r="E169" s="8"/>
      <c r="F169" s="9"/>
    </row>
    <row r="170" spans="3:6" s="10" customFormat="1">
      <c r="C170" s="8"/>
      <c r="D170" s="8"/>
      <c r="E170" s="8"/>
      <c r="F170" s="9"/>
    </row>
    <row r="171" spans="3:6" s="10" customFormat="1">
      <c r="C171" s="8"/>
      <c r="D171" s="8"/>
      <c r="E171" s="8"/>
      <c r="F171" s="9"/>
    </row>
    <row r="172" spans="3:6" s="10" customFormat="1">
      <c r="C172" s="8"/>
      <c r="D172" s="8"/>
      <c r="E172" s="8"/>
      <c r="F172" s="9"/>
    </row>
    <row r="173" spans="3:6" s="10" customFormat="1">
      <c r="C173" s="8"/>
      <c r="D173" s="8"/>
      <c r="E173" s="8"/>
      <c r="F173" s="9"/>
    </row>
    <row r="174" spans="3:6" s="10" customFormat="1">
      <c r="C174" s="8"/>
      <c r="D174" s="8"/>
      <c r="E174" s="8"/>
      <c r="F174" s="9"/>
    </row>
    <row r="175" spans="3:6" s="10" customFormat="1">
      <c r="C175" s="8"/>
      <c r="D175" s="8"/>
      <c r="E175" s="8"/>
      <c r="F175" s="9"/>
    </row>
    <row r="176" spans="3:6" s="10" customFormat="1">
      <c r="C176" s="8"/>
      <c r="D176" s="8"/>
      <c r="E176" s="8"/>
      <c r="F176" s="9"/>
    </row>
    <row r="177" spans="3:6" s="10" customFormat="1">
      <c r="C177" s="8"/>
      <c r="D177" s="8"/>
      <c r="E177" s="8"/>
      <c r="F177" s="9"/>
    </row>
    <row r="178" spans="3:6" s="10" customFormat="1">
      <c r="C178" s="8"/>
      <c r="D178" s="8"/>
      <c r="E178" s="8"/>
      <c r="F178" s="9"/>
    </row>
    <row r="179" spans="3:6" s="10" customFormat="1">
      <c r="C179" s="8"/>
      <c r="D179" s="8"/>
      <c r="E179" s="8"/>
      <c r="F179" s="9"/>
    </row>
    <row r="180" spans="3:6" s="10" customFormat="1">
      <c r="C180" s="8"/>
      <c r="D180" s="8"/>
      <c r="E180" s="8"/>
      <c r="F180" s="9"/>
    </row>
    <row r="181" spans="3:6" s="10" customFormat="1">
      <c r="C181" s="8"/>
      <c r="D181" s="8"/>
      <c r="E181" s="8"/>
      <c r="F181" s="9"/>
    </row>
    <row r="182" spans="3:6" s="10" customFormat="1">
      <c r="C182" s="8"/>
      <c r="D182" s="8"/>
      <c r="E182" s="8"/>
      <c r="F182" s="9"/>
    </row>
    <row r="183" spans="3:6" s="10" customFormat="1">
      <c r="C183" s="8"/>
      <c r="D183" s="8"/>
      <c r="E183" s="8"/>
      <c r="F183" s="9"/>
    </row>
    <row r="184" spans="3:6" s="10" customFormat="1">
      <c r="C184" s="8"/>
      <c r="D184" s="8"/>
      <c r="E184" s="8"/>
      <c r="F184" s="9"/>
    </row>
    <row r="185" spans="3:6" s="10" customFormat="1">
      <c r="C185" s="8"/>
      <c r="D185" s="8"/>
      <c r="E185" s="8"/>
      <c r="F185" s="9"/>
    </row>
    <row r="186" spans="3:6" s="10" customFormat="1">
      <c r="C186" s="8"/>
      <c r="D186" s="8"/>
      <c r="E186" s="8"/>
      <c r="F186" s="9"/>
    </row>
    <row r="187" spans="3:6" s="10" customFormat="1">
      <c r="C187" s="8"/>
      <c r="D187" s="8"/>
      <c r="E187" s="8"/>
      <c r="F187" s="9"/>
    </row>
    <row r="188" spans="3:6" s="10" customFormat="1">
      <c r="C188" s="8"/>
      <c r="D188" s="8"/>
      <c r="E188" s="8"/>
      <c r="F188" s="9"/>
    </row>
    <row r="189" spans="3:6" s="10" customFormat="1">
      <c r="C189" s="8"/>
      <c r="D189" s="8"/>
      <c r="E189" s="8"/>
      <c r="F189" s="9"/>
    </row>
    <row r="190" spans="3:6" s="10" customFormat="1">
      <c r="C190" s="8"/>
      <c r="D190" s="8"/>
      <c r="E190" s="8"/>
      <c r="F190" s="9"/>
    </row>
    <row r="191" spans="3:6" s="10" customFormat="1">
      <c r="C191" s="8"/>
      <c r="D191" s="8"/>
      <c r="E191" s="8"/>
      <c r="F191" s="9"/>
    </row>
    <row r="192" spans="3:6" s="10" customFormat="1">
      <c r="C192" s="8"/>
      <c r="D192" s="8"/>
      <c r="E192" s="8"/>
      <c r="F192" s="9"/>
    </row>
    <row r="193" spans="3:6" s="10" customFormat="1">
      <c r="C193" s="8"/>
      <c r="D193" s="8"/>
      <c r="E193" s="8"/>
      <c r="F193" s="9"/>
    </row>
    <row r="194" spans="3:6" s="10" customFormat="1">
      <c r="C194" s="8"/>
      <c r="D194" s="8"/>
      <c r="E194" s="8"/>
      <c r="F194" s="9"/>
    </row>
    <row r="195" spans="3:6" s="10" customFormat="1">
      <c r="C195" s="8"/>
      <c r="D195" s="8"/>
      <c r="E195" s="8"/>
      <c r="F195" s="9"/>
    </row>
    <row r="196" spans="3:6" s="10" customFormat="1">
      <c r="C196" s="8"/>
      <c r="D196" s="8"/>
      <c r="E196" s="8"/>
      <c r="F196" s="9"/>
    </row>
    <row r="197" spans="3:6" s="10" customFormat="1">
      <c r="C197" s="8"/>
      <c r="D197" s="8"/>
      <c r="E197" s="8"/>
      <c r="F197" s="9"/>
    </row>
    <row r="198" spans="3:6" s="10" customFormat="1">
      <c r="C198" s="8"/>
      <c r="D198" s="8"/>
      <c r="E198" s="8"/>
      <c r="F198" s="9"/>
    </row>
    <row r="199" spans="3:6" s="10" customFormat="1">
      <c r="C199" s="8"/>
      <c r="D199" s="8"/>
      <c r="E199" s="8"/>
      <c r="F199" s="9"/>
    </row>
    <row r="200" spans="3:6" s="10" customFormat="1">
      <c r="C200" s="8"/>
      <c r="D200" s="8"/>
      <c r="E200" s="8"/>
      <c r="F200" s="9"/>
    </row>
    <row r="201" spans="3:6" s="10" customFormat="1">
      <c r="C201" s="8"/>
      <c r="D201" s="8"/>
      <c r="E201" s="8"/>
      <c r="F201" s="9"/>
    </row>
    <row r="202" spans="3:6" s="10" customFormat="1">
      <c r="C202" s="8"/>
      <c r="D202" s="8"/>
      <c r="E202" s="8"/>
      <c r="F202" s="9"/>
    </row>
    <row r="203" spans="3:6" s="10" customFormat="1">
      <c r="C203" s="8"/>
      <c r="D203" s="8"/>
      <c r="E203" s="8"/>
      <c r="F203" s="9"/>
    </row>
    <row r="204" spans="3:6" s="10" customFormat="1">
      <c r="C204" s="8"/>
      <c r="D204" s="8"/>
      <c r="E204" s="8"/>
      <c r="F204" s="9"/>
    </row>
    <row r="205" spans="3:6" s="10" customFormat="1">
      <c r="C205" s="8"/>
      <c r="D205" s="8"/>
      <c r="E205" s="8"/>
      <c r="F205" s="9"/>
    </row>
    <row r="206" spans="3:6" s="10" customFormat="1">
      <c r="C206" s="8"/>
      <c r="D206" s="8"/>
      <c r="E206" s="8"/>
      <c r="F206" s="9"/>
    </row>
    <row r="207" spans="3:6" s="10" customFormat="1">
      <c r="C207" s="8"/>
      <c r="D207" s="8"/>
      <c r="E207" s="8"/>
      <c r="F207" s="9"/>
    </row>
    <row r="208" spans="3:6" s="10" customFormat="1">
      <c r="C208" s="8"/>
      <c r="D208" s="8"/>
      <c r="E208" s="8"/>
      <c r="F208" s="9"/>
    </row>
    <row r="209" spans="3:6" s="10" customFormat="1">
      <c r="C209" s="8"/>
      <c r="D209" s="8"/>
      <c r="E209" s="8"/>
      <c r="F209" s="9"/>
    </row>
    <row r="210" spans="3:6" s="10" customFormat="1">
      <c r="C210" s="8"/>
      <c r="D210" s="8"/>
      <c r="E210" s="8"/>
      <c r="F210" s="9"/>
    </row>
    <row r="211" spans="3:6" s="10" customFormat="1">
      <c r="C211" s="8"/>
      <c r="D211" s="8"/>
      <c r="E211" s="8"/>
      <c r="F211" s="9"/>
    </row>
    <row r="212" spans="3:6" s="10" customFormat="1">
      <c r="C212" s="8"/>
      <c r="D212" s="8"/>
      <c r="E212" s="8"/>
      <c r="F212" s="9"/>
    </row>
    <row r="213" spans="3:6" s="10" customFormat="1">
      <c r="C213" s="8"/>
      <c r="D213" s="8"/>
      <c r="E213" s="8"/>
      <c r="F213" s="9"/>
    </row>
    <row r="214" spans="3:6" s="10" customFormat="1">
      <c r="C214" s="8"/>
      <c r="D214" s="8"/>
      <c r="E214" s="8"/>
      <c r="F214" s="9"/>
    </row>
    <row r="215" spans="3:6" s="10" customFormat="1">
      <c r="C215" s="8"/>
      <c r="D215" s="8"/>
      <c r="E215" s="8"/>
      <c r="F215" s="9"/>
    </row>
    <row r="216" spans="3:6" s="10" customFormat="1">
      <c r="C216" s="8"/>
      <c r="D216" s="8"/>
      <c r="E216" s="8"/>
      <c r="F216" s="9"/>
    </row>
    <row r="217" spans="3:6" s="10" customFormat="1">
      <c r="C217" s="8"/>
      <c r="D217" s="8"/>
      <c r="E217" s="8"/>
      <c r="F217" s="9"/>
    </row>
    <row r="218" spans="3:6" s="10" customFormat="1">
      <c r="C218" s="8"/>
      <c r="D218" s="8"/>
      <c r="E218" s="8"/>
      <c r="F218" s="9"/>
    </row>
    <row r="219" spans="3:6" s="10" customFormat="1">
      <c r="C219" s="8"/>
      <c r="D219" s="8"/>
      <c r="E219" s="8"/>
      <c r="F219" s="9"/>
    </row>
    <row r="220" spans="3:6" s="10" customFormat="1">
      <c r="C220" s="8"/>
      <c r="D220" s="8"/>
      <c r="E220" s="8"/>
      <c r="F220" s="9"/>
    </row>
    <row r="221" spans="3:6" s="10" customFormat="1">
      <c r="C221" s="8"/>
      <c r="D221" s="8"/>
      <c r="E221" s="8"/>
      <c r="F221" s="9"/>
    </row>
    <row r="222" spans="3:6" s="10" customFormat="1">
      <c r="C222" s="8"/>
      <c r="D222" s="8"/>
      <c r="E222" s="8"/>
      <c r="F222" s="9"/>
    </row>
    <row r="223" spans="3:6" s="10" customFormat="1">
      <c r="C223" s="8"/>
      <c r="D223" s="8"/>
      <c r="E223" s="8"/>
      <c r="F223" s="9"/>
    </row>
    <row r="224" spans="3:6" s="10" customFormat="1">
      <c r="C224" s="8"/>
      <c r="D224" s="8"/>
      <c r="E224" s="8"/>
      <c r="F224" s="9"/>
    </row>
    <row r="225" spans="3:6" s="10" customFormat="1">
      <c r="C225" s="8"/>
      <c r="D225" s="8"/>
      <c r="E225" s="8"/>
      <c r="F225" s="9"/>
    </row>
    <row r="226" spans="3:6" s="10" customFormat="1">
      <c r="C226" s="8"/>
      <c r="D226" s="8"/>
      <c r="E226" s="8"/>
      <c r="F226" s="9"/>
    </row>
    <row r="227" spans="3:6" s="10" customFormat="1">
      <c r="C227" s="8"/>
      <c r="D227" s="8"/>
      <c r="E227" s="8"/>
      <c r="F227" s="9"/>
    </row>
    <row r="228" spans="3:6" s="10" customFormat="1">
      <c r="C228" s="8"/>
      <c r="D228" s="8"/>
      <c r="E228" s="8"/>
      <c r="F228" s="9"/>
    </row>
    <row r="229" spans="3:6" s="10" customFormat="1">
      <c r="C229" s="8"/>
      <c r="D229" s="8"/>
      <c r="E229" s="8"/>
      <c r="F229" s="9"/>
    </row>
    <row r="230" spans="3:6" s="10" customFormat="1">
      <c r="C230" s="8"/>
      <c r="D230" s="8"/>
      <c r="E230" s="8"/>
      <c r="F230" s="9"/>
    </row>
    <row r="231" spans="3:6" s="10" customFormat="1">
      <c r="C231" s="8"/>
      <c r="D231" s="8"/>
      <c r="E231" s="8"/>
      <c r="F231" s="9"/>
    </row>
    <row r="232" spans="3:6" s="10" customFormat="1">
      <c r="C232" s="8"/>
      <c r="D232" s="8"/>
      <c r="E232" s="8"/>
      <c r="F232" s="9"/>
    </row>
    <row r="233" spans="3:6" s="10" customFormat="1">
      <c r="C233" s="8"/>
      <c r="D233" s="8"/>
      <c r="E233" s="8"/>
      <c r="F233" s="9"/>
    </row>
    <row r="234" spans="3:6" s="10" customFormat="1">
      <c r="C234" s="8"/>
      <c r="D234" s="8"/>
      <c r="E234" s="8"/>
      <c r="F234" s="9"/>
    </row>
    <row r="235" spans="3:6" s="10" customFormat="1">
      <c r="C235" s="8"/>
      <c r="D235" s="8"/>
      <c r="E235" s="8"/>
      <c r="F235" s="9"/>
    </row>
    <row r="236" spans="3:6" s="10" customFormat="1">
      <c r="C236" s="8"/>
      <c r="D236" s="8"/>
      <c r="E236" s="8"/>
      <c r="F236" s="9"/>
    </row>
    <row r="237" spans="3:6" s="10" customFormat="1">
      <c r="C237" s="8"/>
      <c r="D237" s="8"/>
      <c r="E237" s="8"/>
      <c r="F237" s="9"/>
    </row>
    <row r="238" spans="3:6" s="10" customFormat="1">
      <c r="C238" s="8"/>
      <c r="D238" s="8"/>
      <c r="E238" s="8"/>
      <c r="F238" s="9"/>
    </row>
    <row r="239" spans="3:6" s="10" customFormat="1">
      <c r="C239" s="8"/>
      <c r="D239" s="8"/>
      <c r="E239" s="8"/>
      <c r="F239" s="9"/>
    </row>
    <row r="240" spans="3:6" s="10" customFormat="1">
      <c r="C240" s="8"/>
      <c r="D240" s="8"/>
      <c r="E240" s="8"/>
    </row>
    <row r="241" spans="3:10" s="10" customFormat="1">
      <c r="C241" s="8"/>
      <c r="D241" s="8"/>
      <c r="E241" s="8"/>
    </row>
    <row r="242" spans="3:10" s="10" customFormat="1">
      <c r="C242" s="8"/>
      <c r="D242" s="8"/>
      <c r="E242" s="8"/>
      <c r="F242" s="9"/>
    </row>
    <row r="243" spans="3:10" s="10" customFormat="1">
      <c r="C243" s="8"/>
      <c r="D243" s="8"/>
      <c r="E243" s="8"/>
    </row>
    <row r="244" spans="3:10" s="10" customFormat="1">
      <c r="C244" s="8"/>
      <c r="D244" s="8"/>
      <c r="E244" s="8"/>
    </row>
    <row r="245" spans="3:10" s="10" customFormat="1">
      <c r="C245" s="8"/>
      <c r="D245" s="8"/>
      <c r="E245" s="8"/>
      <c r="I245" s="6"/>
      <c r="J245" s="6"/>
    </row>
    <row r="246" spans="3:10" s="10" customFormat="1">
      <c r="C246" s="8"/>
      <c r="D246" s="8"/>
      <c r="E246" s="8"/>
      <c r="I246" s="6"/>
      <c r="J246" s="6"/>
    </row>
    <row r="247" spans="3:10" s="10" customFormat="1">
      <c r="C247" s="8"/>
      <c r="D247" s="8"/>
      <c r="E247" s="8"/>
    </row>
    <row r="248" spans="3:10" s="10" customFormat="1">
      <c r="C248" s="8"/>
      <c r="D248" s="8"/>
      <c r="E248" s="8"/>
    </row>
    <row r="291" spans="1:11" s="10" customFormat="1">
      <c r="A291"/>
      <c r="B291"/>
      <c r="C291" s="8"/>
      <c r="D291" s="8"/>
      <c r="E291" s="8"/>
    </row>
    <row r="292" spans="1:11" s="10" customFormat="1">
      <c r="A292"/>
      <c r="B292"/>
      <c r="C292" s="8"/>
      <c r="D292" s="8"/>
      <c r="E292" s="8"/>
    </row>
    <row r="293" spans="1:11" s="10" customFormat="1">
      <c r="A293"/>
      <c r="B293"/>
      <c r="C293" s="8"/>
      <c r="D293" s="8"/>
      <c r="E293" s="8"/>
    </row>
    <row r="294" spans="1:11" s="10" customFormat="1">
      <c r="A294"/>
      <c r="B294"/>
      <c r="C294" s="8"/>
      <c r="D294" s="8"/>
      <c r="E294" s="8"/>
    </row>
    <row r="295" spans="1:11" s="10" customFormat="1">
      <c r="A295"/>
      <c r="B295"/>
      <c r="C295" s="8"/>
      <c r="D295" s="8"/>
      <c r="E295" s="8"/>
    </row>
    <row r="296" spans="1:11" s="10" customFormat="1">
      <c r="A296"/>
      <c r="B296"/>
      <c r="C296" s="8"/>
      <c r="D296" s="8"/>
      <c r="E296" s="8"/>
    </row>
    <row r="297" spans="1:11" s="10" customFormat="1">
      <c r="A297"/>
      <c r="B297"/>
      <c r="C297" s="8"/>
      <c r="D297" s="8"/>
      <c r="E297" s="8"/>
    </row>
    <row r="298" spans="1:11" s="10" customFormat="1">
      <c r="A298"/>
      <c r="B298"/>
      <c r="C298" s="8"/>
      <c r="D298" s="8"/>
      <c r="E298" s="8"/>
      <c r="I298" s="8"/>
      <c r="J298" s="8"/>
      <c r="K298"/>
    </row>
    <row r="299" spans="1:11" s="10" customFormat="1">
      <c r="A299"/>
      <c r="B299"/>
      <c r="C299" s="8"/>
      <c r="D299" s="8"/>
      <c r="E299" s="8"/>
      <c r="I299" s="8"/>
      <c r="J299" s="8"/>
      <c r="K299"/>
    </row>
    <row r="300" spans="1:11" s="10" customFormat="1">
      <c r="A300"/>
      <c r="B300"/>
      <c r="C300" s="8"/>
      <c r="D300" s="8"/>
      <c r="E300" s="8"/>
      <c r="I300" s="8"/>
      <c r="J300" s="8"/>
      <c r="K300"/>
    </row>
    <row r="301" spans="1:11" s="10" customFormat="1">
      <c r="A301"/>
      <c r="B301"/>
      <c r="C301" s="8"/>
      <c r="D301" s="8"/>
      <c r="E301" s="8"/>
      <c r="I301" s="6"/>
      <c r="J301" s="6"/>
      <c r="K301"/>
    </row>
    <row r="302" spans="1:11" s="10" customFormat="1">
      <c r="A302"/>
      <c r="B302"/>
      <c r="C302" s="8"/>
      <c r="D302" s="8"/>
      <c r="E302" s="8"/>
      <c r="I302" s="6"/>
      <c r="J302" s="6"/>
      <c r="K302"/>
    </row>
    <row r="303" spans="1:11" s="10" customFormat="1">
      <c r="C303" s="8"/>
      <c r="D303" s="8"/>
      <c r="E303" s="8"/>
      <c r="I303" s="6"/>
      <c r="J303" s="6"/>
    </row>
    <row r="304" spans="1:11" s="10" customFormat="1">
      <c r="C304" s="8"/>
      <c r="D304" s="8"/>
      <c r="E304" s="8"/>
      <c r="I304" s="8"/>
      <c r="J304" s="8"/>
    </row>
    <row r="305" spans="3:10" s="10" customFormat="1">
      <c r="C305" s="8"/>
      <c r="D305" s="8"/>
      <c r="E305" s="8"/>
      <c r="I305" s="8"/>
      <c r="J305" s="8"/>
    </row>
    <row r="306" spans="3:10" s="10" customFormat="1">
      <c r="C306" s="8"/>
      <c r="D306" s="8"/>
      <c r="E306" s="8"/>
      <c r="I306" s="8"/>
      <c r="J306" s="8"/>
    </row>
    <row r="307" spans="3:10" s="10" customFormat="1">
      <c r="C307" s="8"/>
      <c r="D307" s="8"/>
      <c r="E307" s="8"/>
      <c r="I307" s="8"/>
      <c r="J307" s="8"/>
    </row>
    <row r="308" spans="3:10" s="10" customFormat="1">
      <c r="C308" s="8"/>
      <c r="D308" s="8"/>
      <c r="E308" s="8"/>
      <c r="I308" s="8"/>
      <c r="J308" s="8"/>
    </row>
    <row r="309" spans="3:10" s="10" customFormat="1">
      <c r="C309" s="8"/>
      <c r="D309" s="8"/>
      <c r="E309" s="8"/>
      <c r="I309" s="8"/>
      <c r="J309" s="8"/>
    </row>
    <row r="310" spans="3:10" s="10" customFormat="1">
      <c r="C310" s="8"/>
      <c r="D310" s="8"/>
      <c r="E310" s="8"/>
      <c r="I310" s="8"/>
      <c r="J310" s="8"/>
    </row>
    <row r="311" spans="3:10" s="10" customFormat="1">
      <c r="C311" s="8"/>
      <c r="D311" s="8"/>
      <c r="E311" s="8"/>
      <c r="I311" s="8"/>
      <c r="J311" s="8"/>
    </row>
    <row r="312" spans="3:10" s="10" customFormat="1">
      <c r="C312" s="8"/>
      <c r="D312" s="8"/>
      <c r="E312" s="8"/>
    </row>
    <row r="313" spans="3:10" s="10" customFormat="1">
      <c r="C313" s="8"/>
      <c r="D313" s="8"/>
      <c r="E313" s="8"/>
      <c r="I313" s="8"/>
      <c r="J313" s="8"/>
    </row>
    <row r="314" spans="3:10" s="10" customFormat="1">
      <c r="C314" s="8"/>
      <c r="D314" s="8"/>
      <c r="E314" s="8"/>
    </row>
    <row r="315" spans="3:10" s="10" customFormat="1">
      <c r="C315" s="8"/>
      <c r="D315" s="8"/>
      <c r="E315" s="8"/>
    </row>
    <row r="316" spans="3:10" s="10" customFormat="1">
      <c r="C316" s="8"/>
      <c r="D316" s="8"/>
      <c r="E316" s="8"/>
    </row>
    <row r="318" spans="3:10" s="10" customFormat="1">
      <c r="C318" s="8"/>
      <c r="D318" s="8"/>
      <c r="E318" s="8"/>
    </row>
  </sheetData>
  <autoFilter ref="$C$4:$J$742"/>
  <mergeCells>
    <mergeCell ref="A1:B3"/>
    <mergeCell ref="C2:F2"/>
    <mergeCell ref="C1:H1"/>
  </mergeCells>
  <conditionalFormatting sqref="J6:J11 K5:K9">
    <cfRule type="expression" priority="40" stopIfTrue="1" dxfId="60">
      <formula>#REF!=TRUE</formula>
    </cfRule>
  </conditionalFormatting>
  <conditionalFormatting sqref="J6:J11 K5:K9">
    <cfRule type="cellIs" operator="equal" priority="37" stopIfTrue="1" dxfId="65">
      <formula>"alto"</formula>
    </cfRule>
    <cfRule type="cellIs" operator="equal" priority="38" stopIfTrue="1" dxfId="66">
      <formula>"medio"</formula>
    </cfRule>
    <cfRule type="cellIs" operator="equal" priority="39" stopIfTrue="1" dxfId="67">
      <formula>"basso"</formula>
    </cfRule>
  </conditionalFormatting>
  <conditionalFormatting sqref="J6:J11 K5:K9">
    <cfRule type="expression" priority="36" stopIfTrue="1" dxfId="68">
      <formula>NOT(ISERROR(SEARCH("basso",J6)))</formula>
    </cfRule>
  </conditionalFormatting>
  <conditionalFormatting sqref="J5">
    <cfRule type="expression" priority="31" stopIfTrue="1" dxfId="68">
      <formula>NOT(ISERROR(SEARCH("basso",J5)))</formula>
    </cfRule>
  </conditionalFormatting>
  <conditionalFormatting sqref="J5">
    <cfRule type="expression" priority="35" stopIfTrue="1" dxfId="60">
      <formula>#REF!=TRUE</formula>
    </cfRule>
  </conditionalFormatting>
  <conditionalFormatting sqref="J5">
    <cfRule type="cellIs" operator="equal" priority="32" stopIfTrue="1" dxfId="65">
      <formula>"alto"</formula>
    </cfRule>
    <cfRule type="cellIs" operator="equal" priority="33" stopIfTrue="1" dxfId="66">
      <formula>"medio"</formula>
    </cfRule>
    <cfRule type="cellIs" operator="equal" priority="34" stopIfTrue="1" dxfId="67">
      <formula>"basso"</formula>
    </cfRule>
  </conditionalFormatting>
  <conditionalFormatting sqref="K10:K11">
    <cfRule type="expression" priority="30" stopIfTrue="1" dxfId="60">
      <formula>#REF!=TRUE</formula>
    </cfRule>
  </conditionalFormatting>
  <conditionalFormatting sqref="K10:K11">
    <cfRule type="cellIs" operator="equal" priority="27" stopIfTrue="1" dxfId="65">
      <formula>"alto"</formula>
    </cfRule>
    <cfRule type="cellIs" operator="equal" priority="28" stopIfTrue="1" dxfId="66">
      <formula>"medio"</formula>
    </cfRule>
    <cfRule type="cellIs" operator="equal" priority="29" stopIfTrue="1" dxfId="67">
      <formula>"basso"</formula>
    </cfRule>
  </conditionalFormatting>
  <conditionalFormatting sqref="K10:K11">
    <cfRule type="expression" priority="26" stopIfTrue="1" dxfId="68">
      <formula>NOT(ISERROR(SEARCH("basso",K10)))</formula>
    </cfRule>
  </conditionalFormatting>
  <pageMargins header="0.314961" footer="0.314961" left="0.314961" right="0.314961" top="0.354331" bottom="0.354331"/>
  <pageSetup paperSize="9" firstPageNumber="1" scale="90" fitToWidth="1" fitToHeight="1" orientation="landscape" horizontalDpi="600" verticalDpi="600"/>
  <headerFooter differentFirst="0" differentOddEven="0">
    <oddHeader/>
    <oddFooter/>
  </headerFooter>
  <legacyDrawing r:id="rId5"/>
</worksheet>
</file>

<file path=docProps/app.xml><?xml version="1.0" encoding="utf-8"?>
<Properties xmlns="http://schemas.openxmlformats.org/officeDocument/2006/extended-properties" xmlns:vt="http://schemas.openxmlformats.org/officeDocument/2006/docPropsVTypes">
  <ScaleCrop>0</ScaleCrop>
  <HeadingPairs>
    <vt:vector size="2" baseType="variant">
      <vt:variant>
        <vt:lpstr>Fogli di lavoro</vt:lpstr>
      </vt:variant>
      <vt:variant>
        <vt:i4>6</vt:i4>
      </vt:variant>
    </vt:vector>
  </HeadingPairs>
  <TitlesOfParts>
    <vt:vector size="6" baseType="lpstr">
      <vt:lpstr>Prodotto finito</vt:lpstr>
      <vt:lpstr>Acqua</vt:lpstr>
      <vt:lpstr>Superfici</vt:lpstr>
      <vt:lpstr>Materia prima fresca</vt:lpstr>
      <vt:lpstr>(NO) Materia prima lavorata</vt:lpstr>
      <vt:lpstr>(NO) Prodotto intermedio</vt:lpstr>
    </vt:vector>
  </TitlesOfParts>
  <SharedDoc>0</SharedDoc>
  <HyperlinksChanged>0</HyperlinksChanged>
  <Application>Microsoft Macintosh Excel/onlyoffice</Applicat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QUALITA' GRUPPOFORMA</dc:creator>
  <cp:version>1048576</cp:version>
  <cp:lastModifiedBy>Massimo Parisi</cp:lastModifiedBy>
  <dcterms:created xsi:type="dcterms:W3CDTF">2021-06-03T16:51:00Z</dcterms:created>
  <dcterms:modified xsi:type="dcterms:W3CDTF">2025-11-24T15:43:00Z</dcterms:modified>
</cp:coreProperties>
</file>