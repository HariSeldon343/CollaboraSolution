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Qualita\Desktop\Downloads\"/>
    </mc:Choice>
  </mc:AlternateContent>
  <xr:revisionPtr revIDLastSave="0" documentId="13_ncr:1_{9795FD66-37C8-4A2A-B5AF-C27DD2916425}" xr6:coauthVersionLast="47" xr6:coauthVersionMax="47" xr10:uidLastSave="{00000000-0000-0000-0000-000000000000}"/>
  <bookViews>
    <workbookView xWindow="-120" yWindow="-120" windowWidth="25440" windowHeight="15390" activeTab="1" xr2:uid="{00000000-000D-0000-FFFF-FFFF00000000}"/>
  </bookViews>
  <sheets>
    <sheet name="15-04-2025" sheetId="1" r:id="rId1"/>
    <sheet name="29-10-2025" sheetId="2" r:id="rId2"/>
  </sheets>
  <calcPr calcId="191029" iterateDelta="1E-4"/>
</workbook>
</file>

<file path=xl/calcChain.xml><?xml version="1.0" encoding="utf-8"?>
<calcChain xmlns="http://schemas.openxmlformats.org/spreadsheetml/2006/main">
  <c r="D282" i="2" l="1"/>
  <c r="C282" i="2"/>
  <c r="B282" i="2"/>
  <c r="E284" i="2" s="1"/>
  <c r="D269" i="2"/>
  <c r="C269" i="2"/>
  <c r="B269" i="2"/>
  <c r="E271" i="2" s="1"/>
  <c r="D256" i="2"/>
  <c r="C256" i="2"/>
  <c r="B256" i="2"/>
  <c r="E258" i="2" s="1"/>
  <c r="D245" i="2"/>
  <c r="C245" i="2"/>
  <c r="B245" i="2"/>
  <c r="E247" i="2" s="1"/>
  <c r="D234" i="2"/>
  <c r="C234" i="2"/>
  <c r="B234" i="2"/>
  <c r="E236" i="2" s="1"/>
  <c r="D223" i="2"/>
  <c r="C223" i="2"/>
  <c r="B223" i="2"/>
  <c r="E225" i="2" s="1"/>
  <c r="D212" i="2"/>
  <c r="C212" i="2"/>
  <c r="B212" i="2"/>
  <c r="E214" i="2" s="1"/>
  <c r="D201" i="2"/>
  <c r="C201" i="2"/>
  <c r="B201" i="2"/>
  <c r="E203" i="2" s="1"/>
  <c r="D190" i="2"/>
  <c r="C190" i="2"/>
  <c r="B190" i="2"/>
  <c r="E192" i="2" s="1"/>
  <c r="D177" i="2"/>
  <c r="C177" i="2"/>
  <c r="B177" i="2"/>
  <c r="E179" i="2" s="1"/>
  <c r="D164" i="2"/>
  <c r="C164" i="2"/>
  <c r="B164" i="2"/>
  <c r="E166" i="2" s="1"/>
  <c r="D151" i="2"/>
  <c r="C151" i="2"/>
  <c r="B151" i="2"/>
  <c r="D138" i="2"/>
  <c r="C138" i="2"/>
  <c r="B138" i="2"/>
  <c r="E140" i="2" s="1"/>
  <c r="D125" i="2"/>
  <c r="C125" i="2"/>
  <c r="B125" i="2"/>
  <c r="D112" i="2"/>
  <c r="C112" i="2"/>
  <c r="B112" i="2"/>
  <c r="D99" i="2"/>
  <c r="C99" i="2"/>
  <c r="B99" i="2"/>
  <c r="D86" i="2"/>
  <c r="C86" i="2"/>
  <c r="B86" i="2"/>
  <c r="D73" i="2"/>
  <c r="C73" i="2"/>
  <c r="B73" i="2"/>
  <c r="D60" i="2"/>
  <c r="C60" i="2"/>
  <c r="B60" i="2"/>
  <c r="D47" i="2"/>
  <c r="C47" i="2"/>
  <c r="B47" i="2"/>
  <c r="D34" i="2"/>
  <c r="C34" i="2"/>
  <c r="B34" i="2"/>
  <c r="D21" i="2"/>
  <c r="C21" i="2"/>
  <c r="B21" i="2"/>
  <c r="E23" i="2" s="1"/>
  <c r="K16" i="2"/>
  <c r="K15" i="2"/>
  <c r="K14" i="2"/>
  <c r="D8" i="2"/>
  <c r="C8" i="2"/>
  <c r="B8" i="2"/>
  <c r="D282" i="1"/>
  <c r="C282" i="1"/>
  <c r="B282" i="1"/>
  <c r="E284" i="1" s="1"/>
  <c r="D269" i="1"/>
  <c r="C269" i="1"/>
  <c r="B269" i="1"/>
  <c r="E271" i="1" s="1"/>
  <c r="D256" i="1"/>
  <c r="C256" i="1"/>
  <c r="B256" i="1"/>
  <c r="E258" i="1" s="1"/>
  <c r="D245" i="1"/>
  <c r="C245" i="1"/>
  <c r="B245" i="1"/>
  <c r="E247" i="1" s="1"/>
  <c r="D234" i="1"/>
  <c r="C234" i="1"/>
  <c r="B234" i="1"/>
  <c r="E236" i="1" s="1"/>
  <c r="D223" i="1"/>
  <c r="C223" i="1"/>
  <c r="B223" i="1"/>
  <c r="E225" i="1" s="1"/>
  <c r="D212" i="1"/>
  <c r="C212" i="1"/>
  <c r="B212" i="1"/>
  <c r="E214" i="1" s="1"/>
  <c r="D201" i="1"/>
  <c r="C201" i="1"/>
  <c r="B201" i="1"/>
  <c r="E203" i="1" s="1"/>
  <c r="D190" i="1"/>
  <c r="C190" i="1"/>
  <c r="B190" i="1"/>
  <c r="E192" i="1" s="1"/>
  <c r="D177" i="1"/>
  <c r="C177" i="1"/>
  <c r="B177" i="1"/>
  <c r="E179" i="1" s="1"/>
  <c r="D164" i="1"/>
  <c r="C164" i="1"/>
  <c r="B164" i="1"/>
  <c r="E166" i="1" s="1"/>
  <c r="D151" i="1"/>
  <c r="C151" i="1"/>
  <c r="B151" i="1"/>
  <c r="E153" i="1" s="1"/>
  <c r="D138" i="1"/>
  <c r="C138" i="1"/>
  <c r="B138" i="1"/>
  <c r="E140" i="1" s="1"/>
  <c r="D125" i="1"/>
  <c r="C125" i="1"/>
  <c r="B125" i="1"/>
  <c r="E127" i="1" s="1"/>
  <c r="D112" i="1"/>
  <c r="C112" i="1"/>
  <c r="B112" i="1"/>
  <c r="E114" i="1" s="1"/>
  <c r="D99" i="1"/>
  <c r="C99" i="1"/>
  <c r="B99" i="1"/>
  <c r="E101" i="1" s="1"/>
  <c r="D86" i="1"/>
  <c r="C86" i="1"/>
  <c r="B86" i="1"/>
  <c r="E88" i="1" s="1"/>
  <c r="D73" i="1"/>
  <c r="C73" i="1"/>
  <c r="B73" i="1"/>
  <c r="E75" i="1" s="1"/>
  <c r="D60" i="1"/>
  <c r="C60" i="1"/>
  <c r="B60" i="1"/>
  <c r="E62" i="1" s="1"/>
  <c r="D47" i="1"/>
  <c r="C47" i="1"/>
  <c r="B47" i="1"/>
  <c r="E49" i="1" s="1"/>
  <c r="D34" i="1"/>
  <c r="C34" i="1"/>
  <c r="B34" i="1"/>
  <c r="E36" i="1" s="1"/>
  <c r="D21" i="1"/>
  <c r="C21" i="1"/>
  <c r="B21" i="1"/>
  <c r="E23" i="1" s="1"/>
  <c r="K16" i="1"/>
  <c r="K15" i="1"/>
  <c r="K14" i="1"/>
  <c r="D8" i="1"/>
  <c r="C8" i="1"/>
  <c r="B8" i="1"/>
  <c r="E10" i="1" s="1"/>
  <c r="E153" i="2" l="1"/>
  <c r="E127" i="2"/>
  <c r="E114" i="2"/>
  <c r="E101" i="2"/>
  <c r="E88" i="2"/>
  <c r="E75" i="2"/>
  <c r="E62" i="2"/>
  <c r="E49" i="2"/>
  <c r="E36" i="2"/>
  <c r="E10" i="2"/>
  <c r="K17" i="1"/>
  <c r="M17" i="1" s="1"/>
  <c r="J2" i="1" s="1"/>
  <c r="K17" i="2" l="1"/>
  <c r="M17" i="2" s="1"/>
  <c r="J2" i="2" s="1"/>
</calcChain>
</file>

<file path=xl/sharedStrings.xml><?xml version="1.0" encoding="utf-8"?>
<sst xmlns="http://schemas.openxmlformats.org/spreadsheetml/2006/main" count="652" uniqueCount="20">
  <si>
    <t>DOMANDA 1</t>
  </si>
  <si>
    <t>x</t>
  </si>
  <si>
    <t>VALORI OTTENUTI MEDIA</t>
  </si>
  <si>
    <t>DOMANDA 2</t>
  </si>
  <si>
    <t>VALORE MINIMO</t>
  </si>
  <si>
    <t>DOMANDA 3</t>
  </si>
  <si>
    <t>VALORE MASSIMO</t>
  </si>
  <si>
    <t>DOMANDA 4</t>
  </si>
  <si>
    <t>DOMANDA 5</t>
  </si>
  <si>
    <t>AZIENDA AGRUMI-GEL S.r.l.</t>
  </si>
  <si>
    <t>DOMANDA 6</t>
  </si>
  <si>
    <t>Data test 15/04/2025, data valutazione 15/04/2025</t>
  </si>
  <si>
    <t>Max</t>
  </si>
  <si>
    <t>Livello PRO</t>
  </si>
  <si>
    <t>TOT</t>
  </si>
  <si>
    <t>Medio</t>
  </si>
  <si>
    <t>Accettabile, ma da approfondire</t>
  </si>
  <si>
    <t>Min</t>
  </si>
  <si>
    <t>Da riformare</t>
  </si>
  <si>
    <t>Data test 29/10/2025, data valutazione 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</si>
</sst>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5"/>
      </patternFill>
    </fill>
    <fill>
      <patternFill patternType="solid">
        <fgColor theme="5" tint="0.59999389629810485"/>
        <bgColor theme="5" tint="0.5999938962981048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/>
    <xf numFmtId="164" fontId="2" fillId="2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0" fontId="1" fillId="0" borderId="0" xfId="0" applyFont="1"/>
    <xf numFmtId="0" fontId="1" fillId="3" borderId="1" xfId="0" applyFont="1" applyFill="1" applyBorder="1" applyAlignment="1">
      <alignment horizontal="center"/>
    </xf>
    <xf numFmtId="0" fontId="0" fillId="4" borderId="0" xfId="0" applyFill="1"/>
    <xf numFmtId="0" fontId="0" fillId="5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5"/>
  <sheetViews>
    <sheetView workbookViewId="0">
      <selection activeCell="M4" sqref="M4"/>
    </sheetView>
  </sheetViews>
  <sheetFormatPr defaultRowHeight="15" x14ac:dyDescent="0.25"/>
  <cols>
    <col min="1" max="1" width="12" customWidth="1"/>
    <col min="10" max="10" width="9.5703125" bestFit="1" customWidth="1"/>
  </cols>
  <sheetData>
    <row r="1" spans="1:11" x14ac:dyDescent="0.25">
      <c r="A1" s="1">
        <v>1</v>
      </c>
      <c r="B1" s="1">
        <v>1</v>
      </c>
      <c r="C1" s="1">
        <v>2</v>
      </c>
      <c r="D1" s="1">
        <v>3</v>
      </c>
    </row>
    <row r="2" spans="1:11" ht="15.75" x14ac:dyDescent="0.25">
      <c r="A2" s="1" t="s">
        <v>0</v>
      </c>
      <c r="B2" s="2" t="s">
        <v>1</v>
      </c>
      <c r="C2" s="2"/>
      <c r="D2" s="2"/>
      <c r="F2" s="3"/>
      <c r="G2" s="4" t="s">
        <v>2</v>
      </c>
      <c r="H2" s="1"/>
      <c r="I2" s="1"/>
      <c r="J2" s="5">
        <f>M17</f>
        <v>16</v>
      </c>
    </row>
    <row r="3" spans="1:11" ht="15.75" x14ac:dyDescent="0.25">
      <c r="A3" s="1" t="s">
        <v>3</v>
      </c>
      <c r="B3" s="2" t="s">
        <v>1</v>
      </c>
      <c r="C3" s="2"/>
      <c r="D3" s="2"/>
      <c r="G3" s="4" t="s">
        <v>4</v>
      </c>
      <c r="H3" s="1"/>
      <c r="I3" s="1"/>
      <c r="J3" s="6">
        <v>6</v>
      </c>
    </row>
    <row r="4" spans="1:11" ht="15.75" x14ac:dyDescent="0.25">
      <c r="A4" s="1" t="s">
        <v>5</v>
      </c>
      <c r="B4" s="2" t="s">
        <v>1</v>
      </c>
      <c r="C4" s="2"/>
      <c r="D4" s="2"/>
      <c r="G4" s="4" t="s">
        <v>6</v>
      </c>
      <c r="H4" s="1"/>
      <c r="I4" s="1"/>
      <c r="J4" s="6">
        <v>18</v>
      </c>
    </row>
    <row r="5" spans="1:11" x14ac:dyDescent="0.25">
      <c r="A5" s="1" t="s">
        <v>7</v>
      </c>
      <c r="B5" s="2" t="s">
        <v>1</v>
      </c>
      <c r="C5" s="2"/>
      <c r="D5" s="2"/>
    </row>
    <row r="6" spans="1:11" x14ac:dyDescent="0.25">
      <c r="A6" s="1" t="s">
        <v>8</v>
      </c>
      <c r="B6" s="2" t="s">
        <v>1</v>
      </c>
      <c r="C6" s="2"/>
      <c r="D6" s="2"/>
      <c r="G6" s="7" t="s">
        <v>9</v>
      </c>
    </row>
    <row r="7" spans="1:11" x14ac:dyDescent="0.25">
      <c r="A7" s="1" t="s">
        <v>10</v>
      </c>
      <c r="B7" s="2" t="s">
        <v>1</v>
      </c>
      <c r="C7" s="2"/>
      <c r="D7" s="2"/>
      <c r="G7" s="7" t="s">
        <v>11</v>
      </c>
    </row>
    <row r="8" spans="1:11" x14ac:dyDescent="0.25">
      <c r="B8">
        <f>COUNTIF(B2:B7,"x")*3</f>
        <v>18</v>
      </c>
      <c r="C8">
        <f>COUNTIF(C2:C7,"x")*2</f>
        <v>0</v>
      </c>
      <c r="D8">
        <f>COUNTIF(D2:D7,"x")</f>
        <v>0</v>
      </c>
    </row>
    <row r="9" spans="1:11" x14ac:dyDescent="0.25">
      <c r="F9" t="s">
        <v>12</v>
      </c>
      <c r="G9">
        <v>18</v>
      </c>
      <c r="H9" t="s">
        <v>13</v>
      </c>
    </row>
    <row r="10" spans="1:11" x14ac:dyDescent="0.25">
      <c r="D10" t="s">
        <v>14</v>
      </c>
      <c r="E10" s="8">
        <f>SUM(B8:D8)</f>
        <v>18</v>
      </c>
      <c r="F10" t="s">
        <v>15</v>
      </c>
      <c r="G10">
        <v>12</v>
      </c>
      <c r="H10" t="s">
        <v>16</v>
      </c>
    </row>
    <row r="11" spans="1:11" x14ac:dyDescent="0.25">
      <c r="F11" t="s">
        <v>17</v>
      </c>
      <c r="G11">
        <v>6</v>
      </c>
      <c r="H11" t="s">
        <v>18</v>
      </c>
    </row>
    <row r="14" spans="1:11" x14ac:dyDescent="0.25">
      <c r="A14" s="1">
        <v>2</v>
      </c>
      <c r="B14" s="1">
        <v>1</v>
      </c>
      <c r="C14" s="1">
        <v>2</v>
      </c>
      <c r="D14" s="1">
        <v>3</v>
      </c>
      <c r="I14">
        <v>18</v>
      </c>
      <c r="J14">
        <v>19</v>
      </c>
      <c r="K14">
        <f t="shared" ref="K14:K16" si="0">I14*J14</f>
        <v>342</v>
      </c>
    </row>
    <row r="15" spans="1:11" x14ac:dyDescent="0.25">
      <c r="A15" s="1" t="s">
        <v>0</v>
      </c>
      <c r="B15" s="2"/>
      <c r="C15" s="2"/>
      <c r="D15" s="2" t="s">
        <v>1</v>
      </c>
      <c r="I15">
        <v>15</v>
      </c>
      <c r="J15">
        <v>1</v>
      </c>
      <c r="K15">
        <f t="shared" si="0"/>
        <v>15</v>
      </c>
    </row>
    <row r="16" spans="1:11" x14ac:dyDescent="0.25">
      <c r="A16" s="1" t="s">
        <v>3</v>
      </c>
      <c r="B16" s="2" t="s">
        <v>1</v>
      </c>
      <c r="C16" s="2"/>
      <c r="D16" s="2"/>
      <c r="I16">
        <v>16</v>
      </c>
      <c r="J16">
        <v>1</v>
      </c>
      <c r="K16">
        <f t="shared" si="0"/>
        <v>16</v>
      </c>
    </row>
    <row r="17" spans="1:13" x14ac:dyDescent="0.25">
      <c r="A17" s="1" t="s">
        <v>5</v>
      </c>
      <c r="B17" s="2" t="s">
        <v>1</v>
      </c>
      <c r="C17" s="2"/>
      <c r="D17" s="2"/>
      <c r="J17" s="9" t="s">
        <v>14</v>
      </c>
      <c r="K17" s="9">
        <f>E10+E23+E36+E49+E62+E88+E101+E114+E127+E153+E166+E179+E192+E203+E214+E225+E236+E247+E258+E271+E140+E75</f>
        <v>208</v>
      </c>
      <c r="L17" s="9">
        <v>13</v>
      </c>
      <c r="M17" s="9">
        <f>K17/L17</f>
        <v>16</v>
      </c>
    </row>
    <row r="18" spans="1:13" x14ac:dyDescent="0.25">
      <c r="A18" s="1" t="s">
        <v>7</v>
      </c>
      <c r="B18" s="2" t="s">
        <v>1</v>
      </c>
      <c r="C18" s="2"/>
      <c r="D18" s="2"/>
    </row>
    <row r="19" spans="1:13" x14ac:dyDescent="0.25">
      <c r="A19" s="1" t="s">
        <v>8</v>
      </c>
      <c r="B19" s="2" t="s">
        <v>1</v>
      </c>
      <c r="C19" s="2"/>
      <c r="D19" s="2"/>
    </row>
    <row r="20" spans="1:13" x14ac:dyDescent="0.25">
      <c r="A20" s="1" t="s">
        <v>10</v>
      </c>
      <c r="B20" s="2" t="s">
        <v>1</v>
      </c>
      <c r="C20" s="2"/>
      <c r="D20" s="2"/>
    </row>
    <row r="21" spans="1:13" x14ac:dyDescent="0.25">
      <c r="B21">
        <f>COUNTIF(B15:B20,"x")*3</f>
        <v>15</v>
      </c>
      <c r="C21">
        <f>COUNTIF(C15:C20,"x")*2</f>
        <v>0</v>
      </c>
      <c r="D21">
        <f>COUNTIF(D15:D20,"x")</f>
        <v>1</v>
      </c>
    </row>
    <row r="22" spans="1:13" x14ac:dyDescent="0.25">
      <c r="F22" t="s">
        <v>12</v>
      </c>
    </row>
    <row r="23" spans="1:13" x14ac:dyDescent="0.25">
      <c r="D23" t="s">
        <v>14</v>
      </c>
      <c r="E23" s="8">
        <f>SUM(B21:D21)</f>
        <v>16</v>
      </c>
      <c r="F23" t="s">
        <v>15</v>
      </c>
    </row>
    <row r="24" spans="1:13" x14ac:dyDescent="0.25">
      <c r="F24" t="s">
        <v>17</v>
      </c>
    </row>
    <row r="27" spans="1:13" x14ac:dyDescent="0.25">
      <c r="A27" s="1">
        <v>3</v>
      </c>
      <c r="B27" s="1">
        <v>1</v>
      </c>
      <c r="C27" s="1">
        <v>2</v>
      </c>
      <c r="D27" s="1">
        <v>3</v>
      </c>
    </row>
    <row r="28" spans="1:13" x14ac:dyDescent="0.25">
      <c r="A28" s="1" t="s">
        <v>0</v>
      </c>
      <c r="B28" s="2"/>
      <c r="C28" s="2" t="s">
        <v>1</v>
      </c>
      <c r="D28" s="2"/>
    </row>
    <row r="29" spans="1:13" x14ac:dyDescent="0.25">
      <c r="A29" s="1" t="s">
        <v>3</v>
      </c>
      <c r="B29" s="2" t="s">
        <v>1</v>
      </c>
      <c r="C29" s="2"/>
      <c r="D29" s="2"/>
    </row>
    <row r="30" spans="1:13" x14ac:dyDescent="0.25">
      <c r="A30" s="1" t="s">
        <v>5</v>
      </c>
      <c r="B30" s="2" t="s">
        <v>1</v>
      </c>
      <c r="C30" s="2"/>
      <c r="D30" s="2"/>
    </row>
    <row r="31" spans="1:13" x14ac:dyDescent="0.25">
      <c r="A31" s="1" t="s">
        <v>7</v>
      </c>
      <c r="B31" s="2" t="s">
        <v>1</v>
      </c>
      <c r="C31" s="2"/>
      <c r="D31" s="2"/>
    </row>
    <row r="32" spans="1:13" x14ac:dyDescent="0.25">
      <c r="A32" s="1" t="s">
        <v>8</v>
      </c>
      <c r="B32" s="2" t="s">
        <v>1</v>
      </c>
      <c r="C32" s="2"/>
      <c r="D32" s="2"/>
    </row>
    <row r="33" spans="1:6" x14ac:dyDescent="0.25">
      <c r="A33" s="1" t="s">
        <v>10</v>
      </c>
      <c r="B33" s="2" t="s">
        <v>1</v>
      </c>
      <c r="C33" s="2"/>
      <c r="D33" s="2"/>
    </row>
    <row r="34" spans="1:6" x14ac:dyDescent="0.25">
      <c r="B34">
        <f>COUNTIF(B28:B33,"x")*3</f>
        <v>15</v>
      </c>
      <c r="C34">
        <f>COUNTIF(C28:C33,"x")*2</f>
        <v>2</v>
      </c>
      <c r="D34">
        <f>COUNTIF(D28:D33,"x")</f>
        <v>0</v>
      </c>
    </row>
    <row r="35" spans="1:6" x14ac:dyDescent="0.25">
      <c r="F35" t="s">
        <v>12</v>
      </c>
    </row>
    <row r="36" spans="1:6" x14ac:dyDescent="0.25">
      <c r="D36" t="s">
        <v>14</v>
      </c>
      <c r="E36" s="8">
        <f>SUM(B34:D34)</f>
        <v>17</v>
      </c>
      <c r="F36" t="s">
        <v>15</v>
      </c>
    </row>
    <row r="37" spans="1:6" x14ac:dyDescent="0.25">
      <c r="F37" t="s">
        <v>17</v>
      </c>
    </row>
    <row r="40" spans="1:6" x14ac:dyDescent="0.25">
      <c r="A40" s="1">
        <v>4</v>
      </c>
      <c r="B40" s="1">
        <v>1</v>
      </c>
      <c r="C40" s="1">
        <v>2</v>
      </c>
      <c r="D40" s="1">
        <v>3</v>
      </c>
    </row>
    <row r="41" spans="1:6" x14ac:dyDescent="0.25">
      <c r="A41" s="1" t="s">
        <v>0</v>
      </c>
      <c r="B41" s="2"/>
      <c r="C41" s="2"/>
      <c r="D41" s="2" t="s">
        <v>1</v>
      </c>
    </row>
    <row r="42" spans="1:6" x14ac:dyDescent="0.25">
      <c r="A42" s="1" t="s">
        <v>3</v>
      </c>
      <c r="B42" s="2" t="s">
        <v>1</v>
      </c>
      <c r="C42" s="2"/>
      <c r="D42" s="2"/>
    </row>
    <row r="43" spans="1:6" x14ac:dyDescent="0.25">
      <c r="A43" s="1" t="s">
        <v>5</v>
      </c>
      <c r="B43" s="2" t="s">
        <v>1</v>
      </c>
      <c r="C43" s="2"/>
      <c r="D43" s="2"/>
    </row>
    <row r="44" spans="1:6" x14ac:dyDescent="0.25">
      <c r="A44" s="1" t="s">
        <v>7</v>
      </c>
      <c r="B44" s="2" t="s">
        <v>1</v>
      </c>
      <c r="C44" s="2"/>
      <c r="D44" s="2"/>
    </row>
    <row r="45" spans="1:6" x14ac:dyDescent="0.25">
      <c r="A45" s="1" t="s">
        <v>8</v>
      </c>
      <c r="B45" s="2" t="s">
        <v>1</v>
      </c>
      <c r="C45" s="2"/>
      <c r="D45" s="2"/>
    </row>
    <row r="46" spans="1:6" x14ac:dyDescent="0.25">
      <c r="A46" s="1" t="s">
        <v>10</v>
      </c>
      <c r="B46" s="2" t="s">
        <v>1</v>
      </c>
      <c r="C46" s="2"/>
      <c r="D46" s="2"/>
    </row>
    <row r="47" spans="1:6" x14ac:dyDescent="0.25">
      <c r="B47">
        <f>COUNTIF(B41:B46,"x")*3</f>
        <v>15</v>
      </c>
      <c r="C47">
        <f>COUNTIF(C41:C46,"x")*2</f>
        <v>0</v>
      </c>
      <c r="D47">
        <f>COUNTIF(D41:D46,"x")</f>
        <v>1</v>
      </c>
    </row>
    <row r="48" spans="1:6" x14ac:dyDescent="0.25">
      <c r="F48" t="s">
        <v>12</v>
      </c>
    </row>
    <row r="49" spans="1:6" x14ac:dyDescent="0.25">
      <c r="D49" t="s">
        <v>14</v>
      </c>
      <c r="E49" s="8">
        <f>SUM(B47:D47)</f>
        <v>16</v>
      </c>
      <c r="F49" t="s">
        <v>15</v>
      </c>
    </row>
    <row r="50" spans="1:6" x14ac:dyDescent="0.25">
      <c r="F50" t="s">
        <v>17</v>
      </c>
    </row>
    <row r="53" spans="1:6" x14ac:dyDescent="0.25">
      <c r="A53" s="1">
        <v>5</v>
      </c>
      <c r="B53" s="1">
        <v>1</v>
      </c>
      <c r="C53" s="1">
        <v>2</v>
      </c>
      <c r="D53" s="1">
        <v>3</v>
      </c>
    </row>
    <row r="54" spans="1:6" x14ac:dyDescent="0.25">
      <c r="A54" s="1" t="s">
        <v>0</v>
      </c>
      <c r="B54" s="2"/>
      <c r="C54" s="2"/>
      <c r="D54" s="2" t="s">
        <v>1</v>
      </c>
    </row>
    <row r="55" spans="1:6" x14ac:dyDescent="0.25">
      <c r="A55" s="1" t="s">
        <v>3</v>
      </c>
      <c r="B55" s="2" t="s">
        <v>1</v>
      </c>
      <c r="C55" s="2"/>
      <c r="D55" s="2"/>
    </row>
    <row r="56" spans="1:6" x14ac:dyDescent="0.25">
      <c r="A56" s="1" t="s">
        <v>5</v>
      </c>
      <c r="B56" s="2" t="s">
        <v>1</v>
      </c>
      <c r="C56" s="2"/>
      <c r="D56" s="2"/>
    </row>
    <row r="57" spans="1:6" x14ac:dyDescent="0.25">
      <c r="A57" s="1" t="s">
        <v>7</v>
      </c>
      <c r="B57" s="2" t="s">
        <v>1</v>
      </c>
      <c r="C57" s="2"/>
      <c r="D57" s="2"/>
    </row>
    <row r="58" spans="1:6" x14ac:dyDescent="0.25">
      <c r="A58" s="1" t="s">
        <v>8</v>
      </c>
      <c r="B58" s="2" t="s">
        <v>1</v>
      </c>
      <c r="C58" s="2"/>
      <c r="D58" s="2"/>
    </row>
    <row r="59" spans="1:6" x14ac:dyDescent="0.25">
      <c r="A59" s="1" t="s">
        <v>10</v>
      </c>
      <c r="B59" s="2" t="s">
        <v>1</v>
      </c>
      <c r="C59" s="2"/>
      <c r="D59" s="2"/>
    </row>
    <row r="60" spans="1:6" x14ac:dyDescent="0.25">
      <c r="B60">
        <f>COUNTIF(B54:B59,"x")*3</f>
        <v>15</v>
      </c>
      <c r="C60">
        <f>COUNTIF(C54:C59,"x")*2</f>
        <v>0</v>
      </c>
      <c r="D60">
        <f>COUNTIF(D54:D59,"x")</f>
        <v>1</v>
      </c>
    </row>
    <row r="61" spans="1:6" x14ac:dyDescent="0.25">
      <c r="F61" t="s">
        <v>12</v>
      </c>
    </row>
    <row r="62" spans="1:6" x14ac:dyDescent="0.25">
      <c r="D62" t="s">
        <v>14</v>
      </c>
      <c r="E62" s="8">
        <f>SUM(B60:D60)</f>
        <v>16</v>
      </c>
      <c r="F62" t="s">
        <v>15</v>
      </c>
    </row>
    <row r="63" spans="1:6" x14ac:dyDescent="0.25">
      <c r="F63" t="s">
        <v>17</v>
      </c>
    </row>
    <row r="66" spans="1:6" x14ac:dyDescent="0.25">
      <c r="A66" s="1">
        <v>6</v>
      </c>
      <c r="B66" s="1">
        <v>1</v>
      </c>
      <c r="C66" s="1">
        <v>2</v>
      </c>
      <c r="D66" s="1">
        <v>3</v>
      </c>
    </row>
    <row r="67" spans="1:6" x14ac:dyDescent="0.25">
      <c r="A67" s="1" t="s">
        <v>0</v>
      </c>
      <c r="B67" s="2"/>
      <c r="C67" s="2"/>
      <c r="D67" s="2" t="s">
        <v>1</v>
      </c>
    </row>
    <row r="68" spans="1:6" x14ac:dyDescent="0.25">
      <c r="A68" s="1" t="s">
        <v>3</v>
      </c>
      <c r="B68" s="2" t="s">
        <v>1</v>
      </c>
      <c r="C68" s="2"/>
      <c r="D68" s="2"/>
    </row>
    <row r="69" spans="1:6" x14ac:dyDescent="0.25">
      <c r="A69" s="1" t="s">
        <v>5</v>
      </c>
      <c r="B69" s="2" t="s">
        <v>1</v>
      </c>
      <c r="C69" s="2"/>
      <c r="D69" s="2"/>
    </row>
    <row r="70" spans="1:6" x14ac:dyDescent="0.25">
      <c r="A70" s="1" t="s">
        <v>7</v>
      </c>
      <c r="B70" s="2" t="s">
        <v>1</v>
      </c>
      <c r="C70" s="2"/>
      <c r="D70" s="2"/>
    </row>
    <row r="71" spans="1:6" x14ac:dyDescent="0.25">
      <c r="A71" s="1" t="s">
        <v>8</v>
      </c>
      <c r="B71" s="2" t="s">
        <v>1</v>
      </c>
      <c r="C71" s="2"/>
      <c r="D71" s="2"/>
    </row>
    <row r="72" spans="1:6" x14ac:dyDescent="0.25">
      <c r="A72" s="1" t="s">
        <v>10</v>
      </c>
      <c r="B72" s="2" t="s">
        <v>1</v>
      </c>
      <c r="C72" s="2"/>
      <c r="D72" s="2"/>
    </row>
    <row r="73" spans="1:6" x14ac:dyDescent="0.25">
      <c r="B73">
        <f>COUNTIF(B67:B72,"x")*3</f>
        <v>15</v>
      </c>
      <c r="C73">
        <f>COUNTIF(C67:C72,"x")*2</f>
        <v>0</v>
      </c>
      <c r="D73">
        <f>COUNTIF(D67:D72,"x")</f>
        <v>1</v>
      </c>
    </row>
    <row r="74" spans="1:6" x14ac:dyDescent="0.25">
      <c r="F74" t="s">
        <v>12</v>
      </c>
    </row>
    <row r="75" spans="1:6" x14ac:dyDescent="0.25">
      <c r="D75" t="s">
        <v>14</v>
      </c>
      <c r="E75" s="8">
        <f>SUM(B73:D73)</f>
        <v>16</v>
      </c>
      <c r="F75" t="s">
        <v>15</v>
      </c>
    </row>
    <row r="76" spans="1:6" x14ac:dyDescent="0.25">
      <c r="F76" t="s">
        <v>17</v>
      </c>
    </row>
    <row r="79" spans="1:6" x14ac:dyDescent="0.25">
      <c r="A79" s="1">
        <v>7</v>
      </c>
      <c r="B79" s="1">
        <v>1</v>
      </c>
      <c r="C79" s="1">
        <v>2</v>
      </c>
      <c r="D79" s="1">
        <v>3</v>
      </c>
    </row>
    <row r="80" spans="1:6" x14ac:dyDescent="0.25">
      <c r="A80" s="1" t="s">
        <v>0</v>
      </c>
      <c r="B80" s="2"/>
      <c r="C80" s="2"/>
      <c r="D80" s="2" t="s">
        <v>1</v>
      </c>
    </row>
    <row r="81" spans="1:6" x14ac:dyDescent="0.25">
      <c r="A81" s="1" t="s">
        <v>3</v>
      </c>
      <c r="B81" s="2" t="s">
        <v>1</v>
      </c>
      <c r="C81" s="2"/>
      <c r="D81" s="2"/>
    </row>
    <row r="82" spans="1:6" x14ac:dyDescent="0.25">
      <c r="A82" s="1" t="s">
        <v>5</v>
      </c>
      <c r="B82" s="2" t="s">
        <v>1</v>
      </c>
      <c r="C82" s="2"/>
      <c r="D82" s="2"/>
    </row>
    <row r="83" spans="1:6" x14ac:dyDescent="0.25">
      <c r="A83" s="1" t="s">
        <v>7</v>
      </c>
      <c r="B83" s="2" t="s">
        <v>1</v>
      </c>
      <c r="C83" s="2"/>
      <c r="D83" s="2"/>
    </row>
    <row r="84" spans="1:6" x14ac:dyDescent="0.25">
      <c r="A84" s="1" t="s">
        <v>8</v>
      </c>
      <c r="B84" s="2" t="s">
        <v>1</v>
      </c>
      <c r="C84" s="2"/>
      <c r="D84" s="2"/>
    </row>
    <row r="85" spans="1:6" x14ac:dyDescent="0.25">
      <c r="A85" s="1" t="s">
        <v>10</v>
      </c>
      <c r="B85" s="2" t="s">
        <v>1</v>
      </c>
      <c r="C85" s="2"/>
      <c r="D85" s="2"/>
    </row>
    <row r="86" spans="1:6" x14ac:dyDescent="0.25">
      <c r="B86">
        <f>COUNTIF(B80:B85,"x")*3</f>
        <v>15</v>
      </c>
      <c r="C86">
        <f>COUNTIF(C80:C85,"x")*2</f>
        <v>0</v>
      </c>
      <c r="D86">
        <f>COUNTIF(D80:D85,"x")</f>
        <v>1</v>
      </c>
    </row>
    <row r="87" spans="1:6" x14ac:dyDescent="0.25">
      <c r="F87" t="s">
        <v>12</v>
      </c>
    </row>
    <row r="88" spans="1:6" x14ac:dyDescent="0.25">
      <c r="D88" t="s">
        <v>14</v>
      </c>
      <c r="E88" s="8">
        <f>SUM(B86:D86)</f>
        <v>16</v>
      </c>
      <c r="F88" t="s">
        <v>15</v>
      </c>
    </row>
    <row r="89" spans="1:6" x14ac:dyDescent="0.25">
      <c r="F89" t="s">
        <v>17</v>
      </c>
    </row>
    <row r="92" spans="1:6" x14ac:dyDescent="0.25">
      <c r="A92" s="1">
        <v>8</v>
      </c>
      <c r="B92" s="1">
        <v>1</v>
      </c>
      <c r="C92" s="1">
        <v>2</v>
      </c>
      <c r="D92" s="1">
        <v>3</v>
      </c>
    </row>
    <row r="93" spans="1:6" x14ac:dyDescent="0.25">
      <c r="A93" s="1" t="s">
        <v>0</v>
      </c>
      <c r="B93" s="2"/>
      <c r="C93" s="2"/>
      <c r="D93" s="2" t="s">
        <v>1</v>
      </c>
    </row>
    <row r="94" spans="1:6" x14ac:dyDescent="0.25">
      <c r="A94" s="1" t="s">
        <v>3</v>
      </c>
      <c r="B94" s="2" t="s">
        <v>1</v>
      </c>
      <c r="C94" s="2"/>
      <c r="D94" s="2"/>
    </row>
    <row r="95" spans="1:6" x14ac:dyDescent="0.25">
      <c r="A95" s="1" t="s">
        <v>5</v>
      </c>
      <c r="B95" s="2" t="s">
        <v>1</v>
      </c>
      <c r="C95" s="2"/>
      <c r="D95" s="2"/>
    </row>
    <row r="96" spans="1:6" x14ac:dyDescent="0.25">
      <c r="A96" s="1" t="s">
        <v>7</v>
      </c>
      <c r="B96" s="2" t="s">
        <v>1</v>
      </c>
      <c r="C96" s="2"/>
      <c r="D96" s="2"/>
    </row>
    <row r="97" spans="1:6" x14ac:dyDescent="0.25">
      <c r="A97" s="1" t="s">
        <v>8</v>
      </c>
      <c r="B97" s="2" t="s">
        <v>1</v>
      </c>
      <c r="C97" s="2"/>
      <c r="D97" s="2"/>
    </row>
    <row r="98" spans="1:6" x14ac:dyDescent="0.25">
      <c r="A98" s="1" t="s">
        <v>10</v>
      </c>
      <c r="B98" s="2" t="s">
        <v>1</v>
      </c>
      <c r="C98" s="2"/>
      <c r="D98" s="2"/>
    </row>
    <row r="99" spans="1:6" x14ac:dyDescent="0.25">
      <c r="B99">
        <f>COUNTIF(B93:B98,"x")*3</f>
        <v>15</v>
      </c>
      <c r="C99">
        <f>COUNTIF(C93:C98,"x")*2</f>
        <v>0</v>
      </c>
      <c r="D99">
        <f>COUNTIF(D93:D98,"x")</f>
        <v>1</v>
      </c>
    </row>
    <row r="100" spans="1:6" x14ac:dyDescent="0.25">
      <c r="F100" t="s">
        <v>12</v>
      </c>
    </row>
    <row r="101" spans="1:6" x14ac:dyDescent="0.25">
      <c r="D101" t="s">
        <v>14</v>
      </c>
      <c r="E101" s="8">
        <f>SUM(B99:D99)</f>
        <v>16</v>
      </c>
      <c r="F101" t="s">
        <v>15</v>
      </c>
    </row>
    <row r="102" spans="1:6" x14ac:dyDescent="0.25">
      <c r="F102" t="s">
        <v>17</v>
      </c>
    </row>
    <row r="105" spans="1:6" x14ac:dyDescent="0.25">
      <c r="A105" s="1">
        <v>9</v>
      </c>
      <c r="B105" s="1">
        <v>1</v>
      </c>
      <c r="C105" s="1">
        <v>2</v>
      </c>
      <c r="D105" s="1">
        <v>3</v>
      </c>
    </row>
    <row r="106" spans="1:6" x14ac:dyDescent="0.25">
      <c r="A106" s="1" t="s">
        <v>0</v>
      </c>
      <c r="B106" s="2"/>
      <c r="C106" s="2"/>
      <c r="D106" s="2" t="s">
        <v>1</v>
      </c>
    </row>
    <row r="107" spans="1:6" x14ac:dyDescent="0.25">
      <c r="A107" s="1" t="s">
        <v>3</v>
      </c>
      <c r="B107" s="2" t="s">
        <v>1</v>
      </c>
      <c r="C107" s="2"/>
      <c r="D107" s="2"/>
    </row>
    <row r="108" spans="1:6" x14ac:dyDescent="0.25">
      <c r="A108" s="1" t="s">
        <v>5</v>
      </c>
      <c r="B108" s="2" t="s">
        <v>1</v>
      </c>
      <c r="C108" s="2"/>
      <c r="D108" s="2"/>
    </row>
    <row r="109" spans="1:6" x14ac:dyDescent="0.25">
      <c r="A109" s="1" t="s">
        <v>7</v>
      </c>
      <c r="B109" s="2" t="s">
        <v>1</v>
      </c>
      <c r="C109" s="2"/>
      <c r="D109" s="2"/>
    </row>
    <row r="110" spans="1:6" x14ac:dyDescent="0.25">
      <c r="A110" s="1" t="s">
        <v>8</v>
      </c>
      <c r="B110" s="2" t="s">
        <v>1</v>
      </c>
      <c r="C110" s="2"/>
      <c r="D110" s="2"/>
    </row>
    <row r="111" spans="1:6" x14ac:dyDescent="0.25">
      <c r="A111" s="1" t="s">
        <v>10</v>
      </c>
      <c r="B111" s="2" t="s">
        <v>1</v>
      </c>
      <c r="C111" s="2"/>
      <c r="D111" s="2"/>
    </row>
    <row r="112" spans="1:6" x14ac:dyDescent="0.25">
      <c r="B112">
        <f>COUNTIF(B106:B111,"x")*3</f>
        <v>15</v>
      </c>
      <c r="C112">
        <f>COUNTIF(C106:C111,"x")*2</f>
        <v>0</v>
      </c>
      <c r="D112">
        <f>COUNTIF(D106:D111,"x")</f>
        <v>1</v>
      </c>
    </row>
    <row r="113" spans="1:6" x14ac:dyDescent="0.25">
      <c r="F113" t="s">
        <v>12</v>
      </c>
    </row>
    <row r="114" spans="1:6" x14ac:dyDescent="0.25">
      <c r="D114" t="s">
        <v>14</v>
      </c>
      <c r="E114" s="8">
        <f>SUM(B112:D112)</f>
        <v>16</v>
      </c>
      <c r="F114" t="s">
        <v>15</v>
      </c>
    </row>
    <row r="115" spans="1:6" x14ac:dyDescent="0.25">
      <c r="F115" t="s">
        <v>17</v>
      </c>
    </row>
    <row r="118" spans="1:6" x14ac:dyDescent="0.25">
      <c r="A118" s="1">
        <v>10</v>
      </c>
      <c r="B118" s="1">
        <v>1</v>
      </c>
      <c r="C118" s="1">
        <v>2</v>
      </c>
      <c r="D118" s="1">
        <v>3</v>
      </c>
    </row>
    <row r="119" spans="1:6" x14ac:dyDescent="0.25">
      <c r="A119" s="1" t="s">
        <v>0</v>
      </c>
      <c r="B119" s="2"/>
      <c r="C119" s="2" t="s">
        <v>1</v>
      </c>
      <c r="D119" s="2"/>
    </row>
    <row r="120" spans="1:6" x14ac:dyDescent="0.25">
      <c r="A120" s="1" t="s">
        <v>3</v>
      </c>
      <c r="B120" s="2" t="s">
        <v>1</v>
      </c>
      <c r="C120" s="2"/>
      <c r="D120" s="2"/>
    </row>
    <row r="121" spans="1:6" x14ac:dyDescent="0.25">
      <c r="A121" s="1" t="s">
        <v>5</v>
      </c>
      <c r="B121" s="2" t="s">
        <v>1</v>
      </c>
      <c r="C121" s="2"/>
      <c r="D121" s="2"/>
    </row>
    <row r="122" spans="1:6" x14ac:dyDescent="0.25">
      <c r="A122" s="1" t="s">
        <v>7</v>
      </c>
      <c r="B122" s="2" t="s">
        <v>1</v>
      </c>
      <c r="C122" s="2"/>
      <c r="D122" s="2"/>
    </row>
    <row r="123" spans="1:6" x14ac:dyDescent="0.25">
      <c r="A123" s="1" t="s">
        <v>8</v>
      </c>
      <c r="B123" s="2" t="s">
        <v>1</v>
      </c>
      <c r="C123" s="2"/>
      <c r="D123" s="2"/>
    </row>
    <row r="124" spans="1:6" x14ac:dyDescent="0.25">
      <c r="A124" s="1" t="s">
        <v>10</v>
      </c>
      <c r="B124" s="2" t="s">
        <v>1</v>
      </c>
      <c r="C124" s="2"/>
      <c r="D124" s="2"/>
    </row>
    <row r="125" spans="1:6" x14ac:dyDescent="0.25">
      <c r="B125">
        <f>COUNTIF(B119:B124,"x")*3</f>
        <v>15</v>
      </c>
      <c r="C125">
        <f>COUNTIF(C119:C124,"x")*2</f>
        <v>2</v>
      </c>
      <c r="D125">
        <f>COUNTIF(D119:D124,"x")</f>
        <v>0</v>
      </c>
    </row>
    <row r="126" spans="1:6" x14ac:dyDescent="0.25">
      <c r="F126" t="s">
        <v>12</v>
      </c>
    </row>
    <row r="127" spans="1:6" x14ac:dyDescent="0.25">
      <c r="D127" t="s">
        <v>14</v>
      </c>
      <c r="E127" s="8">
        <f>SUM(B125:D125)</f>
        <v>17</v>
      </c>
      <c r="F127" t="s">
        <v>15</v>
      </c>
    </row>
    <row r="128" spans="1:6" x14ac:dyDescent="0.25">
      <c r="F128" t="s">
        <v>17</v>
      </c>
    </row>
    <row r="131" spans="1:6" x14ac:dyDescent="0.25">
      <c r="A131" s="1">
        <v>11</v>
      </c>
      <c r="B131" s="1">
        <v>1</v>
      </c>
      <c r="C131" s="1">
        <v>2</v>
      </c>
      <c r="D131" s="1">
        <v>3</v>
      </c>
    </row>
    <row r="132" spans="1:6" x14ac:dyDescent="0.25">
      <c r="A132" s="1" t="s">
        <v>0</v>
      </c>
      <c r="B132" s="2"/>
      <c r="C132" s="2" t="s">
        <v>1</v>
      </c>
      <c r="D132" s="2"/>
    </row>
    <row r="133" spans="1:6" x14ac:dyDescent="0.25">
      <c r="A133" s="1" t="s">
        <v>3</v>
      </c>
      <c r="B133" s="2" t="s">
        <v>1</v>
      </c>
      <c r="C133" s="2"/>
      <c r="D133" s="2"/>
    </row>
    <row r="134" spans="1:6" x14ac:dyDescent="0.25">
      <c r="A134" s="1" t="s">
        <v>5</v>
      </c>
      <c r="B134" s="2" t="s">
        <v>1</v>
      </c>
      <c r="C134" s="2"/>
      <c r="D134" s="2"/>
    </row>
    <row r="135" spans="1:6" x14ac:dyDescent="0.25">
      <c r="A135" s="1" t="s">
        <v>7</v>
      </c>
      <c r="B135" s="2" t="s">
        <v>1</v>
      </c>
      <c r="C135" s="2"/>
      <c r="D135" s="2"/>
    </row>
    <row r="136" spans="1:6" x14ac:dyDescent="0.25">
      <c r="A136" s="1" t="s">
        <v>8</v>
      </c>
      <c r="B136" s="2" t="s">
        <v>1</v>
      </c>
      <c r="C136" s="2"/>
      <c r="D136" s="2"/>
    </row>
    <row r="137" spans="1:6" x14ac:dyDescent="0.25">
      <c r="A137" s="1" t="s">
        <v>10</v>
      </c>
      <c r="B137" s="2" t="s">
        <v>1</v>
      </c>
      <c r="C137" s="2"/>
      <c r="D137" s="2"/>
    </row>
    <row r="138" spans="1:6" x14ac:dyDescent="0.25">
      <c r="B138">
        <f>COUNTIF(B132:B137,"x")*3</f>
        <v>15</v>
      </c>
      <c r="C138">
        <f>COUNTIF(C132:C137,"x")*2</f>
        <v>2</v>
      </c>
      <c r="D138">
        <f>COUNTIF(D132:D137,"x")</f>
        <v>0</v>
      </c>
    </row>
    <row r="139" spans="1:6" x14ac:dyDescent="0.25">
      <c r="F139" t="s">
        <v>12</v>
      </c>
    </row>
    <row r="140" spans="1:6" x14ac:dyDescent="0.25">
      <c r="D140" t="s">
        <v>14</v>
      </c>
      <c r="E140" s="8">
        <f>SUM(B138:D138)</f>
        <v>17</v>
      </c>
      <c r="F140" t="s">
        <v>15</v>
      </c>
    </row>
    <row r="141" spans="1:6" x14ac:dyDescent="0.25">
      <c r="F141" t="s">
        <v>17</v>
      </c>
    </row>
    <row r="144" spans="1:6" x14ac:dyDescent="0.25">
      <c r="A144" s="1">
        <v>12</v>
      </c>
      <c r="B144" s="1">
        <v>1</v>
      </c>
      <c r="C144" s="1">
        <v>2</v>
      </c>
      <c r="D144" s="1">
        <v>3</v>
      </c>
    </row>
    <row r="145" spans="1:6" x14ac:dyDescent="0.25">
      <c r="A145" s="1" t="s">
        <v>0</v>
      </c>
      <c r="B145" s="2"/>
      <c r="C145" s="2" t="s">
        <v>1</v>
      </c>
      <c r="D145" s="2"/>
    </row>
    <row r="146" spans="1:6" x14ac:dyDescent="0.25">
      <c r="A146" s="1" t="s">
        <v>3</v>
      </c>
      <c r="B146" s="2"/>
      <c r="C146" s="2" t="s">
        <v>1</v>
      </c>
      <c r="D146" s="2"/>
    </row>
    <row r="147" spans="1:6" x14ac:dyDescent="0.25">
      <c r="A147" s="1" t="s">
        <v>5</v>
      </c>
      <c r="B147" s="2"/>
      <c r="C147" s="2" t="s">
        <v>1</v>
      </c>
      <c r="D147" s="2"/>
    </row>
    <row r="148" spans="1:6" x14ac:dyDescent="0.25">
      <c r="A148" s="1" t="s">
        <v>7</v>
      </c>
      <c r="B148" s="2" t="s">
        <v>1</v>
      </c>
      <c r="C148" s="2"/>
      <c r="D148" s="2"/>
    </row>
    <row r="149" spans="1:6" x14ac:dyDescent="0.25">
      <c r="A149" s="1" t="s">
        <v>8</v>
      </c>
      <c r="B149" s="2"/>
      <c r="C149" s="2" t="s">
        <v>1</v>
      </c>
      <c r="D149" s="2"/>
    </row>
    <row r="150" spans="1:6" x14ac:dyDescent="0.25">
      <c r="A150" s="1" t="s">
        <v>10</v>
      </c>
      <c r="B150" s="2" t="s">
        <v>1</v>
      </c>
      <c r="C150" s="2"/>
      <c r="D150" s="2"/>
    </row>
    <row r="151" spans="1:6" x14ac:dyDescent="0.25">
      <c r="B151">
        <f>COUNTIF(B145:B150,"x")*3</f>
        <v>6</v>
      </c>
      <c r="C151">
        <f>COUNTIF(C145:C150,"x")*2</f>
        <v>8</v>
      </c>
      <c r="D151">
        <f>COUNTIF(D145:D150,"x")</f>
        <v>0</v>
      </c>
    </row>
    <row r="152" spans="1:6" x14ac:dyDescent="0.25">
      <c r="F152" t="s">
        <v>12</v>
      </c>
    </row>
    <row r="153" spans="1:6" x14ac:dyDescent="0.25">
      <c r="D153" t="s">
        <v>14</v>
      </c>
      <c r="E153" s="8">
        <f>SUM(B151:D151)</f>
        <v>14</v>
      </c>
      <c r="F153" t="s">
        <v>15</v>
      </c>
    </row>
    <row r="154" spans="1:6" x14ac:dyDescent="0.25">
      <c r="F154" t="s">
        <v>17</v>
      </c>
    </row>
    <row r="157" spans="1:6" x14ac:dyDescent="0.25">
      <c r="A157" s="1">
        <v>13</v>
      </c>
      <c r="B157" s="1">
        <v>1</v>
      </c>
      <c r="C157" s="1">
        <v>2</v>
      </c>
      <c r="D157" s="1">
        <v>3</v>
      </c>
    </row>
    <row r="158" spans="1:6" x14ac:dyDescent="0.25">
      <c r="A158" s="1" t="s">
        <v>0</v>
      </c>
      <c r="B158" s="2"/>
      <c r="C158" s="2"/>
      <c r="D158" s="2" t="s">
        <v>1</v>
      </c>
    </row>
    <row r="159" spans="1:6" x14ac:dyDescent="0.25">
      <c r="A159" s="1" t="s">
        <v>3</v>
      </c>
      <c r="B159" s="2"/>
      <c r="C159" s="2" t="s">
        <v>1</v>
      </c>
      <c r="D159" s="2"/>
    </row>
    <row r="160" spans="1:6" x14ac:dyDescent="0.25">
      <c r="A160" s="1" t="s">
        <v>5</v>
      </c>
      <c r="B160" s="2"/>
      <c r="C160" s="2" t="s">
        <v>1</v>
      </c>
      <c r="D160" s="2"/>
    </row>
    <row r="161" spans="1:6" x14ac:dyDescent="0.25">
      <c r="A161" s="1" t="s">
        <v>7</v>
      </c>
      <c r="B161" s="2" t="s">
        <v>1</v>
      </c>
      <c r="C161" s="2"/>
      <c r="D161" s="2"/>
    </row>
    <row r="162" spans="1:6" x14ac:dyDescent="0.25">
      <c r="A162" s="1" t="s">
        <v>8</v>
      </c>
      <c r="B162" s="2"/>
      <c r="C162" s="2" t="s">
        <v>1</v>
      </c>
      <c r="D162" s="2"/>
    </row>
    <row r="163" spans="1:6" x14ac:dyDescent="0.25">
      <c r="A163" s="1" t="s">
        <v>10</v>
      </c>
      <c r="B163" s="2" t="s">
        <v>1</v>
      </c>
      <c r="C163" s="2"/>
      <c r="D163" s="2"/>
    </row>
    <row r="164" spans="1:6" x14ac:dyDescent="0.25">
      <c r="B164">
        <f>COUNTIF(B158:B163,"x")*3</f>
        <v>6</v>
      </c>
      <c r="C164">
        <f>COUNTIF(C158:C163,"x")*2</f>
        <v>6</v>
      </c>
      <c r="D164">
        <f>COUNTIF(D158:D163,"x")</f>
        <v>1</v>
      </c>
    </row>
    <row r="165" spans="1:6" x14ac:dyDescent="0.25">
      <c r="F165" t="s">
        <v>12</v>
      </c>
    </row>
    <row r="166" spans="1:6" x14ac:dyDescent="0.25">
      <c r="D166" t="s">
        <v>14</v>
      </c>
      <c r="E166" s="8">
        <f>SUM(B164:D164)</f>
        <v>13</v>
      </c>
      <c r="F166" t="s">
        <v>15</v>
      </c>
    </row>
    <row r="167" spans="1:6" x14ac:dyDescent="0.25">
      <c r="F167" t="s">
        <v>17</v>
      </c>
    </row>
    <row r="170" spans="1:6" x14ac:dyDescent="0.25">
      <c r="A170" s="1">
        <v>14</v>
      </c>
      <c r="B170" s="1">
        <v>1</v>
      </c>
      <c r="C170" s="1">
        <v>2</v>
      </c>
      <c r="D170" s="1">
        <v>3</v>
      </c>
    </row>
    <row r="171" spans="1:6" x14ac:dyDescent="0.25">
      <c r="A171" s="1" t="s">
        <v>0</v>
      </c>
      <c r="B171" s="2"/>
      <c r="C171" s="2"/>
      <c r="D171" s="2"/>
    </row>
    <row r="172" spans="1:6" x14ac:dyDescent="0.25">
      <c r="A172" s="1" t="s">
        <v>3</v>
      </c>
      <c r="B172" s="2"/>
      <c r="C172" s="2"/>
      <c r="D172" s="2"/>
    </row>
    <row r="173" spans="1:6" x14ac:dyDescent="0.25">
      <c r="A173" s="1" t="s">
        <v>5</v>
      </c>
      <c r="B173" s="2"/>
      <c r="C173" s="2"/>
      <c r="D173" s="2"/>
    </row>
    <row r="174" spans="1:6" x14ac:dyDescent="0.25">
      <c r="A174" s="1" t="s">
        <v>7</v>
      </c>
      <c r="B174" s="2"/>
      <c r="C174" s="2"/>
      <c r="D174" s="2"/>
    </row>
    <row r="175" spans="1:6" x14ac:dyDescent="0.25">
      <c r="A175" s="1" t="s">
        <v>8</v>
      </c>
      <c r="B175" s="2"/>
      <c r="C175" s="2"/>
      <c r="D175" s="2"/>
    </row>
    <row r="176" spans="1:6" x14ac:dyDescent="0.25">
      <c r="A176" s="1" t="s">
        <v>10</v>
      </c>
      <c r="B176" s="2"/>
      <c r="C176" s="2"/>
      <c r="D176" s="2"/>
    </row>
    <row r="177" spans="1:6" x14ac:dyDescent="0.25">
      <c r="B177">
        <f>COUNTIF(B171:B176,"x")*3</f>
        <v>0</v>
      </c>
      <c r="C177">
        <f>COUNTIF(C171:C176,"x")*2</f>
        <v>0</v>
      </c>
      <c r="D177">
        <f>COUNTIF(D171:D176,"x")</f>
        <v>0</v>
      </c>
    </row>
    <row r="178" spans="1:6" x14ac:dyDescent="0.25">
      <c r="F178" t="s">
        <v>12</v>
      </c>
    </row>
    <row r="179" spans="1:6" x14ac:dyDescent="0.25">
      <c r="D179" t="s">
        <v>14</v>
      </c>
      <c r="E179" s="8">
        <f>SUM(B177:D177)</f>
        <v>0</v>
      </c>
      <c r="F179" t="s">
        <v>15</v>
      </c>
    </row>
    <row r="180" spans="1:6" x14ac:dyDescent="0.25">
      <c r="F180" t="s">
        <v>17</v>
      </c>
    </row>
    <row r="183" spans="1:6" x14ac:dyDescent="0.25">
      <c r="A183" s="1">
        <v>15</v>
      </c>
      <c r="B183" s="1">
        <v>1</v>
      </c>
      <c r="C183" s="1">
        <v>2</v>
      </c>
      <c r="D183" s="1">
        <v>3</v>
      </c>
    </row>
    <row r="184" spans="1:6" x14ac:dyDescent="0.25">
      <c r="A184" s="1" t="s">
        <v>0</v>
      </c>
      <c r="B184" s="2"/>
      <c r="C184" s="2"/>
      <c r="D184" s="2"/>
    </row>
    <row r="185" spans="1:6" x14ac:dyDescent="0.25">
      <c r="A185" s="1" t="s">
        <v>3</v>
      </c>
      <c r="B185" s="2"/>
      <c r="C185" s="2"/>
      <c r="D185" s="2"/>
    </row>
    <row r="186" spans="1:6" x14ac:dyDescent="0.25">
      <c r="A186" s="1" t="s">
        <v>5</v>
      </c>
      <c r="B186" s="2"/>
      <c r="C186" s="2"/>
      <c r="D186" s="2"/>
    </row>
    <row r="187" spans="1:6" x14ac:dyDescent="0.25">
      <c r="A187" s="1" t="s">
        <v>7</v>
      </c>
      <c r="B187" s="2"/>
      <c r="C187" s="2"/>
      <c r="D187" s="2"/>
    </row>
    <row r="188" spans="1:6" x14ac:dyDescent="0.25">
      <c r="A188" s="1" t="s">
        <v>8</v>
      </c>
      <c r="B188" s="2"/>
      <c r="C188" s="2"/>
      <c r="D188" s="2"/>
    </row>
    <row r="189" spans="1:6" x14ac:dyDescent="0.25">
      <c r="A189" s="1" t="s">
        <v>10</v>
      </c>
      <c r="B189" s="2"/>
      <c r="C189" s="2"/>
      <c r="D189" s="2"/>
    </row>
    <row r="190" spans="1:6" x14ac:dyDescent="0.25">
      <c r="B190">
        <f>COUNTIF(B184:B189,"x")*3</f>
        <v>0</v>
      </c>
      <c r="C190">
        <f>COUNTIF(C184:C189,"x")*2</f>
        <v>0</v>
      </c>
      <c r="D190">
        <f>COUNTIF(D184:D189,"x")</f>
        <v>0</v>
      </c>
    </row>
    <row r="191" spans="1:6" x14ac:dyDescent="0.25">
      <c r="F191" t="s">
        <v>12</v>
      </c>
    </row>
    <row r="192" spans="1:6" x14ac:dyDescent="0.25">
      <c r="D192" t="s">
        <v>14</v>
      </c>
      <c r="E192" s="8">
        <f>SUM(B190:D190)</f>
        <v>0</v>
      </c>
      <c r="F192" t="s">
        <v>15</v>
      </c>
    </row>
    <row r="193" spans="1:6" x14ac:dyDescent="0.25">
      <c r="F193" t="s">
        <v>17</v>
      </c>
    </row>
    <row r="194" spans="1:6" x14ac:dyDescent="0.25">
      <c r="A194" s="1">
        <v>16</v>
      </c>
      <c r="B194" s="1">
        <v>1</v>
      </c>
      <c r="C194" s="1">
        <v>2</v>
      </c>
      <c r="D194" s="1">
        <v>3</v>
      </c>
    </row>
    <row r="195" spans="1:6" x14ac:dyDescent="0.25">
      <c r="A195" s="1" t="s">
        <v>0</v>
      </c>
      <c r="B195" s="2"/>
      <c r="C195" s="2"/>
      <c r="D195" s="2"/>
    </row>
    <row r="196" spans="1:6" x14ac:dyDescent="0.25">
      <c r="A196" s="1" t="s">
        <v>3</v>
      </c>
      <c r="B196" s="2"/>
      <c r="C196" s="2"/>
      <c r="D196" s="2"/>
    </row>
    <row r="197" spans="1:6" x14ac:dyDescent="0.25">
      <c r="A197" s="1" t="s">
        <v>5</v>
      </c>
      <c r="B197" s="2"/>
      <c r="C197" s="2"/>
      <c r="D197" s="2"/>
    </row>
    <row r="198" spans="1:6" x14ac:dyDescent="0.25">
      <c r="A198" s="1" t="s">
        <v>7</v>
      </c>
      <c r="B198" s="2"/>
      <c r="C198" s="2"/>
      <c r="D198" s="2"/>
    </row>
    <row r="199" spans="1:6" x14ac:dyDescent="0.25">
      <c r="A199" s="1" t="s">
        <v>8</v>
      </c>
      <c r="B199" s="2"/>
      <c r="C199" s="2"/>
      <c r="D199" s="2"/>
    </row>
    <row r="200" spans="1:6" x14ac:dyDescent="0.25">
      <c r="A200" s="1" t="s">
        <v>10</v>
      </c>
      <c r="B200" s="2"/>
      <c r="C200" s="2"/>
      <c r="D200" s="2"/>
    </row>
    <row r="201" spans="1:6" x14ac:dyDescent="0.25">
      <c r="B201">
        <f>COUNTIF(B195:B200,"x")*3</f>
        <v>0</v>
      </c>
      <c r="C201">
        <f>COUNTIF(C195:C200,"x")*2</f>
        <v>0</v>
      </c>
      <c r="D201">
        <f>COUNTIF(D195:D200,"x")</f>
        <v>0</v>
      </c>
    </row>
    <row r="202" spans="1:6" x14ac:dyDescent="0.25">
      <c r="F202" t="s">
        <v>12</v>
      </c>
    </row>
    <row r="203" spans="1:6" x14ac:dyDescent="0.25">
      <c r="D203" t="s">
        <v>14</v>
      </c>
      <c r="E203" s="8">
        <f>SUM(B201:D201)</f>
        <v>0</v>
      </c>
      <c r="F203" t="s">
        <v>15</v>
      </c>
    </row>
    <row r="204" spans="1:6" x14ac:dyDescent="0.25">
      <c r="F204" t="s">
        <v>17</v>
      </c>
    </row>
    <row r="205" spans="1:6" x14ac:dyDescent="0.25">
      <c r="A205" s="1">
        <v>17</v>
      </c>
      <c r="B205" s="1">
        <v>1</v>
      </c>
      <c r="C205" s="1">
        <v>2</v>
      </c>
      <c r="D205" s="1">
        <v>3</v>
      </c>
    </row>
    <row r="206" spans="1:6" x14ac:dyDescent="0.25">
      <c r="A206" s="1" t="s">
        <v>0</v>
      </c>
      <c r="B206" s="2"/>
      <c r="C206" s="2"/>
      <c r="D206" s="2"/>
    </row>
    <row r="207" spans="1:6" x14ac:dyDescent="0.25">
      <c r="A207" s="1" t="s">
        <v>3</v>
      </c>
      <c r="B207" s="2"/>
      <c r="C207" s="2"/>
      <c r="D207" s="2"/>
    </row>
    <row r="208" spans="1:6" x14ac:dyDescent="0.25">
      <c r="A208" s="1" t="s">
        <v>5</v>
      </c>
      <c r="B208" s="2"/>
      <c r="C208" s="2"/>
      <c r="D208" s="2"/>
    </row>
    <row r="209" spans="1:6" x14ac:dyDescent="0.25">
      <c r="A209" s="1" t="s">
        <v>7</v>
      </c>
      <c r="B209" s="2"/>
      <c r="C209" s="2"/>
      <c r="D209" s="2"/>
    </row>
    <row r="210" spans="1:6" x14ac:dyDescent="0.25">
      <c r="A210" s="1" t="s">
        <v>8</v>
      </c>
      <c r="B210" s="2"/>
      <c r="C210" s="2"/>
      <c r="D210" s="2"/>
    </row>
    <row r="211" spans="1:6" x14ac:dyDescent="0.25">
      <c r="A211" s="1" t="s">
        <v>10</v>
      </c>
      <c r="B211" s="2"/>
      <c r="C211" s="2"/>
      <c r="D211" s="2"/>
    </row>
    <row r="212" spans="1:6" x14ac:dyDescent="0.25">
      <c r="B212">
        <f>COUNTIF(B206:B211,"x")*3</f>
        <v>0</v>
      </c>
      <c r="C212">
        <f>COUNTIF(C206:C211,"x")*2</f>
        <v>0</v>
      </c>
      <c r="D212">
        <f>COUNTIF(D206:D211,"x")</f>
        <v>0</v>
      </c>
    </row>
    <row r="213" spans="1:6" x14ac:dyDescent="0.25">
      <c r="F213" t="s">
        <v>12</v>
      </c>
    </row>
    <row r="214" spans="1:6" x14ac:dyDescent="0.25">
      <c r="D214" t="s">
        <v>14</v>
      </c>
      <c r="E214" s="8">
        <f>SUM(B212:D212)</f>
        <v>0</v>
      </c>
      <c r="F214" t="s">
        <v>15</v>
      </c>
    </row>
    <row r="215" spans="1:6" x14ac:dyDescent="0.25">
      <c r="F215" t="s">
        <v>17</v>
      </c>
    </row>
    <row r="216" spans="1:6" x14ac:dyDescent="0.25">
      <c r="A216" s="1">
        <v>18</v>
      </c>
      <c r="B216" s="1">
        <v>1</v>
      </c>
      <c r="C216" s="1">
        <v>2</v>
      </c>
      <c r="D216" s="1">
        <v>3</v>
      </c>
    </row>
    <row r="217" spans="1:6" x14ac:dyDescent="0.25">
      <c r="A217" s="1" t="s">
        <v>0</v>
      </c>
      <c r="B217" s="2"/>
      <c r="C217" s="2"/>
      <c r="D217" s="2"/>
    </row>
    <row r="218" spans="1:6" x14ac:dyDescent="0.25">
      <c r="A218" s="1" t="s">
        <v>3</v>
      </c>
      <c r="B218" s="2"/>
      <c r="C218" s="2"/>
      <c r="D218" s="2"/>
    </row>
    <row r="219" spans="1:6" x14ac:dyDescent="0.25">
      <c r="A219" s="1" t="s">
        <v>5</v>
      </c>
      <c r="B219" s="2"/>
      <c r="C219" s="2"/>
      <c r="D219" s="2"/>
    </row>
    <row r="220" spans="1:6" x14ac:dyDescent="0.25">
      <c r="A220" s="1" t="s">
        <v>7</v>
      </c>
      <c r="B220" s="2"/>
      <c r="C220" s="2"/>
      <c r="D220" s="2"/>
    </row>
    <row r="221" spans="1:6" x14ac:dyDescent="0.25">
      <c r="A221" s="1" t="s">
        <v>8</v>
      </c>
      <c r="B221" s="2"/>
      <c r="C221" s="2"/>
      <c r="D221" s="2"/>
    </row>
    <row r="222" spans="1:6" x14ac:dyDescent="0.25">
      <c r="A222" s="1" t="s">
        <v>10</v>
      </c>
      <c r="B222" s="2"/>
      <c r="C222" s="2"/>
      <c r="D222" s="2"/>
    </row>
    <row r="223" spans="1:6" x14ac:dyDescent="0.25">
      <c r="B223">
        <f>COUNTIF(B217:B222,"x")*3</f>
        <v>0</v>
      </c>
      <c r="C223">
        <f>COUNTIF(C217:C222,"x")*2</f>
        <v>0</v>
      </c>
      <c r="D223">
        <f>COUNTIF(D217:D222,"x")</f>
        <v>0</v>
      </c>
    </row>
    <row r="224" spans="1:6" x14ac:dyDescent="0.25">
      <c r="F224" t="s">
        <v>12</v>
      </c>
    </row>
    <row r="225" spans="1:6" x14ac:dyDescent="0.25">
      <c r="D225" t="s">
        <v>14</v>
      </c>
      <c r="E225" s="8">
        <f>SUM(B223:D223)</f>
        <v>0</v>
      </c>
      <c r="F225" t="s">
        <v>15</v>
      </c>
    </row>
    <row r="226" spans="1:6" x14ac:dyDescent="0.25">
      <c r="F226" t="s">
        <v>17</v>
      </c>
    </row>
    <row r="227" spans="1:6" x14ac:dyDescent="0.25">
      <c r="A227" s="1">
        <v>19</v>
      </c>
      <c r="B227" s="1">
        <v>1</v>
      </c>
      <c r="C227" s="1">
        <v>2</v>
      </c>
      <c r="D227" s="1">
        <v>3</v>
      </c>
    </row>
    <row r="228" spans="1:6" x14ac:dyDescent="0.25">
      <c r="A228" s="1" t="s">
        <v>0</v>
      </c>
      <c r="B228" s="2"/>
      <c r="C228" s="2"/>
      <c r="D228" s="2"/>
    </row>
    <row r="229" spans="1:6" x14ac:dyDescent="0.25">
      <c r="A229" s="1" t="s">
        <v>3</v>
      </c>
      <c r="B229" s="2"/>
      <c r="C229" s="2"/>
      <c r="D229" s="2"/>
    </row>
    <row r="230" spans="1:6" x14ac:dyDescent="0.25">
      <c r="A230" s="1" t="s">
        <v>5</v>
      </c>
      <c r="B230" s="2"/>
      <c r="C230" s="2"/>
      <c r="D230" s="2"/>
    </row>
    <row r="231" spans="1:6" x14ac:dyDescent="0.25">
      <c r="A231" s="1" t="s">
        <v>7</v>
      </c>
      <c r="B231" s="2"/>
      <c r="C231" s="2"/>
      <c r="D231" s="2"/>
    </row>
    <row r="232" spans="1:6" x14ac:dyDescent="0.25">
      <c r="A232" s="1" t="s">
        <v>8</v>
      </c>
      <c r="B232" s="2"/>
      <c r="C232" s="2"/>
      <c r="D232" s="2"/>
    </row>
    <row r="233" spans="1:6" x14ac:dyDescent="0.25">
      <c r="A233" s="1" t="s">
        <v>10</v>
      </c>
      <c r="B233" s="2"/>
      <c r="C233" s="2"/>
      <c r="D233" s="2"/>
    </row>
    <row r="234" spans="1:6" x14ac:dyDescent="0.25">
      <c r="B234">
        <f>COUNTIF(B228:B233,"x")*3</f>
        <v>0</v>
      </c>
      <c r="C234">
        <f>COUNTIF(C228:C233,"x")*2</f>
        <v>0</v>
      </c>
      <c r="D234">
        <f>COUNTIF(D228:D233,"x")</f>
        <v>0</v>
      </c>
    </row>
    <row r="235" spans="1:6" x14ac:dyDescent="0.25">
      <c r="F235" t="s">
        <v>12</v>
      </c>
    </row>
    <row r="236" spans="1:6" x14ac:dyDescent="0.25">
      <c r="D236" t="s">
        <v>14</v>
      </c>
      <c r="E236" s="8">
        <f>SUM(B234:D234)</f>
        <v>0</v>
      </c>
      <c r="F236" t="s">
        <v>15</v>
      </c>
    </row>
    <row r="237" spans="1:6" x14ac:dyDescent="0.25">
      <c r="F237" t="s">
        <v>17</v>
      </c>
    </row>
    <row r="238" spans="1:6" x14ac:dyDescent="0.25">
      <c r="A238" s="1">
        <v>20</v>
      </c>
      <c r="B238" s="1">
        <v>1</v>
      </c>
      <c r="C238" s="1">
        <v>2</v>
      </c>
      <c r="D238" s="1">
        <v>3</v>
      </c>
    </row>
    <row r="239" spans="1:6" x14ac:dyDescent="0.25">
      <c r="A239" s="1" t="s">
        <v>0</v>
      </c>
      <c r="B239" s="2"/>
      <c r="C239" s="2"/>
      <c r="D239" s="2"/>
    </row>
    <row r="240" spans="1:6" x14ac:dyDescent="0.25">
      <c r="A240" s="1" t="s">
        <v>3</v>
      </c>
      <c r="B240" s="2"/>
      <c r="C240" s="2"/>
      <c r="D240" s="2"/>
    </row>
    <row r="241" spans="1:6" x14ac:dyDescent="0.25">
      <c r="A241" s="1" t="s">
        <v>5</v>
      </c>
      <c r="B241" s="2"/>
      <c r="C241" s="2"/>
      <c r="D241" s="2"/>
    </row>
    <row r="242" spans="1:6" x14ac:dyDescent="0.25">
      <c r="A242" s="1" t="s">
        <v>7</v>
      </c>
      <c r="B242" s="2"/>
      <c r="C242" s="2"/>
      <c r="D242" s="2"/>
    </row>
    <row r="243" spans="1:6" x14ac:dyDescent="0.25">
      <c r="A243" s="1" t="s">
        <v>8</v>
      </c>
      <c r="B243" s="2"/>
      <c r="C243" s="2"/>
      <c r="D243" s="2"/>
    </row>
    <row r="244" spans="1:6" x14ac:dyDescent="0.25">
      <c r="A244" s="1" t="s">
        <v>10</v>
      </c>
      <c r="B244" s="2"/>
      <c r="C244" s="2"/>
      <c r="D244" s="2"/>
    </row>
    <row r="245" spans="1:6" x14ac:dyDescent="0.25">
      <c r="B245">
        <f>COUNTIF(B239:B244,"x")*3</f>
        <v>0</v>
      </c>
      <c r="C245">
        <f>COUNTIF(C239:C244,"x")*2</f>
        <v>0</v>
      </c>
      <c r="D245">
        <f>COUNTIF(D239:D244,"x")</f>
        <v>0</v>
      </c>
    </row>
    <row r="246" spans="1:6" x14ac:dyDescent="0.25">
      <c r="F246" t="s">
        <v>12</v>
      </c>
    </row>
    <row r="247" spans="1:6" x14ac:dyDescent="0.25">
      <c r="D247" t="s">
        <v>14</v>
      </c>
      <c r="E247" s="8">
        <f>SUM(B245:D245)</f>
        <v>0</v>
      </c>
      <c r="F247" t="s">
        <v>15</v>
      </c>
    </row>
    <row r="248" spans="1:6" x14ac:dyDescent="0.25">
      <c r="F248" t="s">
        <v>17</v>
      </c>
    </row>
    <row r="249" spans="1:6" x14ac:dyDescent="0.25">
      <c r="A249" s="1">
        <v>21</v>
      </c>
      <c r="B249" s="1">
        <v>1</v>
      </c>
      <c r="C249" s="1">
        <v>2</v>
      </c>
      <c r="D249" s="1">
        <v>3</v>
      </c>
    </row>
    <row r="250" spans="1:6" x14ac:dyDescent="0.25">
      <c r="A250" s="1" t="s">
        <v>0</v>
      </c>
      <c r="B250" s="2"/>
      <c r="C250" s="2"/>
      <c r="D250" s="2"/>
    </row>
    <row r="251" spans="1:6" x14ac:dyDescent="0.25">
      <c r="A251" s="1" t="s">
        <v>3</v>
      </c>
      <c r="B251" s="2"/>
      <c r="C251" s="2"/>
      <c r="D251" s="2"/>
    </row>
    <row r="252" spans="1:6" x14ac:dyDescent="0.25">
      <c r="A252" s="1" t="s">
        <v>5</v>
      </c>
      <c r="B252" s="2"/>
      <c r="C252" s="2"/>
      <c r="D252" s="2"/>
    </row>
    <row r="253" spans="1:6" x14ac:dyDescent="0.25">
      <c r="A253" s="1" t="s">
        <v>7</v>
      </c>
      <c r="B253" s="2"/>
      <c r="C253" s="2"/>
      <c r="D253" s="2"/>
    </row>
    <row r="254" spans="1:6" x14ac:dyDescent="0.25">
      <c r="A254" s="1" t="s">
        <v>8</v>
      </c>
      <c r="B254" s="2"/>
      <c r="C254" s="2"/>
      <c r="D254" s="2"/>
    </row>
    <row r="255" spans="1:6" x14ac:dyDescent="0.25">
      <c r="A255" s="1" t="s">
        <v>10</v>
      </c>
      <c r="B255" s="2"/>
      <c r="C255" s="2"/>
      <c r="D255" s="2"/>
    </row>
    <row r="256" spans="1:6" x14ac:dyDescent="0.25">
      <c r="B256">
        <f>COUNTIF(B250:B255,"x")*3</f>
        <v>0</v>
      </c>
      <c r="C256">
        <f>COUNTIF(C250:C255,"x")*2</f>
        <v>0</v>
      </c>
      <c r="D256">
        <f>COUNTIF(D250:D255,"x")</f>
        <v>0</v>
      </c>
    </row>
    <row r="257" spans="1:6" x14ac:dyDescent="0.25">
      <c r="F257" t="s">
        <v>12</v>
      </c>
    </row>
    <row r="258" spans="1:6" x14ac:dyDescent="0.25">
      <c r="D258" t="s">
        <v>14</v>
      </c>
      <c r="E258" s="8">
        <f>SUM(B256:D256)</f>
        <v>0</v>
      </c>
      <c r="F258" t="s">
        <v>15</v>
      </c>
    </row>
    <row r="259" spans="1:6" x14ac:dyDescent="0.25">
      <c r="F259" t="s">
        <v>17</v>
      </c>
    </row>
    <row r="262" spans="1:6" x14ac:dyDescent="0.25">
      <c r="A262" s="1">
        <v>22</v>
      </c>
      <c r="B262" s="1">
        <v>1</v>
      </c>
      <c r="C262" s="1">
        <v>2</v>
      </c>
      <c r="D262" s="1">
        <v>3</v>
      </c>
    </row>
    <row r="263" spans="1:6" x14ac:dyDescent="0.25">
      <c r="A263" s="1" t="s">
        <v>0</v>
      </c>
      <c r="B263" s="2"/>
      <c r="C263" s="2"/>
      <c r="D263" s="2"/>
    </row>
    <row r="264" spans="1:6" x14ac:dyDescent="0.25">
      <c r="A264" s="1" t="s">
        <v>3</v>
      </c>
      <c r="B264" s="2"/>
      <c r="C264" s="2"/>
      <c r="D264" s="2"/>
    </row>
    <row r="265" spans="1:6" x14ac:dyDescent="0.25">
      <c r="A265" s="1" t="s">
        <v>5</v>
      </c>
      <c r="B265" s="2"/>
      <c r="C265" s="2"/>
      <c r="D265" s="2"/>
    </row>
    <row r="266" spans="1:6" x14ac:dyDescent="0.25">
      <c r="A266" s="1" t="s">
        <v>7</v>
      </c>
      <c r="B266" s="2"/>
      <c r="C266" s="2"/>
      <c r="D266" s="2"/>
    </row>
    <row r="267" spans="1:6" x14ac:dyDescent="0.25">
      <c r="A267" s="1" t="s">
        <v>8</v>
      </c>
      <c r="B267" s="2"/>
      <c r="C267" s="2"/>
      <c r="D267" s="2"/>
    </row>
    <row r="268" spans="1:6" x14ac:dyDescent="0.25">
      <c r="A268" s="1" t="s">
        <v>10</v>
      </c>
      <c r="B268" s="2"/>
      <c r="C268" s="2"/>
      <c r="D268" s="2"/>
    </row>
    <row r="269" spans="1:6" x14ac:dyDescent="0.25">
      <c r="B269">
        <f>COUNTIF(B263:B268,"x")*3</f>
        <v>0</v>
      </c>
      <c r="C269">
        <f>COUNTIF(C263:C268,"x")*2</f>
        <v>0</v>
      </c>
      <c r="D269">
        <f>COUNTIF(D263:D268,"x")</f>
        <v>0</v>
      </c>
    </row>
    <row r="270" spans="1:6" x14ac:dyDescent="0.25">
      <c r="F270" t="s">
        <v>12</v>
      </c>
    </row>
    <row r="271" spans="1:6" x14ac:dyDescent="0.25">
      <c r="D271" t="s">
        <v>14</v>
      </c>
      <c r="E271" s="8">
        <f>SUM(B269:D269)</f>
        <v>0</v>
      </c>
      <c r="F271" t="s">
        <v>15</v>
      </c>
    </row>
    <row r="272" spans="1:6" x14ac:dyDescent="0.25">
      <c r="F272" t="s">
        <v>17</v>
      </c>
    </row>
    <row r="275" spans="1:6" x14ac:dyDescent="0.25">
      <c r="A275" s="1">
        <v>23</v>
      </c>
      <c r="B275" s="1">
        <v>1</v>
      </c>
      <c r="C275" s="1">
        <v>2</v>
      </c>
      <c r="D275" s="1">
        <v>3</v>
      </c>
    </row>
    <row r="276" spans="1:6" x14ac:dyDescent="0.25">
      <c r="A276" s="1" t="s">
        <v>0</v>
      </c>
      <c r="B276" s="2"/>
      <c r="C276" s="2"/>
      <c r="D276" s="2"/>
    </row>
    <row r="277" spans="1:6" x14ac:dyDescent="0.25">
      <c r="A277" s="1" t="s">
        <v>3</v>
      </c>
      <c r="B277" s="2"/>
      <c r="C277" s="2"/>
      <c r="D277" s="2"/>
    </row>
    <row r="278" spans="1:6" x14ac:dyDescent="0.25">
      <c r="A278" s="1" t="s">
        <v>5</v>
      </c>
      <c r="B278" s="2"/>
      <c r="C278" s="2"/>
      <c r="D278" s="2"/>
    </row>
    <row r="279" spans="1:6" x14ac:dyDescent="0.25">
      <c r="A279" s="1" t="s">
        <v>7</v>
      </c>
      <c r="B279" s="2"/>
      <c r="C279" s="2"/>
      <c r="D279" s="2"/>
    </row>
    <row r="280" spans="1:6" x14ac:dyDescent="0.25">
      <c r="A280" s="1" t="s">
        <v>8</v>
      </c>
      <c r="B280" s="2"/>
      <c r="C280" s="2"/>
      <c r="D280" s="2"/>
    </row>
    <row r="281" spans="1:6" x14ac:dyDescent="0.25">
      <c r="A281" s="1" t="s">
        <v>10</v>
      </c>
      <c r="B281" s="2"/>
      <c r="C281" s="2"/>
      <c r="D281" s="2"/>
    </row>
    <row r="282" spans="1:6" x14ac:dyDescent="0.25">
      <c r="B282">
        <f>COUNTIF(B276:B281,"x")*3</f>
        <v>0</v>
      </c>
      <c r="C282">
        <f>COUNTIF(C276:C281,"x")*2</f>
        <v>0</v>
      </c>
      <c r="D282">
        <f>COUNTIF(D276:D281,"x")</f>
        <v>0</v>
      </c>
    </row>
    <row r="283" spans="1:6" x14ac:dyDescent="0.25">
      <c r="F283" t="s">
        <v>12</v>
      </c>
    </row>
    <row r="284" spans="1:6" x14ac:dyDescent="0.25">
      <c r="D284" t="s">
        <v>14</v>
      </c>
      <c r="E284" s="8">
        <f>SUM(B282:D282)</f>
        <v>0</v>
      </c>
      <c r="F284" t="s">
        <v>15</v>
      </c>
    </row>
    <row r="285" spans="1:6" x14ac:dyDescent="0.25">
      <c r="F285" t="s">
        <v>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5"/>
  <sheetViews>
    <sheetView tabSelected="1" workbookViewId="0">
      <selection activeCell="L18" sqref="L18"/>
    </sheetView>
  </sheetViews>
  <sheetFormatPr defaultRowHeight="15" x14ac:dyDescent="0.25"/>
  <cols>
    <col min="1" max="1" width="12" customWidth="1"/>
    <col min="10" max="10" width="9.5703125" bestFit="1" customWidth="1"/>
  </cols>
  <sheetData>
    <row r="1" spans="1:11" x14ac:dyDescent="0.25">
      <c r="A1" s="10">
        <v>1</v>
      </c>
      <c r="B1" s="1">
        <v>1</v>
      </c>
      <c r="C1" s="1">
        <v>2</v>
      </c>
      <c r="D1" s="1">
        <v>3</v>
      </c>
    </row>
    <row r="2" spans="1:11" ht="15.75" x14ac:dyDescent="0.25">
      <c r="A2" s="1" t="s">
        <v>0</v>
      </c>
      <c r="B2" s="2"/>
      <c r="C2" s="2"/>
      <c r="D2" s="2" t="s">
        <v>1</v>
      </c>
      <c r="F2" s="3"/>
      <c r="G2" s="4" t="s">
        <v>2</v>
      </c>
      <c r="H2" s="1"/>
      <c r="I2" s="1"/>
      <c r="J2" s="5">
        <f>M17</f>
        <v>15.470588235294118</v>
      </c>
    </row>
    <row r="3" spans="1:11" ht="15.75" x14ac:dyDescent="0.25">
      <c r="A3" s="1" t="s">
        <v>3</v>
      </c>
      <c r="B3" s="2" t="s">
        <v>1</v>
      </c>
      <c r="C3" s="2"/>
      <c r="D3" s="2"/>
      <c r="G3" s="4" t="s">
        <v>4</v>
      </c>
      <c r="H3" s="1"/>
      <c r="I3" s="1"/>
      <c r="J3" s="6">
        <v>6</v>
      </c>
    </row>
    <row r="4" spans="1:11" ht="15.75" x14ac:dyDescent="0.25">
      <c r="A4" s="1" t="s">
        <v>5</v>
      </c>
      <c r="B4" s="2" t="s">
        <v>1</v>
      </c>
      <c r="C4" s="2"/>
      <c r="D4" s="2"/>
      <c r="G4" s="4" t="s">
        <v>6</v>
      </c>
      <c r="H4" s="1"/>
      <c r="I4" s="1"/>
      <c r="J4" s="6">
        <v>18</v>
      </c>
    </row>
    <row r="5" spans="1:11" x14ac:dyDescent="0.25">
      <c r="A5" s="1" t="s">
        <v>7</v>
      </c>
      <c r="B5" s="2" t="s">
        <v>1</v>
      </c>
      <c r="C5" s="2"/>
      <c r="D5" s="2"/>
    </row>
    <row r="6" spans="1:11" x14ac:dyDescent="0.25">
      <c r="A6" s="1" t="s">
        <v>8</v>
      </c>
      <c r="B6" s="2" t="s">
        <v>1</v>
      </c>
      <c r="C6" s="2"/>
      <c r="D6" s="2"/>
      <c r="G6" s="7" t="s">
        <v>9</v>
      </c>
    </row>
    <row r="7" spans="1:11" x14ac:dyDescent="0.25">
      <c r="A7" s="1" t="s">
        <v>10</v>
      </c>
      <c r="B7" s="2" t="s">
        <v>1</v>
      </c>
      <c r="C7" s="2"/>
      <c r="D7" s="2"/>
      <c r="G7" s="7" t="s">
        <v>19</v>
      </c>
    </row>
    <row r="8" spans="1:11" x14ac:dyDescent="0.25">
      <c r="B8">
        <f>COUNTIF(B2:B7,"x")*3</f>
        <v>15</v>
      </c>
      <c r="C8">
        <f>COUNTIF(C2:C7,"x")*2</f>
        <v>0</v>
      </c>
      <c r="D8">
        <f>COUNTIF(D2:D7,"x")</f>
        <v>1</v>
      </c>
    </row>
    <row r="9" spans="1:11" x14ac:dyDescent="0.25">
      <c r="F9" t="s">
        <v>12</v>
      </c>
      <c r="G9">
        <v>18</v>
      </c>
      <c r="H9" t="s">
        <v>13</v>
      </c>
    </row>
    <row r="10" spans="1:11" x14ac:dyDescent="0.25">
      <c r="D10" t="s">
        <v>14</v>
      </c>
      <c r="E10" s="8">
        <f>SUM(B8:D8)</f>
        <v>16</v>
      </c>
      <c r="F10" t="s">
        <v>15</v>
      </c>
      <c r="G10">
        <v>12</v>
      </c>
      <c r="H10" t="s">
        <v>16</v>
      </c>
    </row>
    <row r="11" spans="1:11" x14ac:dyDescent="0.25">
      <c r="F11" t="s">
        <v>17</v>
      </c>
      <c r="G11">
        <v>6</v>
      </c>
      <c r="H11" t="s">
        <v>18</v>
      </c>
    </row>
    <row r="14" spans="1:11" x14ac:dyDescent="0.25">
      <c r="A14" s="10">
        <v>2</v>
      </c>
      <c r="B14" s="1">
        <v>1</v>
      </c>
      <c r="C14" s="1">
        <v>2</v>
      </c>
      <c r="D14" s="1">
        <v>3</v>
      </c>
      <c r="I14">
        <v>18</v>
      </c>
      <c r="J14">
        <v>19</v>
      </c>
      <c r="K14">
        <f>I14*J14</f>
        <v>342</v>
      </c>
    </row>
    <row r="15" spans="1:11" x14ac:dyDescent="0.25">
      <c r="A15" s="1" t="s">
        <v>0</v>
      </c>
      <c r="B15" s="2" t="s">
        <v>1</v>
      </c>
      <c r="C15" s="2"/>
      <c r="D15" s="2"/>
      <c r="I15">
        <v>15</v>
      </c>
      <c r="J15">
        <v>1</v>
      </c>
      <c r="K15">
        <f>I15*J15</f>
        <v>15</v>
      </c>
    </row>
    <row r="16" spans="1:11" x14ac:dyDescent="0.25">
      <c r="A16" s="1" t="s">
        <v>3</v>
      </c>
      <c r="B16" s="2" t="s">
        <v>1</v>
      </c>
      <c r="C16" s="2"/>
      <c r="D16" s="2"/>
      <c r="I16">
        <v>16</v>
      </c>
      <c r="J16">
        <v>1</v>
      </c>
      <c r="K16">
        <f>I16*J16</f>
        <v>16</v>
      </c>
    </row>
    <row r="17" spans="1:13" x14ac:dyDescent="0.25">
      <c r="A17" s="1" t="s">
        <v>5</v>
      </c>
      <c r="B17" s="2" t="s">
        <v>1</v>
      </c>
      <c r="C17" s="2"/>
      <c r="D17" s="2"/>
      <c r="J17" s="9" t="s">
        <v>14</v>
      </c>
      <c r="K17" s="9">
        <f>E10+E23+E36+E49+E62+E88+E101+E114+E127+E153+E166+E179+E192+E203+E214+E225+E236+E247+E258+E271+E140+E75</f>
        <v>263</v>
      </c>
      <c r="L17" s="9">
        <v>17</v>
      </c>
      <c r="M17" s="9">
        <f>K17/L17</f>
        <v>15.470588235294118</v>
      </c>
    </row>
    <row r="18" spans="1:13" x14ac:dyDescent="0.25">
      <c r="A18" s="1" t="s">
        <v>7</v>
      </c>
      <c r="B18" s="2" t="s">
        <v>1</v>
      </c>
      <c r="C18" s="2"/>
      <c r="D18" s="2"/>
    </row>
    <row r="19" spans="1:13" x14ac:dyDescent="0.25">
      <c r="A19" s="1" t="s">
        <v>8</v>
      </c>
      <c r="B19" s="2" t="s">
        <v>1</v>
      </c>
      <c r="C19" s="2"/>
      <c r="D19" s="2"/>
    </row>
    <row r="20" spans="1:13" x14ac:dyDescent="0.25">
      <c r="A20" s="1" t="s">
        <v>10</v>
      </c>
      <c r="B20" s="2" t="s">
        <v>1</v>
      </c>
      <c r="C20" s="2"/>
      <c r="D20" s="2"/>
    </row>
    <row r="21" spans="1:13" x14ac:dyDescent="0.25">
      <c r="B21">
        <f>COUNTIF(B15:B20,"x")*3</f>
        <v>18</v>
      </c>
      <c r="C21">
        <f>COUNTIF(C15:C20,"x")*2</f>
        <v>0</v>
      </c>
      <c r="D21">
        <f>COUNTIF(D15:D20,"x")</f>
        <v>0</v>
      </c>
    </row>
    <row r="22" spans="1:13" x14ac:dyDescent="0.25">
      <c r="F22" t="s">
        <v>12</v>
      </c>
    </row>
    <row r="23" spans="1:13" x14ac:dyDescent="0.25">
      <c r="D23" t="s">
        <v>14</v>
      </c>
      <c r="E23" s="8">
        <f>SUM(B21:D21)</f>
        <v>18</v>
      </c>
      <c r="F23" t="s">
        <v>15</v>
      </c>
    </row>
    <row r="24" spans="1:13" x14ac:dyDescent="0.25">
      <c r="F24" t="s">
        <v>17</v>
      </c>
    </row>
    <row r="27" spans="1:13" x14ac:dyDescent="0.25">
      <c r="A27" s="10">
        <v>3</v>
      </c>
      <c r="B27" s="1">
        <v>1</v>
      </c>
      <c r="C27" s="1">
        <v>2</v>
      </c>
      <c r="D27" s="1">
        <v>3</v>
      </c>
    </row>
    <row r="28" spans="1:13" x14ac:dyDescent="0.25">
      <c r="A28" s="1" t="s">
        <v>0</v>
      </c>
      <c r="B28" s="2" t="s">
        <v>1</v>
      </c>
      <c r="C28" s="2"/>
      <c r="D28" s="2"/>
    </row>
    <row r="29" spans="1:13" x14ac:dyDescent="0.25">
      <c r="A29" s="1" t="s">
        <v>3</v>
      </c>
      <c r="B29" s="2"/>
      <c r="C29" s="2" t="s">
        <v>1</v>
      </c>
      <c r="D29" s="2"/>
    </row>
    <row r="30" spans="1:13" x14ac:dyDescent="0.25">
      <c r="A30" s="1" t="s">
        <v>5</v>
      </c>
      <c r="B30" s="2"/>
      <c r="C30" s="2" t="s">
        <v>1</v>
      </c>
      <c r="D30" s="2"/>
    </row>
    <row r="31" spans="1:13" x14ac:dyDescent="0.25">
      <c r="A31" s="1" t="s">
        <v>7</v>
      </c>
      <c r="B31" s="2"/>
      <c r="C31" s="2" t="s">
        <v>1</v>
      </c>
      <c r="D31" s="2"/>
    </row>
    <row r="32" spans="1:13" x14ac:dyDescent="0.25">
      <c r="A32" s="1" t="s">
        <v>8</v>
      </c>
      <c r="B32" s="2" t="s">
        <v>1</v>
      </c>
      <c r="C32" s="2"/>
      <c r="D32" s="2"/>
    </row>
    <row r="33" spans="1:6" x14ac:dyDescent="0.25">
      <c r="A33" s="1" t="s">
        <v>10</v>
      </c>
      <c r="B33" s="2" t="s">
        <v>1</v>
      </c>
      <c r="C33" s="2"/>
      <c r="D33" s="2"/>
    </row>
    <row r="34" spans="1:6" x14ac:dyDescent="0.25">
      <c r="B34">
        <f>COUNTIF(B28:B33,"x")*3</f>
        <v>9</v>
      </c>
      <c r="C34">
        <f>COUNTIF(C28:C33,"x")*2</f>
        <v>6</v>
      </c>
      <c r="D34">
        <f>COUNTIF(D28:D33,"x")</f>
        <v>0</v>
      </c>
    </row>
    <row r="35" spans="1:6" x14ac:dyDescent="0.25">
      <c r="F35" t="s">
        <v>12</v>
      </c>
    </row>
    <row r="36" spans="1:6" x14ac:dyDescent="0.25">
      <c r="D36" t="s">
        <v>14</v>
      </c>
      <c r="E36" s="8">
        <f>SUM(B34:D34)</f>
        <v>15</v>
      </c>
      <c r="F36" t="s">
        <v>15</v>
      </c>
    </row>
    <row r="37" spans="1:6" x14ac:dyDescent="0.25">
      <c r="F37" t="s">
        <v>17</v>
      </c>
    </row>
    <row r="40" spans="1:6" x14ac:dyDescent="0.25">
      <c r="A40" s="10">
        <v>4</v>
      </c>
      <c r="B40" s="1">
        <v>1</v>
      </c>
      <c r="C40" s="1">
        <v>2</v>
      </c>
      <c r="D40" s="1">
        <v>3</v>
      </c>
    </row>
    <row r="41" spans="1:6" x14ac:dyDescent="0.25">
      <c r="A41" s="1" t="s">
        <v>0</v>
      </c>
      <c r="B41" s="2" t="s">
        <v>1</v>
      </c>
      <c r="C41" s="2"/>
      <c r="D41" s="2"/>
    </row>
    <row r="42" spans="1:6" x14ac:dyDescent="0.25">
      <c r="A42" s="1" t="s">
        <v>3</v>
      </c>
      <c r="B42" s="2" t="s">
        <v>1</v>
      </c>
      <c r="C42" s="2"/>
      <c r="D42" s="2"/>
    </row>
    <row r="43" spans="1:6" x14ac:dyDescent="0.25">
      <c r="A43" s="1" t="s">
        <v>5</v>
      </c>
      <c r="B43" s="2"/>
      <c r="C43" s="2" t="s">
        <v>1</v>
      </c>
      <c r="D43" s="2"/>
    </row>
    <row r="44" spans="1:6" x14ac:dyDescent="0.25">
      <c r="A44" s="1" t="s">
        <v>7</v>
      </c>
      <c r="B44" s="2" t="s">
        <v>1</v>
      </c>
      <c r="C44" s="2"/>
      <c r="D44" s="2"/>
    </row>
    <row r="45" spans="1:6" x14ac:dyDescent="0.25">
      <c r="A45" s="1" t="s">
        <v>8</v>
      </c>
      <c r="B45" s="2" t="s">
        <v>1</v>
      </c>
      <c r="C45" s="2"/>
      <c r="D45" s="2"/>
    </row>
    <row r="46" spans="1:6" x14ac:dyDescent="0.25">
      <c r="A46" s="1" t="s">
        <v>10</v>
      </c>
      <c r="B46" s="2"/>
      <c r="C46" s="2" t="s">
        <v>1</v>
      </c>
      <c r="D46" s="2"/>
    </row>
    <row r="47" spans="1:6" x14ac:dyDescent="0.25">
      <c r="B47">
        <f>COUNTIF(B41:B46,"x")*3</f>
        <v>12</v>
      </c>
      <c r="C47">
        <f>COUNTIF(C41:C46,"x")*2</f>
        <v>4</v>
      </c>
      <c r="D47">
        <f>COUNTIF(D41:D46,"x")</f>
        <v>0</v>
      </c>
    </row>
    <row r="48" spans="1:6" x14ac:dyDescent="0.25">
      <c r="F48" t="s">
        <v>12</v>
      </c>
    </row>
    <row r="49" spans="1:6" x14ac:dyDescent="0.25">
      <c r="D49" t="s">
        <v>14</v>
      </c>
      <c r="E49" s="8">
        <f>SUM(B47:D47)</f>
        <v>16</v>
      </c>
      <c r="F49" t="s">
        <v>15</v>
      </c>
    </row>
    <row r="50" spans="1:6" x14ac:dyDescent="0.25">
      <c r="F50" t="s">
        <v>17</v>
      </c>
    </row>
    <row r="53" spans="1:6" x14ac:dyDescent="0.25">
      <c r="A53" s="10">
        <v>5</v>
      </c>
      <c r="B53" s="1">
        <v>1</v>
      </c>
      <c r="C53" s="1">
        <v>2</v>
      </c>
      <c r="D53" s="1">
        <v>3</v>
      </c>
    </row>
    <row r="54" spans="1:6" x14ac:dyDescent="0.25">
      <c r="A54" s="1" t="s">
        <v>0</v>
      </c>
      <c r="B54" s="2" t="s">
        <v>1</v>
      </c>
      <c r="C54" s="2"/>
      <c r="D54" s="2"/>
    </row>
    <row r="55" spans="1:6" x14ac:dyDescent="0.25">
      <c r="A55" s="1" t="s">
        <v>3</v>
      </c>
      <c r="B55" s="2"/>
      <c r="C55" s="2" t="s">
        <v>1</v>
      </c>
      <c r="D55" s="2"/>
    </row>
    <row r="56" spans="1:6" x14ac:dyDescent="0.25">
      <c r="A56" s="1" t="s">
        <v>5</v>
      </c>
      <c r="B56" s="2"/>
      <c r="C56" s="2" t="s">
        <v>1</v>
      </c>
      <c r="D56" s="2"/>
    </row>
    <row r="57" spans="1:6" x14ac:dyDescent="0.25">
      <c r="A57" s="1" t="s">
        <v>7</v>
      </c>
      <c r="B57" s="2"/>
      <c r="C57" s="2" t="s">
        <v>1</v>
      </c>
      <c r="D57" s="2"/>
    </row>
    <row r="58" spans="1:6" x14ac:dyDescent="0.25">
      <c r="A58" s="1" t="s">
        <v>8</v>
      </c>
      <c r="B58" s="2"/>
      <c r="C58" s="2" t="s">
        <v>1</v>
      </c>
      <c r="D58" s="2"/>
    </row>
    <row r="59" spans="1:6" x14ac:dyDescent="0.25">
      <c r="A59" s="1" t="s">
        <v>10</v>
      </c>
      <c r="B59" s="2"/>
      <c r="C59" s="2"/>
      <c r="D59" s="2" t="s">
        <v>1</v>
      </c>
    </row>
    <row r="60" spans="1:6" x14ac:dyDescent="0.25">
      <c r="B60">
        <f>COUNTIF(B54:B59,"x")*3</f>
        <v>3</v>
      </c>
      <c r="C60">
        <f>COUNTIF(C54:C59,"x")*2</f>
        <v>8</v>
      </c>
      <c r="D60">
        <f>COUNTIF(D54:D59,"x")</f>
        <v>1</v>
      </c>
    </row>
    <row r="61" spans="1:6" x14ac:dyDescent="0.25">
      <c r="F61" t="s">
        <v>12</v>
      </c>
    </row>
    <row r="62" spans="1:6" x14ac:dyDescent="0.25">
      <c r="D62" t="s">
        <v>14</v>
      </c>
      <c r="E62" s="8">
        <f>SUM(B60:D60)</f>
        <v>12</v>
      </c>
      <c r="F62" t="s">
        <v>15</v>
      </c>
    </row>
    <row r="63" spans="1:6" x14ac:dyDescent="0.25">
      <c r="F63" t="s">
        <v>17</v>
      </c>
    </row>
    <row r="66" spans="1:6" x14ac:dyDescent="0.25">
      <c r="A66" s="10">
        <v>6</v>
      </c>
      <c r="B66" s="1">
        <v>1</v>
      </c>
      <c r="C66" s="1">
        <v>2</v>
      </c>
      <c r="D66" s="1">
        <v>3</v>
      </c>
    </row>
    <row r="67" spans="1:6" x14ac:dyDescent="0.25">
      <c r="A67" s="1" t="s">
        <v>0</v>
      </c>
      <c r="B67" s="2"/>
      <c r="C67" s="2"/>
      <c r="D67" s="2" t="s">
        <v>1</v>
      </c>
    </row>
    <row r="68" spans="1:6" x14ac:dyDescent="0.25">
      <c r="A68" s="1" t="s">
        <v>3</v>
      </c>
      <c r="B68" s="2" t="s">
        <v>1</v>
      </c>
      <c r="C68" s="2"/>
      <c r="D68" s="2"/>
    </row>
    <row r="69" spans="1:6" x14ac:dyDescent="0.25">
      <c r="A69" s="1" t="s">
        <v>5</v>
      </c>
      <c r="B69" s="2" t="s">
        <v>1</v>
      </c>
      <c r="C69" s="2"/>
      <c r="D69" s="2"/>
    </row>
    <row r="70" spans="1:6" x14ac:dyDescent="0.25">
      <c r="A70" s="1" t="s">
        <v>7</v>
      </c>
      <c r="B70" s="2" t="s">
        <v>1</v>
      </c>
      <c r="C70" s="2"/>
      <c r="D70" s="2"/>
    </row>
    <row r="71" spans="1:6" x14ac:dyDescent="0.25">
      <c r="A71" s="1" t="s">
        <v>8</v>
      </c>
      <c r="B71" s="2" t="s">
        <v>1</v>
      </c>
      <c r="C71" s="2"/>
      <c r="D71" s="2"/>
    </row>
    <row r="72" spans="1:6" x14ac:dyDescent="0.25">
      <c r="A72" s="1" t="s">
        <v>10</v>
      </c>
      <c r="B72" s="2" t="s">
        <v>1</v>
      </c>
      <c r="C72" s="2"/>
      <c r="D72" s="2"/>
    </row>
    <row r="73" spans="1:6" x14ac:dyDescent="0.25">
      <c r="B73">
        <f>COUNTIF(B67:B72,"x")*3</f>
        <v>15</v>
      </c>
      <c r="C73">
        <f>COUNTIF(C67:C72,"x")*2</f>
        <v>0</v>
      </c>
      <c r="D73">
        <f>COUNTIF(D67:D72,"x")</f>
        <v>1</v>
      </c>
    </row>
    <row r="74" spans="1:6" x14ac:dyDescent="0.25">
      <c r="F74" t="s">
        <v>12</v>
      </c>
    </row>
    <row r="75" spans="1:6" x14ac:dyDescent="0.25">
      <c r="D75" t="s">
        <v>14</v>
      </c>
      <c r="E75" s="8">
        <f>SUM(B73:D73)</f>
        <v>16</v>
      </c>
      <c r="F75" t="s">
        <v>15</v>
      </c>
    </row>
    <row r="76" spans="1:6" x14ac:dyDescent="0.25">
      <c r="F76" t="s">
        <v>17</v>
      </c>
    </row>
    <row r="79" spans="1:6" x14ac:dyDescent="0.25">
      <c r="A79" s="10">
        <v>7</v>
      </c>
      <c r="B79" s="1">
        <v>1</v>
      </c>
      <c r="C79" s="1">
        <v>2</v>
      </c>
      <c r="D79" s="1">
        <v>3</v>
      </c>
    </row>
    <row r="80" spans="1:6" x14ac:dyDescent="0.25">
      <c r="A80" s="1" t="s">
        <v>0</v>
      </c>
      <c r="B80" s="2"/>
      <c r="C80" s="2"/>
      <c r="D80" s="2" t="s">
        <v>1</v>
      </c>
    </row>
    <row r="81" spans="1:6" x14ac:dyDescent="0.25">
      <c r="A81" s="1" t="s">
        <v>3</v>
      </c>
      <c r="B81" s="2" t="s">
        <v>1</v>
      </c>
      <c r="C81" s="2"/>
      <c r="D81" s="2"/>
    </row>
    <row r="82" spans="1:6" x14ac:dyDescent="0.25">
      <c r="A82" s="1" t="s">
        <v>5</v>
      </c>
      <c r="B82" s="2" t="s">
        <v>1</v>
      </c>
      <c r="C82" s="2"/>
      <c r="D82" s="2"/>
    </row>
    <row r="83" spans="1:6" x14ac:dyDescent="0.25">
      <c r="A83" s="1" t="s">
        <v>7</v>
      </c>
      <c r="B83" s="2" t="s">
        <v>1</v>
      </c>
      <c r="C83" s="2"/>
      <c r="D83" s="2"/>
    </row>
    <row r="84" spans="1:6" x14ac:dyDescent="0.25">
      <c r="A84" s="1" t="s">
        <v>8</v>
      </c>
      <c r="B84" s="2" t="s">
        <v>1</v>
      </c>
      <c r="C84" s="2"/>
      <c r="D84" s="2"/>
    </row>
    <row r="85" spans="1:6" x14ac:dyDescent="0.25">
      <c r="A85" s="1" t="s">
        <v>10</v>
      </c>
      <c r="B85" s="2" t="s">
        <v>1</v>
      </c>
      <c r="C85" s="2"/>
      <c r="D85" s="2"/>
    </row>
    <row r="86" spans="1:6" x14ac:dyDescent="0.25">
      <c r="B86">
        <f>COUNTIF(B80:B85,"x")*3</f>
        <v>15</v>
      </c>
      <c r="C86">
        <f>COUNTIF(C80:C85,"x")*2</f>
        <v>0</v>
      </c>
      <c r="D86">
        <f>COUNTIF(D80:D85,"x")</f>
        <v>1</v>
      </c>
    </row>
    <row r="87" spans="1:6" x14ac:dyDescent="0.25">
      <c r="F87" t="s">
        <v>12</v>
      </c>
    </row>
    <row r="88" spans="1:6" x14ac:dyDescent="0.25">
      <c r="D88" t="s">
        <v>14</v>
      </c>
      <c r="E88" s="8">
        <f>SUM(B86:D86)</f>
        <v>16</v>
      </c>
      <c r="F88" t="s">
        <v>15</v>
      </c>
    </row>
    <row r="89" spans="1:6" x14ac:dyDescent="0.25">
      <c r="F89" t="s">
        <v>17</v>
      </c>
    </row>
    <row r="92" spans="1:6" x14ac:dyDescent="0.25">
      <c r="A92" s="10">
        <v>8</v>
      </c>
      <c r="B92" s="1">
        <v>1</v>
      </c>
      <c r="C92" s="1">
        <v>2</v>
      </c>
      <c r="D92" s="1">
        <v>3</v>
      </c>
    </row>
    <row r="93" spans="1:6" x14ac:dyDescent="0.25">
      <c r="A93" s="1" t="s">
        <v>0</v>
      </c>
      <c r="B93" s="2"/>
      <c r="C93" s="2"/>
      <c r="D93" s="2" t="s">
        <v>1</v>
      </c>
    </row>
    <row r="94" spans="1:6" x14ac:dyDescent="0.25">
      <c r="A94" s="1" t="s">
        <v>3</v>
      </c>
      <c r="B94" s="2" t="s">
        <v>1</v>
      </c>
      <c r="C94" s="2"/>
      <c r="D94" s="2"/>
    </row>
    <row r="95" spans="1:6" x14ac:dyDescent="0.25">
      <c r="A95" s="1" t="s">
        <v>5</v>
      </c>
      <c r="B95" s="2" t="s">
        <v>1</v>
      </c>
      <c r="C95" s="2"/>
      <c r="D95" s="2"/>
    </row>
    <row r="96" spans="1:6" x14ac:dyDescent="0.25">
      <c r="A96" s="1" t="s">
        <v>7</v>
      </c>
      <c r="B96" s="2" t="s">
        <v>1</v>
      </c>
      <c r="C96" s="2"/>
      <c r="D96" s="2"/>
    </row>
    <row r="97" spans="1:6" x14ac:dyDescent="0.25">
      <c r="A97" s="1" t="s">
        <v>8</v>
      </c>
      <c r="B97" s="2" t="s">
        <v>1</v>
      </c>
      <c r="C97" s="2"/>
      <c r="D97" s="2"/>
    </row>
    <row r="98" spans="1:6" x14ac:dyDescent="0.25">
      <c r="A98" s="1" t="s">
        <v>10</v>
      </c>
      <c r="B98" s="2" t="s">
        <v>1</v>
      </c>
      <c r="C98" s="2"/>
      <c r="D98" s="2"/>
    </row>
    <row r="99" spans="1:6" x14ac:dyDescent="0.25">
      <c r="B99">
        <f>COUNTIF(B93:B98,"x")*3</f>
        <v>15</v>
      </c>
      <c r="C99">
        <f>COUNTIF(C93:C98,"x")*2</f>
        <v>0</v>
      </c>
      <c r="D99">
        <f>COUNTIF(D93:D98,"x")</f>
        <v>1</v>
      </c>
    </row>
    <row r="100" spans="1:6" x14ac:dyDescent="0.25">
      <c r="F100" t="s">
        <v>12</v>
      </c>
    </row>
    <row r="101" spans="1:6" x14ac:dyDescent="0.25">
      <c r="D101" t="s">
        <v>14</v>
      </c>
      <c r="E101" s="8">
        <f>SUM(B99:D99)</f>
        <v>16</v>
      </c>
      <c r="F101" t="s">
        <v>15</v>
      </c>
    </row>
    <row r="102" spans="1:6" x14ac:dyDescent="0.25">
      <c r="F102" t="s">
        <v>17</v>
      </c>
    </row>
    <row r="105" spans="1:6" x14ac:dyDescent="0.25">
      <c r="A105" s="10">
        <v>9</v>
      </c>
      <c r="B105" s="1">
        <v>1</v>
      </c>
      <c r="C105" s="1">
        <v>2</v>
      </c>
      <c r="D105" s="1">
        <v>3</v>
      </c>
    </row>
    <row r="106" spans="1:6" x14ac:dyDescent="0.25">
      <c r="A106" s="1" t="s">
        <v>0</v>
      </c>
      <c r="B106" s="2"/>
      <c r="C106" s="2"/>
      <c r="D106" s="2" t="s">
        <v>1</v>
      </c>
    </row>
    <row r="107" spans="1:6" x14ac:dyDescent="0.25">
      <c r="A107" s="1" t="s">
        <v>3</v>
      </c>
      <c r="B107" s="2" t="s">
        <v>1</v>
      </c>
      <c r="C107" s="2"/>
      <c r="D107" s="2"/>
    </row>
    <row r="108" spans="1:6" x14ac:dyDescent="0.25">
      <c r="A108" s="1" t="s">
        <v>5</v>
      </c>
      <c r="B108" s="2" t="s">
        <v>1</v>
      </c>
      <c r="C108" s="2"/>
      <c r="D108" s="2"/>
    </row>
    <row r="109" spans="1:6" x14ac:dyDescent="0.25">
      <c r="A109" s="1" t="s">
        <v>7</v>
      </c>
      <c r="B109" s="2" t="s">
        <v>1</v>
      </c>
      <c r="C109" s="2"/>
      <c r="D109" s="2"/>
    </row>
    <row r="110" spans="1:6" x14ac:dyDescent="0.25">
      <c r="A110" s="1" t="s">
        <v>8</v>
      </c>
      <c r="B110" s="2" t="s">
        <v>1</v>
      </c>
      <c r="C110" s="2"/>
      <c r="D110" s="2"/>
    </row>
    <row r="111" spans="1:6" x14ac:dyDescent="0.25">
      <c r="A111" s="1" t="s">
        <v>10</v>
      </c>
      <c r="B111" s="2" t="s">
        <v>1</v>
      </c>
      <c r="C111" s="2"/>
      <c r="D111" s="2"/>
    </row>
    <row r="112" spans="1:6" x14ac:dyDescent="0.25">
      <c r="B112">
        <f>COUNTIF(B106:B111,"x")*3</f>
        <v>15</v>
      </c>
      <c r="C112">
        <f>COUNTIF(C106:C111,"x")*2</f>
        <v>0</v>
      </c>
      <c r="D112">
        <f>COUNTIF(D106:D111,"x")</f>
        <v>1</v>
      </c>
    </row>
    <row r="113" spans="1:6" x14ac:dyDescent="0.25">
      <c r="F113" t="s">
        <v>12</v>
      </c>
    </row>
    <row r="114" spans="1:6" x14ac:dyDescent="0.25">
      <c r="D114" t="s">
        <v>14</v>
      </c>
      <c r="E114" s="8">
        <f>SUM(B112:D112)</f>
        <v>16</v>
      </c>
      <c r="F114" t="s">
        <v>15</v>
      </c>
    </row>
    <row r="115" spans="1:6" x14ac:dyDescent="0.25">
      <c r="F115" t="s">
        <v>17</v>
      </c>
    </row>
    <row r="118" spans="1:6" x14ac:dyDescent="0.25">
      <c r="A118" s="10">
        <v>10</v>
      </c>
      <c r="B118" s="1">
        <v>1</v>
      </c>
      <c r="C118" s="1">
        <v>2</v>
      </c>
      <c r="D118" s="1">
        <v>3</v>
      </c>
    </row>
    <row r="119" spans="1:6" x14ac:dyDescent="0.25">
      <c r="A119" s="1" t="s">
        <v>0</v>
      </c>
      <c r="B119" s="2" t="s">
        <v>1</v>
      </c>
      <c r="C119" s="2"/>
      <c r="D119" s="2"/>
    </row>
    <row r="120" spans="1:6" x14ac:dyDescent="0.25">
      <c r="A120" s="1" t="s">
        <v>3</v>
      </c>
      <c r="B120" s="2"/>
      <c r="C120" s="2" t="s">
        <v>1</v>
      </c>
      <c r="D120" s="2"/>
    </row>
    <row r="121" spans="1:6" x14ac:dyDescent="0.25">
      <c r="A121" s="1" t="s">
        <v>5</v>
      </c>
      <c r="B121" s="2"/>
      <c r="C121" s="2" t="s">
        <v>1</v>
      </c>
      <c r="D121" s="2"/>
    </row>
    <row r="122" spans="1:6" x14ac:dyDescent="0.25">
      <c r="A122" s="1" t="s">
        <v>7</v>
      </c>
      <c r="B122" s="2" t="s">
        <v>1</v>
      </c>
      <c r="C122" s="2"/>
      <c r="D122" s="2"/>
    </row>
    <row r="123" spans="1:6" x14ac:dyDescent="0.25">
      <c r="A123" s="1" t="s">
        <v>8</v>
      </c>
      <c r="B123" s="2"/>
      <c r="C123" s="2" t="s">
        <v>1</v>
      </c>
      <c r="D123" s="2"/>
    </row>
    <row r="124" spans="1:6" x14ac:dyDescent="0.25">
      <c r="A124" s="1" t="s">
        <v>10</v>
      </c>
      <c r="B124" s="2" t="s">
        <v>1</v>
      </c>
      <c r="C124" s="2"/>
      <c r="D124" s="2"/>
    </row>
    <row r="125" spans="1:6" x14ac:dyDescent="0.25">
      <c r="B125">
        <f>COUNTIF(B119:B124,"x")*3</f>
        <v>9</v>
      </c>
      <c r="C125">
        <f>COUNTIF(C119:C124,"x")*2</f>
        <v>6</v>
      </c>
      <c r="D125">
        <f>COUNTIF(D119:D124,"x")</f>
        <v>0</v>
      </c>
    </row>
    <row r="126" spans="1:6" x14ac:dyDescent="0.25">
      <c r="F126" t="s">
        <v>12</v>
      </c>
    </row>
    <row r="127" spans="1:6" x14ac:dyDescent="0.25">
      <c r="D127" t="s">
        <v>14</v>
      </c>
      <c r="E127" s="8">
        <f>SUM(B125:D125)</f>
        <v>15</v>
      </c>
      <c r="F127" t="s">
        <v>15</v>
      </c>
    </row>
    <row r="128" spans="1:6" x14ac:dyDescent="0.25">
      <c r="F128" t="s">
        <v>17</v>
      </c>
    </row>
    <row r="131" spans="1:6" x14ac:dyDescent="0.25">
      <c r="A131" s="10">
        <v>11</v>
      </c>
      <c r="B131" s="1">
        <v>1</v>
      </c>
      <c r="C131" s="1">
        <v>2</v>
      </c>
      <c r="D131" s="1">
        <v>3</v>
      </c>
    </row>
    <row r="132" spans="1:6" x14ac:dyDescent="0.25">
      <c r="A132" s="1" t="s">
        <v>0</v>
      </c>
      <c r="B132" s="2" t="s">
        <v>1</v>
      </c>
      <c r="C132" s="2"/>
      <c r="D132" s="2"/>
    </row>
    <row r="133" spans="1:6" x14ac:dyDescent="0.25">
      <c r="A133" s="1" t="s">
        <v>3</v>
      </c>
      <c r="B133" s="2" t="s">
        <v>1</v>
      </c>
      <c r="C133" s="2"/>
      <c r="D133" s="2"/>
    </row>
    <row r="134" spans="1:6" x14ac:dyDescent="0.25">
      <c r="A134" s="1" t="s">
        <v>5</v>
      </c>
      <c r="B134" s="2" t="s">
        <v>1</v>
      </c>
      <c r="C134" s="2"/>
      <c r="D134" s="2"/>
    </row>
    <row r="135" spans="1:6" x14ac:dyDescent="0.25">
      <c r="A135" s="1" t="s">
        <v>7</v>
      </c>
      <c r="B135" s="2" t="s">
        <v>1</v>
      </c>
      <c r="C135" s="2"/>
      <c r="D135" s="2"/>
    </row>
    <row r="136" spans="1:6" x14ac:dyDescent="0.25">
      <c r="A136" s="1" t="s">
        <v>8</v>
      </c>
      <c r="B136" s="2" t="s">
        <v>1</v>
      </c>
      <c r="C136" s="2"/>
      <c r="D136" s="2"/>
    </row>
    <row r="137" spans="1:6" x14ac:dyDescent="0.25">
      <c r="A137" s="1" t="s">
        <v>10</v>
      </c>
      <c r="B137" s="2" t="s">
        <v>1</v>
      </c>
      <c r="C137" s="2"/>
      <c r="D137" s="2"/>
    </row>
    <row r="138" spans="1:6" x14ac:dyDescent="0.25">
      <c r="B138">
        <f>COUNTIF(B132:B137,"x")*3</f>
        <v>18</v>
      </c>
      <c r="C138">
        <f>COUNTIF(C132:C137,"x")*2</f>
        <v>0</v>
      </c>
      <c r="D138">
        <f>COUNTIF(D132:D137,"x")</f>
        <v>0</v>
      </c>
    </row>
    <row r="139" spans="1:6" x14ac:dyDescent="0.25">
      <c r="F139" t="s">
        <v>12</v>
      </c>
    </row>
    <row r="140" spans="1:6" x14ac:dyDescent="0.25">
      <c r="D140" t="s">
        <v>14</v>
      </c>
      <c r="E140" s="8">
        <f>SUM(B138:D138)</f>
        <v>18</v>
      </c>
      <c r="F140" t="s">
        <v>15</v>
      </c>
    </row>
    <row r="141" spans="1:6" x14ac:dyDescent="0.25">
      <c r="F141" t="s">
        <v>17</v>
      </c>
    </row>
    <row r="144" spans="1:6" x14ac:dyDescent="0.25">
      <c r="A144" s="10">
        <v>12</v>
      </c>
      <c r="B144" s="1">
        <v>1</v>
      </c>
      <c r="C144" s="1">
        <v>2</v>
      </c>
      <c r="D144" s="1">
        <v>3</v>
      </c>
    </row>
    <row r="145" spans="1:6" x14ac:dyDescent="0.25">
      <c r="A145" s="1" t="s">
        <v>0</v>
      </c>
      <c r="B145" s="2" t="s">
        <v>1</v>
      </c>
      <c r="C145" s="2"/>
      <c r="D145" s="2"/>
    </row>
    <row r="146" spans="1:6" x14ac:dyDescent="0.25">
      <c r="A146" s="1" t="s">
        <v>3</v>
      </c>
      <c r="B146" s="2" t="s">
        <v>1</v>
      </c>
      <c r="C146" s="2"/>
      <c r="D146" s="2"/>
    </row>
    <row r="147" spans="1:6" x14ac:dyDescent="0.25">
      <c r="A147" s="1" t="s">
        <v>5</v>
      </c>
      <c r="B147" s="2" t="s">
        <v>1</v>
      </c>
      <c r="C147" s="2"/>
      <c r="D147" s="2"/>
    </row>
    <row r="148" spans="1:6" x14ac:dyDescent="0.25">
      <c r="A148" s="1" t="s">
        <v>7</v>
      </c>
      <c r="B148" s="2" t="s">
        <v>1</v>
      </c>
      <c r="C148" s="2"/>
      <c r="D148" s="2"/>
    </row>
    <row r="149" spans="1:6" x14ac:dyDescent="0.25">
      <c r="A149" s="1" t="s">
        <v>8</v>
      </c>
      <c r="B149" s="2" t="s">
        <v>1</v>
      </c>
      <c r="C149" s="2"/>
      <c r="D149" s="2"/>
    </row>
    <row r="150" spans="1:6" x14ac:dyDescent="0.25">
      <c r="A150" s="1" t="s">
        <v>10</v>
      </c>
      <c r="B150" s="2"/>
      <c r="C150" s="2" t="s">
        <v>1</v>
      </c>
      <c r="D150" s="2"/>
    </row>
    <row r="151" spans="1:6" x14ac:dyDescent="0.25">
      <c r="B151">
        <f>COUNTIF(B145:B150,"x")*3</f>
        <v>15</v>
      </c>
      <c r="C151">
        <f>COUNTIF(C145:C150,"x")*2</f>
        <v>2</v>
      </c>
      <c r="D151">
        <f>COUNTIF(D145:D150,"x")</f>
        <v>0</v>
      </c>
    </row>
    <row r="152" spans="1:6" x14ac:dyDescent="0.25">
      <c r="F152" t="s">
        <v>12</v>
      </c>
    </row>
    <row r="153" spans="1:6" x14ac:dyDescent="0.25">
      <c r="D153" t="s">
        <v>14</v>
      </c>
      <c r="E153" s="8">
        <f>SUM(B151:D151)</f>
        <v>17</v>
      </c>
      <c r="F153" t="s">
        <v>15</v>
      </c>
    </row>
    <row r="154" spans="1:6" x14ac:dyDescent="0.25">
      <c r="F154" t="s">
        <v>17</v>
      </c>
    </row>
    <row r="157" spans="1:6" x14ac:dyDescent="0.25">
      <c r="A157" s="10">
        <v>13</v>
      </c>
      <c r="B157" s="1">
        <v>1</v>
      </c>
      <c r="C157" s="1">
        <v>2</v>
      </c>
      <c r="D157" s="1">
        <v>3</v>
      </c>
    </row>
    <row r="158" spans="1:6" x14ac:dyDescent="0.25">
      <c r="A158" s="1" t="s">
        <v>0</v>
      </c>
      <c r="B158" s="2" t="s">
        <v>1</v>
      </c>
      <c r="C158" s="2"/>
      <c r="D158" s="2"/>
    </row>
    <row r="159" spans="1:6" x14ac:dyDescent="0.25">
      <c r="A159" s="1" t="s">
        <v>3</v>
      </c>
      <c r="B159" s="2" t="s">
        <v>1</v>
      </c>
      <c r="C159" s="2"/>
      <c r="D159" s="2"/>
    </row>
    <row r="160" spans="1:6" x14ac:dyDescent="0.25">
      <c r="A160" s="1" t="s">
        <v>5</v>
      </c>
      <c r="B160" s="2" t="s">
        <v>1</v>
      </c>
      <c r="C160" s="2"/>
      <c r="D160" s="2"/>
    </row>
    <row r="161" spans="1:6" x14ac:dyDescent="0.25">
      <c r="A161" s="1" t="s">
        <v>7</v>
      </c>
      <c r="B161" s="2" t="s">
        <v>1</v>
      </c>
      <c r="C161" s="2"/>
      <c r="D161" s="2"/>
    </row>
    <row r="162" spans="1:6" x14ac:dyDescent="0.25">
      <c r="A162" s="1" t="s">
        <v>8</v>
      </c>
      <c r="B162" s="2" t="s">
        <v>1</v>
      </c>
      <c r="C162" s="2"/>
      <c r="D162" s="2"/>
    </row>
    <row r="163" spans="1:6" x14ac:dyDescent="0.25">
      <c r="A163" s="1" t="s">
        <v>10</v>
      </c>
      <c r="B163" s="2" t="s">
        <v>1</v>
      </c>
      <c r="C163" s="2"/>
      <c r="D163" s="2"/>
    </row>
    <row r="164" spans="1:6" x14ac:dyDescent="0.25">
      <c r="B164">
        <f>COUNTIF(B158:B163,"x")*3</f>
        <v>18</v>
      </c>
      <c r="C164">
        <f>COUNTIF(C158:C163,"x")*2</f>
        <v>0</v>
      </c>
      <c r="D164">
        <f>COUNTIF(D158:D163,"x")</f>
        <v>0</v>
      </c>
    </row>
    <row r="165" spans="1:6" x14ac:dyDescent="0.25">
      <c r="F165" t="s">
        <v>12</v>
      </c>
    </row>
    <row r="166" spans="1:6" x14ac:dyDescent="0.25">
      <c r="D166" t="s">
        <v>14</v>
      </c>
      <c r="E166" s="8">
        <f>SUM(B164:D164)</f>
        <v>18</v>
      </c>
      <c r="F166" t="s">
        <v>15</v>
      </c>
    </row>
    <row r="167" spans="1:6" x14ac:dyDescent="0.25">
      <c r="F167" t="s">
        <v>17</v>
      </c>
    </row>
    <row r="170" spans="1:6" x14ac:dyDescent="0.25">
      <c r="A170" s="10">
        <v>14</v>
      </c>
      <c r="B170" s="1">
        <v>1</v>
      </c>
      <c r="C170" s="1">
        <v>2</v>
      </c>
      <c r="D170" s="1">
        <v>3</v>
      </c>
    </row>
    <row r="171" spans="1:6" x14ac:dyDescent="0.25">
      <c r="A171" s="1" t="s">
        <v>0</v>
      </c>
      <c r="B171" s="2" t="s">
        <v>1</v>
      </c>
      <c r="C171" s="2"/>
      <c r="D171" s="2"/>
    </row>
    <row r="172" spans="1:6" x14ac:dyDescent="0.25">
      <c r="A172" s="1" t="s">
        <v>3</v>
      </c>
      <c r="B172" s="2" t="s">
        <v>1</v>
      </c>
      <c r="C172" s="2"/>
      <c r="D172" s="2"/>
    </row>
    <row r="173" spans="1:6" x14ac:dyDescent="0.25">
      <c r="A173" s="1" t="s">
        <v>5</v>
      </c>
      <c r="B173" s="2" t="s">
        <v>1</v>
      </c>
      <c r="C173" s="2"/>
      <c r="D173" s="2"/>
    </row>
    <row r="174" spans="1:6" x14ac:dyDescent="0.25">
      <c r="A174" s="1" t="s">
        <v>7</v>
      </c>
      <c r="B174" s="2" t="s">
        <v>1</v>
      </c>
      <c r="C174" s="2"/>
      <c r="D174" s="2"/>
    </row>
    <row r="175" spans="1:6" x14ac:dyDescent="0.25">
      <c r="A175" s="1" t="s">
        <v>8</v>
      </c>
      <c r="B175" s="2" t="s">
        <v>1</v>
      </c>
      <c r="C175" s="2"/>
      <c r="D175" s="2"/>
    </row>
    <row r="176" spans="1:6" x14ac:dyDescent="0.25">
      <c r="A176" s="1" t="s">
        <v>10</v>
      </c>
      <c r="B176" s="2" t="s">
        <v>1</v>
      </c>
      <c r="C176" s="2"/>
      <c r="D176" s="2"/>
    </row>
    <row r="177" spans="1:6" x14ac:dyDescent="0.25">
      <c r="B177">
        <f>COUNTIF(B171:B176,"x")*3</f>
        <v>18</v>
      </c>
      <c r="C177">
        <f>COUNTIF(C171:C176,"x")*2</f>
        <v>0</v>
      </c>
      <c r="D177">
        <f>COUNTIF(D171:D176,"x")</f>
        <v>0</v>
      </c>
    </row>
    <row r="178" spans="1:6" x14ac:dyDescent="0.25">
      <c r="F178" t="s">
        <v>12</v>
      </c>
    </row>
    <row r="179" spans="1:6" x14ac:dyDescent="0.25">
      <c r="D179" t="s">
        <v>14</v>
      </c>
      <c r="E179" s="8">
        <f>SUM(B177:D177)</f>
        <v>18</v>
      </c>
      <c r="F179" t="s">
        <v>15</v>
      </c>
    </row>
    <row r="180" spans="1:6" x14ac:dyDescent="0.25">
      <c r="F180" t="s">
        <v>17</v>
      </c>
    </row>
    <row r="183" spans="1:6" x14ac:dyDescent="0.25">
      <c r="A183" s="10">
        <v>15</v>
      </c>
      <c r="B183" s="1">
        <v>1</v>
      </c>
      <c r="C183" s="1">
        <v>2</v>
      </c>
      <c r="D183" s="1">
        <v>3</v>
      </c>
    </row>
    <row r="184" spans="1:6" x14ac:dyDescent="0.25">
      <c r="A184" s="1" t="s">
        <v>0</v>
      </c>
      <c r="B184" s="2" t="s">
        <v>1</v>
      </c>
      <c r="C184" s="2"/>
      <c r="D184" s="2"/>
    </row>
    <row r="185" spans="1:6" x14ac:dyDescent="0.25">
      <c r="A185" s="1" t="s">
        <v>3</v>
      </c>
      <c r="B185" s="2" t="s">
        <v>1</v>
      </c>
      <c r="C185" s="2"/>
      <c r="D185" s="2"/>
    </row>
    <row r="186" spans="1:6" x14ac:dyDescent="0.25">
      <c r="A186" s="1" t="s">
        <v>5</v>
      </c>
      <c r="B186" s="2" t="s">
        <v>1</v>
      </c>
      <c r="C186" s="2"/>
      <c r="D186" s="2"/>
    </row>
    <row r="187" spans="1:6" x14ac:dyDescent="0.25">
      <c r="A187" s="1" t="s">
        <v>7</v>
      </c>
      <c r="B187" s="2" t="s">
        <v>1</v>
      </c>
      <c r="C187" s="2"/>
      <c r="D187" s="2"/>
    </row>
    <row r="188" spans="1:6" x14ac:dyDescent="0.25">
      <c r="A188" s="1" t="s">
        <v>8</v>
      </c>
      <c r="B188" s="2" t="s">
        <v>1</v>
      </c>
      <c r="C188" s="2"/>
      <c r="D188" s="2"/>
    </row>
    <row r="189" spans="1:6" x14ac:dyDescent="0.25">
      <c r="A189" s="1" t="s">
        <v>10</v>
      </c>
      <c r="B189" s="2" t="s">
        <v>1</v>
      </c>
      <c r="C189" s="2"/>
      <c r="D189" s="2"/>
    </row>
    <row r="190" spans="1:6" x14ac:dyDescent="0.25">
      <c r="B190">
        <f>COUNTIF(B184:B189,"x")*3</f>
        <v>18</v>
      </c>
      <c r="C190">
        <f>COUNTIF(C184:C189,"x")*2</f>
        <v>0</v>
      </c>
      <c r="D190">
        <f>COUNTIF(D184:D189,"x")</f>
        <v>0</v>
      </c>
    </row>
    <row r="191" spans="1:6" x14ac:dyDescent="0.25">
      <c r="F191" t="s">
        <v>12</v>
      </c>
    </row>
    <row r="192" spans="1:6" x14ac:dyDescent="0.25">
      <c r="D192" t="s">
        <v>14</v>
      </c>
      <c r="E192" s="8">
        <f>SUM(B190:D190)</f>
        <v>18</v>
      </c>
      <c r="F192" t="s">
        <v>15</v>
      </c>
    </row>
    <row r="193" spans="1:6" x14ac:dyDescent="0.25">
      <c r="F193" t="s">
        <v>17</v>
      </c>
    </row>
    <row r="194" spans="1:6" x14ac:dyDescent="0.25">
      <c r="A194" s="10">
        <v>16</v>
      </c>
      <c r="B194" s="1">
        <v>1</v>
      </c>
      <c r="C194" s="1">
        <v>2</v>
      </c>
      <c r="D194" s="1">
        <v>3</v>
      </c>
    </row>
    <row r="195" spans="1:6" x14ac:dyDescent="0.25">
      <c r="A195" s="1" t="s">
        <v>0</v>
      </c>
      <c r="B195" s="2" t="s">
        <v>1</v>
      </c>
      <c r="C195" s="2"/>
      <c r="D195" s="2"/>
    </row>
    <row r="196" spans="1:6" x14ac:dyDescent="0.25">
      <c r="A196" s="1" t="s">
        <v>3</v>
      </c>
      <c r="B196" s="2" t="s">
        <v>1</v>
      </c>
      <c r="C196" s="2"/>
      <c r="D196" s="2"/>
    </row>
    <row r="197" spans="1:6" x14ac:dyDescent="0.25">
      <c r="A197" s="1" t="s">
        <v>5</v>
      </c>
      <c r="B197" s="2" t="s">
        <v>1</v>
      </c>
      <c r="C197" s="2"/>
      <c r="D197" s="2"/>
    </row>
    <row r="198" spans="1:6" x14ac:dyDescent="0.25">
      <c r="A198" s="1" t="s">
        <v>7</v>
      </c>
      <c r="B198" s="2" t="s">
        <v>1</v>
      </c>
      <c r="C198" s="2"/>
      <c r="D198" s="2"/>
    </row>
    <row r="199" spans="1:6" x14ac:dyDescent="0.25">
      <c r="A199" s="1" t="s">
        <v>8</v>
      </c>
      <c r="B199" s="2" t="s">
        <v>1</v>
      </c>
      <c r="C199" s="2"/>
      <c r="D199" s="2"/>
    </row>
    <row r="200" spans="1:6" x14ac:dyDescent="0.25">
      <c r="A200" s="1" t="s">
        <v>10</v>
      </c>
      <c r="B200" s="2" t="s">
        <v>1</v>
      </c>
      <c r="C200" s="2"/>
      <c r="D200" s="2"/>
    </row>
    <row r="201" spans="1:6" x14ac:dyDescent="0.25">
      <c r="B201">
        <f>COUNTIF(B195:B200,"x")*3</f>
        <v>18</v>
      </c>
      <c r="C201">
        <f>COUNTIF(C195:C200,"x")*2</f>
        <v>0</v>
      </c>
      <c r="D201">
        <f>COUNTIF(D195:D200,"x")</f>
        <v>0</v>
      </c>
    </row>
    <row r="202" spans="1:6" x14ac:dyDescent="0.25">
      <c r="F202" t="s">
        <v>12</v>
      </c>
    </row>
    <row r="203" spans="1:6" x14ac:dyDescent="0.25">
      <c r="D203" t="s">
        <v>14</v>
      </c>
      <c r="E203" s="8">
        <f>SUM(B201:D201)</f>
        <v>18</v>
      </c>
      <c r="F203" t="s">
        <v>15</v>
      </c>
    </row>
    <row r="204" spans="1:6" x14ac:dyDescent="0.25">
      <c r="F204" t="s">
        <v>17</v>
      </c>
    </row>
    <row r="205" spans="1:6" x14ac:dyDescent="0.25">
      <c r="A205" s="10">
        <v>17</v>
      </c>
      <c r="B205" s="1">
        <v>1</v>
      </c>
      <c r="C205" s="1">
        <v>2</v>
      </c>
      <c r="D205" s="1">
        <v>3</v>
      </c>
    </row>
    <row r="206" spans="1:6" x14ac:dyDescent="0.25">
      <c r="A206" s="1" t="s">
        <v>0</v>
      </c>
      <c r="B206" s="2"/>
      <c r="C206" s="2"/>
      <c r="D206" s="2"/>
    </row>
    <row r="207" spans="1:6" x14ac:dyDescent="0.25">
      <c r="A207" s="1" t="s">
        <v>3</v>
      </c>
      <c r="B207" s="2"/>
      <c r="C207" s="2"/>
      <c r="D207" s="2"/>
    </row>
    <row r="208" spans="1:6" x14ac:dyDescent="0.25">
      <c r="A208" s="1" t="s">
        <v>5</v>
      </c>
      <c r="B208" s="2"/>
      <c r="C208" s="2"/>
      <c r="D208" s="2"/>
    </row>
    <row r="209" spans="1:6" x14ac:dyDescent="0.25">
      <c r="A209" s="1" t="s">
        <v>7</v>
      </c>
      <c r="B209" s="2"/>
      <c r="C209" s="2"/>
      <c r="D209" s="2"/>
    </row>
    <row r="210" spans="1:6" x14ac:dyDescent="0.25">
      <c r="A210" s="1" t="s">
        <v>8</v>
      </c>
      <c r="B210" s="2"/>
      <c r="C210" s="2"/>
      <c r="D210" s="2"/>
    </row>
    <row r="211" spans="1:6" x14ac:dyDescent="0.25">
      <c r="A211" s="1" t="s">
        <v>10</v>
      </c>
      <c r="B211" s="2"/>
      <c r="C211" s="2"/>
      <c r="D211" s="2"/>
    </row>
    <row r="212" spans="1:6" x14ac:dyDescent="0.25">
      <c r="B212">
        <f>COUNTIF(B206:B211,"x")*3</f>
        <v>0</v>
      </c>
      <c r="C212">
        <f>COUNTIF(C206:C211,"x")*2</f>
        <v>0</v>
      </c>
      <c r="D212">
        <f>COUNTIF(D206:D211,"x")</f>
        <v>0</v>
      </c>
    </row>
    <row r="213" spans="1:6" x14ac:dyDescent="0.25">
      <c r="F213" t="s">
        <v>12</v>
      </c>
    </row>
    <row r="214" spans="1:6" x14ac:dyDescent="0.25">
      <c r="D214" t="s">
        <v>14</v>
      </c>
      <c r="E214" s="8">
        <f>SUM(B212:D212)</f>
        <v>0</v>
      </c>
      <c r="F214" t="s">
        <v>15</v>
      </c>
    </row>
    <row r="215" spans="1:6" x14ac:dyDescent="0.25">
      <c r="F215" t="s">
        <v>17</v>
      </c>
    </row>
    <row r="216" spans="1:6" x14ac:dyDescent="0.25">
      <c r="A216" s="10">
        <v>18</v>
      </c>
      <c r="B216" s="1">
        <v>1</v>
      </c>
      <c r="C216" s="1">
        <v>2</v>
      </c>
      <c r="D216" s="1">
        <v>3</v>
      </c>
    </row>
    <row r="217" spans="1:6" x14ac:dyDescent="0.25">
      <c r="A217" s="1" t="s">
        <v>0</v>
      </c>
      <c r="B217" s="2"/>
      <c r="C217" s="2"/>
      <c r="D217" s="2"/>
    </row>
    <row r="218" spans="1:6" x14ac:dyDescent="0.25">
      <c r="A218" s="1" t="s">
        <v>3</v>
      </c>
      <c r="B218" s="2"/>
      <c r="C218" s="2"/>
      <c r="D218" s="2"/>
    </row>
    <row r="219" spans="1:6" x14ac:dyDescent="0.25">
      <c r="A219" s="1" t="s">
        <v>5</v>
      </c>
      <c r="B219" s="2"/>
      <c r="C219" s="2"/>
      <c r="D219" s="2"/>
    </row>
    <row r="220" spans="1:6" x14ac:dyDescent="0.25">
      <c r="A220" s="1" t="s">
        <v>7</v>
      </c>
      <c r="B220" s="2"/>
      <c r="C220" s="2"/>
      <c r="D220" s="2"/>
    </row>
    <row r="221" spans="1:6" x14ac:dyDescent="0.25">
      <c r="A221" s="1" t="s">
        <v>8</v>
      </c>
      <c r="B221" s="2"/>
      <c r="C221" s="2"/>
      <c r="D221" s="2"/>
    </row>
    <row r="222" spans="1:6" x14ac:dyDescent="0.25">
      <c r="A222" s="1" t="s">
        <v>10</v>
      </c>
      <c r="B222" s="2"/>
      <c r="C222" s="2"/>
      <c r="D222" s="2"/>
    </row>
    <row r="223" spans="1:6" x14ac:dyDescent="0.25">
      <c r="B223">
        <f>COUNTIF(B217:B222,"x")*3</f>
        <v>0</v>
      </c>
      <c r="C223">
        <f>COUNTIF(C217:C222,"x")*2</f>
        <v>0</v>
      </c>
      <c r="D223">
        <f>COUNTIF(D217:D222,"x")</f>
        <v>0</v>
      </c>
    </row>
    <row r="224" spans="1:6" x14ac:dyDescent="0.25">
      <c r="F224" t="s">
        <v>12</v>
      </c>
    </row>
    <row r="225" spans="1:6" x14ac:dyDescent="0.25">
      <c r="D225" t="s">
        <v>14</v>
      </c>
      <c r="E225" s="8">
        <f>SUM(B223:D223)</f>
        <v>0</v>
      </c>
      <c r="F225" t="s">
        <v>15</v>
      </c>
    </row>
    <row r="226" spans="1:6" x14ac:dyDescent="0.25">
      <c r="F226" t="s">
        <v>17</v>
      </c>
    </row>
    <row r="227" spans="1:6" x14ac:dyDescent="0.25">
      <c r="A227" s="10">
        <v>19</v>
      </c>
      <c r="B227" s="1">
        <v>1</v>
      </c>
      <c r="C227" s="1">
        <v>2</v>
      </c>
      <c r="D227" s="1">
        <v>3</v>
      </c>
    </row>
    <row r="228" spans="1:6" x14ac:dyDescent="0.25">
      <c r="A228" s="1" t="s">
        <v>0</v>
      </c>
      <c r="B228" s="2"/>
      <c r="C228" s="2"/>
      <c r="D228" s="2"/>
    </row>
    <row r="229" spans="1:6" x14ac:dyDescent="0.25">
      <c r="A229" s="1" t="s">
        <v>3</v>
      </c>
      <c r="B229" s="2"/>
      <c r="C229" s="2"/>
      <c r="D229" s="2"/>
    </row>
    <row r="230" spans="1:6" x14ac:dyDescent="0.25">
      <c r="A230" s="1" t="s">
        <v>5</v>
      </c>
      <c r="B230" s="2"/>
      <c r="C230" s="2"/>
      <c r="D230" s="2"/>
    </row>
    <row r="231" spans="1:6" x14ac:dyDescent="0.25">
      <c r="A231" s="1" t="s">
        <v>7</v>
      </c>
      <c r="B231" s="2"/>
      <c r="C231" s="2"/>
      <c r="D231" s="2"/>
    </row>
    <row r="232" spans="1:6" x14ac:dyDescent="0.25">
      <c r="A232" s="1" t="s">
        <v>8</v>
      </c>
      <c r="B232" s="2"/>
      <c r="C232" s="2"/>
      <c r="D232" s="2"/>
    </row>
    <row r="233" spans="1:6" x14ac:dyDescent="0.25">
      <c r="A233" s="1" t="s">
        <v>10</v>
      </c>
      <c r="B233" s="2"/>
      <c r="C233" s="2"/>
      <c r="D233" s="2"/>
    </row>
    <row r="234" spans="1:6" x14ac:dyDescent="0.25">
      <c r="B234">
        <f>COUNTIF(B228:B233,"x")*3</f>
        <v>0</v>
      </c>
      <c r="C234">
        <f>COUNTIF(C228:C233,"x")*2</f>
        <v>0</v>
      </c>
      <c r="D234">
        <f>COUNTIF(D228:D233,"x")</f>
        <v>0</v>
      </c>
    </row>
    <row r="235" spans="1:6" x14ac:dyDescent="0.25">
      <c r="F235" t="s">
        <v>12</v>
      </c>
    </row>
    <row r="236" spans="1:6" x14ac:dyDescent="0.25">
      <c r="D236" t="s">
        <v>14</v>
      </c>
      <c r="E236" s="8">
        <f>SUM(B234:D234)</f>
        <v>0</v>
      </c>
      <c r="F236" t="s">
        <v>15</v>
      </c>
    </row>
    <row r="237" spans="1:6" x14ac:dyDescent="0.25">
      <c r="F237" t="s">
        <v>17</v>
      </c>
    </row>
    <row r="238" spans="1:6" x14ac:dyDescent="0.25">
      <c r="A238" s="10">
        <v>20</v>
      </c>
      <c r="B238" s="1">
        <v>1</v>
      </c>
      <c r="C238" s="1">
        <v>2</v>
      </c>
      <c r="D238" s="1">
        <v>3</v>
      </c>
    </row>
    <row r="239" spans="1:6" x14ac:dyDescent="0.25">
      <c r="A239" s="1" t="s">
        <v>0</v>
      </c>
      <c r="B239" s="2"/>
      <c r="C239" s="2"/>
      <c r="D239" s="2"/>
    </row>
    <row r="240" spans="1:6" x14ac:dyDescent="0.25">
      <c r="A240" s="1" t="s">
        <v>3</v>
      </c>
      <c r="B240" s="2"/>
      <c r="C240" s="2"/>
      <c r="D240" s="2"/>
    </row>
    <row r="241" spans="1:6" x14ac:dyDescent="0.25">
      <c r="A241" s="1" t="s">
        <v>5</v>
      </c>
      <c r="B241" s="2"/>
      <c r="C241" s="2"/>
      <c r="D241" s="2"/>
    </row>
    <row r="242" spans="1:6" x14ac:dyDescent="0.25">
      <c r="A242" s="1" t="s">
        <v>7</v>
      </c>
      <c r="B242" s="2"/>
      <c r="C242" s="2"/>
      <c r="D242" s="2"/>
    </row>
    <row r="243" spans="1:6" x14ac:dyDescent="0.25">
      <c r="A243" s="1" t="s">
        <v>8</v>
      </c>
      <c r="B243" s="2"/>
      <c r="C243" s="2"/>
      <c r="D243" s="2"/>
    </row>
    <row r="244" spans="1:6" x14ac:dyDescent="0.25">
      <c r="A244" s="1" t="s">
        <v>10</v>
      </c>
      <c r="B244" s="2"/>
      <c r="C244" s="2"/>
      <c r="D244" s="2"/>
    </row>
    <row r="245" spans="1:6" x14ac:dyDescent="0.25">
      <c r="B245">
        <f>COUNTIF(B239:B244,"x")*3</f>
        <v>0</v>
      </c>
      <c r="C245">
        <f>COUNTIF(C239:C244,"x")*2</f>
        <v>0</v>
      </c>
      <c r="D245">
        <f>COUNTIF(D239:D244,"x")</f>
        <v>0</v>
      </c>
    </row>
    <row r="246" spans="1:6" x14ac:dyDescent="0.25">
      <c r="F246" t="s">
        <v>12</v>
      </c>
    </row>
    <row r="247" spans="1:6" x14ac:dyDescent="0.25">
      <c r="D247" t="s">
        <v>14</v>
      </c>
      <c r="E247" s="8">
        <f>SUM(B245:D245)</f>
        <v>0</v>
      </c>
      <c r="F247" t="s">
        <v>15</v>
      </c>
    </row>
    <row r="248" spans="1:6" x14ac:dyDescent="0.25">
      <c r="F248" t="s">
        <v>17</v>
      </c>
    </row>
    <row r="249" spans="1:6" x14ac:dyDescent="0.25">
      <c r="A249" s="10">
        <v>21</v>
      </c>
      <c r="B249" s="1">
        <v>1</v>
      </c>
      <c r="C249" s="1">
        <v>2</v>
      </c>
      <c r="D249" s="1">
        <v>3</v>
      </c>
    </row>
    <row r="250" spans="1:6" x14ac:dyDescent="0.25">
      <c r="A250" s="1" t="s">
        <v>0</v>
      </c>
      <c r="B250" s="2"/>
      <c r="C250" s="2"/>
      <c r="D250" s="2"/>
    </row>
    <row r="251" spans="1:6" x14ac:dyDescent="0.25">
      <c r="A251" s="1" t="s">
        <v>3</v>
      </c>
      <c r="B251" s="2"/>
      <c r="C251" s="2"/>
      <c r="D251" s="2"/>
    </row>
    <row r="252" spans="1:6" x14ac:dyDescent="0.25">
      <c r="A252" s="1" t="s">
        <v>5</v>
      </c>
      <c r="B252" s="2"/>
      <c r="C252" s="2"/>
      <c r="D252" s="2"/>
    </row>
    <row r="253" spans="1:6" x14ac:dyDescent="0.25">
      <c r="A253" s="1" t="s">
        <v>7</v>
      </c>
      <c r="B253" s="2"/>
      <c r="C253" s="2"/>
      <c r="D253" s="2"/>
    </row>
    <row r="254" spans="1:6" x14ac:dyDescent="0.25">
      <c r="A254" s="1" t="s">
        <v>8</v>
      </c>
      <c r="B254" s="2"/>
      <c r="C254" s="2"/>
      <c r="D254" s="2"/>
    </row>
    <row r="255" spans="1:6" x14ac:dyDescent="0.25">
      <c r="A255" s="1" t="s">
        <v>10</v>
      </c>
      <c r="B255" s="2"/>
      <c r="C255" s="2"/>
      <c r="D255" s="2"/>
    </row>
    <row r="256" spans="1:6" x14ac:dyDescent="0.25">
      <c r="B256">
        <f>COUNTIF(B250:B255,"x")*3</f>
        <v>0</v>
      </c>
      <c r="C256">
        <f>COUNTIF(C250:C255,"x")*2</f>
        <v>0</v>
      </c>
      <c r="D256">
        <f>COUNTIF(D250:D255,"x")</f>
        <v>0</v>
      </c>
    </row>
    <row r="257" spans="1:6" x14ac:dyDescent="0.25">
      <c r="F257" t="s">
        <v>12</v>
      </c>
    </row>
    <row r="258" spans="1:6" x14ac:dyDescent="0.25">
      <c r="D258" t="s">
        <v>14</v>
      </c>
      <c r="E258" s="8">
        <f>SUM(B256:D256)</f>
        <v>0</v>
      </c>
      <c r="F258" t="s">
        <v>15</v>
      </c>
    </row>
    <row r="259" spans="1:6" x14ac:dyDescent="0.25">
      <c r="F259" t="s">
        <v>17</v>
      </c>
    </row>
    <row r="262" spans="1:6" x14ac:dyDescent="0.25">
      <c r="A262" s="10">
        <v>22</v>
      </c>
      <c r="B262" s="1">
        <v>1</v>
      </c>
      <c r="C262" s="1">
        <v>2</v>
      </c>
      <c r="D262" s="1">
        <v>3</v>
      </c>
    </row>
    <row r="263" spans="1:6" x14ac:dyDescent="0.25">
      <c r="A263" s="1" t="s">
        <v>0</v>
      </c>
      <c r="B263" s="2"/>
      <c r="C263" s="2"/>
      <c r="D263" s="2"/>
    </row>
    <row r="264" spans="1:6" x14ac:dyDescent="0.25">
      <c r="A264" s="1" t="s">
        <v>3</v>
      </c>
      <c r="B264" s="2"/>
      <c r="C264" s="2"/>
      <c r="D264" s="2"/>
    </row>
    <row r="265" spans="1:6" x14ac:dyDescent="0.25">
      <c r="A265" s="1" t="s">
        <v>5</v>
      </c>
      <c r="B265" s="2"/>
      <c r="C265" s="2"/>
      <c r="D265" s="2"/>
    </row>
    <row r="266" spans="1:6" x14ac:dyDescent="0.25">
      <c r="A266" s="1" t="s">
        <v>7</v>
      </c>
      <c r="B266" s="2"/>
      <c r="C266" s="2"/>
      <c r="D266" s="2"/>
    </row>
    <row r="267" spans="1:6" x14ac:dyDescent="0.25">
      <c r="A267" s="1" t="s">
        <v>8</v>
      </c>
      <c r="B267" s="2"/>
      <c r="C267" s="2"/>
      <c r="D267" s="2"/>
    </row>
    <row r="268" spans="1:6" x14ac:dyDescent="0.25">
      <c r="A268" s="1" t="s">
        <v>10</v>
      </c>
      <c r="B268" s="2"/>
      <c r="C268" s="2"/>
      <c r="D268" s="2"/>
    </row>
    <row r="269" spans="1:6" x14ac:dyDescent="0.25">
      <c r="B269">
        <f>COUNTIF(B263:B268,"x")*3</f>
        <v>0</v>
      </c>
      <c r="C269">
        <f>COUNTIF(C263:C268,"x")*2</f>
        <v>0</v>
      </c>
      <c r="D269">
        <f>COUNTIF(D263:D268,"x")</f>
        <v>0</v>
      </c>
    </row>
    <row r="270" spans="1:6" x14ac:dyDescent="0.25">
      <c r="F270" t="s">
        <v>12</v>
      </c>
    </row>
    <row r="271" spans="1:6" x14ac:dyDescent="0.25">
      <c r="D271" t="s">
        <v>14</v>
      </c>
      <c r="E271" s="8">
        <f>SUM(B269:D269)</f>
        <v>0</v>
      </c>
      <c r="F271" t="s">
        <v>15</v>
      </c>
    </row>
    <row r="272" spans="1:6" x14ac:dyDescent="0.25">
      <c r="F272" t="s">
        <v>17</v>
      </c>
    </row>
    <row r="275" spans="1:6" x14ac:dyDescent="0.25">
      <c r="A275" s="10">
        <v>23</v>
      </c>
      <c r="B275" s="1">
        <v>1</v>
      </c>
      <c r="C275" s="1">
        <v>2</v>
      </c>
      <c r="D275" s="1">
        <v>3</v>
      </c>
    </row>
    <row r="276" spans="1:6" x14ac:dyDescent="0.25">
      <c r="A276" s="1" t="s">
        <v>0</v>
      </c>
      <c r="B276" s="2"/>
      <c r="C276" s="2"/>
      <c r="D276" s="2"/>
    </row>
    <row r="277" spans="1:6" x14ac:dyDescent="0.25">
      <c r="A277" s="1" t="s">
        <v>3</v>
      </c>
      <c r="B277" s="2"/>
      <c r="C277" s="2"/>
      <c r="D277" s="2"/>
    </row>
    <row r="278" spans="1:6" x14ac:dyDescent="0.25">
      <c r="A278" s="1" t="s">
        <v>5</v>
      </c>
      <c r="B278" s="2"/>
      <c r="C278" s="2"/>
      <c r="D278" s="2"/>
    </row>
    <row r="279" spans="1:6" x14ac:dyDescent="0.25">
      <c r="A279" s="1" t="s">
        <v>7</v>
      </c>
      <c r="B279" s="2"/>
      <c r="C279" s="2"/>
      <c r="D279" s="2"/>
    </row>
    <row r="280" spans="1:6" x14ac:dyDescent="0.25">
      <c r="A280" s="1" t="s">
        <v>8</v>
      </c>
      <c r="B280" s="2"/>
      <c r="C280" s="2"/>
      <c r="D280" s="2"/>
    </row>
    <row r="281" spans="1:6" x14ac:dyDescent="0.25">
      <c r="A281" s="1" t="s">
        <v>10</v>
      </c>
      <c r="B281" s="2"/>
      <c r="C281" s="2"/>
      <c r="D281" s="2"/>
    </row>
    <row r="282" spans="1:6" x14ac:dyDescent="0.25">
      <c r="B282">
        <f>COUNTIF(B276:B281,"x")*3</f>
        <v>0</v>
      </c>
      <c r="C282">
        <f>COUNTIF(C276:C281,"x")*2</f>
        <v>0</v>
      </c>
      <c r="D282">
        <f>COUNTIF(D276:D281,"x")</f>
        <v>0</v>
      </c>
    </row>
    <row r="283" spans="1:6" x14ac:dyDescent="0.25">
      <c r="F283" t="s">
        <v>12</v>
      </c>
    </row>
    <row r="284" spans="1:6" x14ac:dyDescent="0.25">
      <c r="D284" t="s">
        <v>14</v>
      </c>
      <c r="E284" s="8">
        <f>SUM(B282:D282)</f>
        <v>0</v>
      </c>
      <c r="F284" t="s">
        <v>15</v>
      </c>
    </row>
    <row r="285" spans="1:6" x14ac:dyDescent="0.25">
      <c r="F285" t="s">
        <v>17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15-04-2025</vt:lpstr>
      <vt:lpstr>29-10-2025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Massimo</dc:creator>
  <cp:lastModifiedBy>Ufficio Qualità</cp:lastModifiedBy>
  <cp:revision>3</cp:revision>
  <dcterms:created xsi:type="dcterms:W3CDTF">2022-06-14T14:07:54Z</dcterms:created>
  <dcterms:modified xsi:type="dcterms:W3CDTF">2025-11-11T13:53:28Z</dcterms:modified>
</cp:coreProperties>
</file>