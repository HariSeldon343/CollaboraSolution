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5\Arc\CdG QUALITA'\10. SMETA 4-PILLAR\AUDIT SMETA 10-14-03-2025\"/>
    </mc:Choice>
  </mc:AlternateContent>
  <xr:revisionPtr revIDLastSave="0" documentId="13_ncr:1_{F6BC7341-6B86-4688-BBDE-DB1E36E10C0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i personale" sheetId="1" r:id="rId1"/>
    <sheet name="Dati CCNL" sheetId="2" r:id="rId2"/>
    <sheet name="Elenco lavoratori" sheetId="3" r:id="rId3"/>
    <sheet name="Health &amp; Safety" sheetId="7" r:id="rId4"/>
    <sheet name="Ambientale" sheetId="6" r:id="rId5"/>
    <sheet name="altre informazioni" sheetId="5" r:id="rId6"/>
  </sheets>
  <definedNames>
    <definedName name="_xlnm._FilterDatabase" localSheetId="2" hidden="1">'Elenco lavoratori'!$B$1:$AD$1000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000" i="3" l="1"/>
  <c r="AA999" i="3"/>
  <c r="AA998" i="3"/>
  <c r="AA997" i="3"/>
  <c r="AA996" i="3"/>
  <c r="AA995" i="3"/>
  <c r="AA994" i="3"/>
  <c r="AA993" i="3"/>
  <c r="AA992" i="3"/>
  <c r="AA991" i="3"/>
  <c r="AA990" i="3"/>
  <c r="AA989" i="3"/>
  <c r="AA988" i="3"/>
  <c r="AA987" i="3"/>
  <c r="AA986" i="3"/>
  <c r="AA985" i="3"/>
  <c r="AA984" i="3"/>
  <c r="AA983" i="3"/>
  <c r="AA982" i="3"/>
  <c r="AA981" i="3"/>
  <c r="AA980" i="3"/>
  <c r="AA979" i="3"/>
  <c r="AA978" i="3"/>
  <c r="AA977" i="3"/>
  <c r="AA976" i="3"/>
  <c r="AA975" i="3"/>
  <c r="AA974" i="3"/>
  <c r="AA973" i="3"/>
  <c r="AA972" i="3"/>
  <c r="AA971" i="3"/>
  <c r="AA970" i="3"/>
  <c r="AA969" i="3"/>
  <c r="AA968" i="3"/>
  <c r="AA967" i="3"/>
  <c r="AA966" i="3"/>
  <c r="AA965" i="3"/>
  <c r="AA964" i="3"/>
  <c r="AA963" i="3"/>
  <c r="AA962" i="3"/>
  <c r="AA961" i="3"/>
  <c r="AA960" i="3"/>
  <c r="AA959" i="3"/>
  <c r="AA958" i="3"/>
  <c r="AA957" i="3"/>
  <c r="AA956" i="3"/>
  <c r="AA955" i="3"/>
  <c r="AA954" i="3"/>
  <c r="AA953" i="3"/>
  <c r="AA952" i="3"/>
  <c r="AA951" i="3"/>
  <c r="AA950" i="3"/>
  <c r="AA949" i="3"/>
  <c r="AA948" i="3"/>
  <c r="AA947" i="3"/>
  <c r="AA946" i="3"/>
  <c r="AA945" i="3"/>
  <c r="AA944" i="3"/>
  <c r="AA943" i="3"/>
  <c r="AA942" i="3"/>
  <c r="AA941" i="3"/>
  <c r="AA940" i="3"/>
  <c r="AA939" i="3"/>
  <c r="AA938" i="3"/>
  <c r="AA937" i="3"/>
  <c r="AA936" i="3"/>
  <c r="AA935" i="3"/>
  <c r="AA934" i="3"/>
  <c r="AA933" i="3"/>
  <c r="AA932" i="3"/>
  <c r="AA931" i="3"/>
  <c r="AA930" i="3"/>
  <c r="AA929" i="3"/>
  <c r="AA928" i="3"/>
  <c r="AA927" i="3"/>
  <c r="AA926" i="3"/>
  <c r="AA925" i="3"/>
  <c r="AA924" i="3"/>
  <c r="AA923" i="3"/>
  <c r="AA922" i="3"/>
  <c r="AA921" i="3"/>
  <c r="AA920" i="3"/>
  <c r="AA919" i="3"/>
  <c r="AA918" i="3"/>
  <c r="AA917" i="3"/>
  <c r="AA916" i="3"/>
  <c r="AA915" i="3"/>
  <c r="AA914" i="3"/>
  <c r="AA913" i="3"/>
  <c r="AA912" i="3"/>
  <c r="AA911" i="3"/>
  <c r="AA910" i="3"/>
  <c r="AA909" i="3"/>
  <c r="AA908" i="3"/>
  <c r="AA907" i="3"/>
  <c r="AA906" i="3"/>
  <c r="AA905" i="3"/>
  <c r="AA904" i="3"/>
  <c r="AA903" i="3"/>
  <c r="AA902" i="3"/>
  <c r="AA901" i="3"/>
  <c r="AA900" i="3"/>
  <c r="AA899" i="3"/>
  <c r="AA898" i="3"/>
  <c r="AA897" i="3"/>
  <c r="AA896" i="3"/>
  <c r="AA895" i="3"/>
  <c r="AA894" i="3"/>
  <c r="AA893" i="3"/>
  <c r="AA892" i="3"/>
  <c r="AA891" i="3"/>
  <c r="AA890" i="3"/>
  <c r="AA889" i="3"/>
  <c r="AA888" i="3"/>
  <c r="AA887" i="3"/>
  <c r="AA886" i="3"/>
  <c r="AA885" i="3"/>
  <c r="AA884" i="3"/>
  <c r="AA883" i="3"/>
  <c r="AA882" i="3"/>
  <c r="AA881" i="3"/>
  <c r="AA880" i="3"/>
  <c r="AA879" i="3"/>
  <c r="AA878" i="3"/>
  <c r="AA877" i="3"/>
  <c r="AA876" i="3"/>
  <c r="AA875" i="3"/>
  <c r="AA874" i="3"/>
  <c r="AA873" i="3"/>
  <c r="AA872" i="3"/>
  <c r="AA871" i="3"/>
  <c r="AA870" i="3"/>
  <c r="AA869" i="3"/>
  <c r="AA868" i="3"/>
  <c r="AA867" i="3"/>
  <c r="AA866" i="3"/>
  <c r="AA865" i="3"/>
  <c r="AA864" i="3"/>
  <c r="AA863" i="3"/>
  <c r="AA862" i="3"/>
  <c r="AA861" i="3"/>
  <c r="AA860" i="3"/>
  <c r="AA859" i="3"/>
  <c r="AA858" i="3"/>
  <c r="AA857" i="3"/>
  <c r="AA856" i="3"/>
  <c r="AA855" i="3"/>
  <c r="AA854" i="3"/>
  <c r="AA853" i="3"/>
  <c r="AA852" i="3"/>
  <c r="AA851" i="3"/>
  <c r="AA850" i="3"/>
  <c r="AA849" i="3"/>
  <c r="AA848" i="3"/>
  <c r="AA847" i="3"/>
  <c r="AA846" i="3"/>
  <c r="AA845" i="3"/>
  <c r="AA844" i="3"/>
  <c r="AA843" i="3"/>
  <c r="AA842" i="3"/>
  <c r="AA841" i="3"/>
  <c r="AA840" i="3"/>
  <c r="AA839" i="3"/>
  <c r="AA838" i="3"/>
  <c r="AA837" i="3"/>
  <c r="AA836" i="3"/>
  <c r="AA835" i="3"/>
  <c r="AA834" i="3"/>
  <c r="AA833" i="3"/>
  <c r="AA832" i="3"/>
  <c r="AA831" i="3"/>
  <c r="AA830" i="3"/>
  <c r="AA829" i="3"/>
  <c r="AA828" i="3"/>
  <c r="AA827" i="3"/>
  <c r="AA826" i="3"/>
  <c r="AA825" i="3"/>
  <c r="AA824" i="3"/>
  <c r="AA823" i="3"/>
  <c r="AA822" i="3"/>
  <c r="AA821" i="3"/>
  <c r="AA820" i="3"/>
  <c r="AA819" i="3"/>
  <c r="AA818" i="3"/>
  <c r="AA817" i="3"/>
  <c r="AA816" i="3"/>
  <c r="AA815" i="3"/>
  <c r="AA814" i="3"/>
  <c r="AA813" i="3"/>
  <c r="AA812" i="3"/>
  <c r="AA811" i="3"/>
  <c r="AA810" i="3"/>
  <c r="AA809" i="3"/>
  <c r="AA808" i="3"/>
  <c r="AA807" i="3"/>
  <c r="AA806" i="3"/>
  <c r="AA805" i="3"/>
  <c r="AA804" i="3"/>
  <c r="AA803" i="3"/>
  <c r="AA802" i="3"/>
  <c r="AA801" i="3"/>
  <c r="AA800" i="3"/>
  <c r="AA799" i="3"/>
  <c r="AA798" i="3"/>
  <c r="AA797" i="3"/>
  <c r="AA796" i="3"/>
  <c r="AA795" i="3"/>
  <c r="AA794" i="3"/>
  <c r="AA793" i="3"/>
  <c r="AA792" i="3"/>
  <c r="AA791" i="3"/>
  <c r="AA790" i="3"/>
  <c r="AA789" i="3"/>
  <c r="AA788" i="3"/>
  <c r="AA787" i="3"/>
  <c r="AA786" i="3"/>
  <c r="AA785" i="3"/>
  <c r="AA784" i="3"/>
  <c r="AA783" i="3"/>
  <c r="AA782" i="3"/>
  <c r="AA781" i="3"/>
  <c r="AA780" i="3"/>
  <c r="AA779" i="3"/>
  <c r="AA778" i="3"/>
  <c r="AA777" i="3"/>
  <c r="AA776" i="3"/>
  <c r="AA775" i="3"/>
  <c r="AA774" i="3"/>
  <c r="AA773" i="3"/>
  <c r="AA772" i="3"/>
  <c r="AA771" i="3"/>
  <c r="AA770" i="3"/>
  <c r="AA769" i="3"/>
  <c r="AA768" i="3"/>
  <c r="AA767" i="3"/>
  <c r="AA766" i="3"/>
  <c r="AA765" i="3"/>
  <c r="AA764" i="3"/>
  <c r="AA763" i="3"/>
  <c r="AA762" i="3"/>
  <c r="AA761" i="3"/>
  <c r="AA760" i="3"/>
  <c r="AA759" i="3"/>
  <c r="AA758" i="3"/>
  <c r="AA757" i="3"/>
  <c r="AA756" i="3"/>
  <c r="AA755" i="3"/>
  <c r="AA754" i="3"/>
  <c r="AA753" i="3"/>
  <c r="AA752" i="3"/>
  <c r="AA751" i="3"/>
  <c r="AA750" i="3"/>
  <c r="AA749" i="3"/>
  <c r="AA748" i="3"/>
  <c r="AA747" i="3"/>
  <c r="AA746" i="3"/>
  <c r="AA745" i="3"/>
  <c r="AA744" i="3"/>
  <c r="AA743" i="3"/>
  <c r="AA742" i="3"/>
  <c r="AA741" i="3"/>
  <c r="AA740" i="3"/>
  <c r="AA739" i="3"/>
  <c r="AA738" i="3"/>
  <c r="AA737" i="3"/>
  <c r="AA736" i="3"/>
  <c r="AA735" i="3"/>
  <c r="AA734" i="3"/>
  <c r="AA733" i="3"/>
  <c r="AA732" i="3"/>
  <c r="AA731" i="3"/>
  <c r="AA730" i="3"/>
  <c r="AA729" i="3"/>
  <c r="AA728" i="3"/>
  <c r="AA727" i="3"/>
  <c r="AA726" i="3"/>
  <c r="AA725" i="3"/>
  <c r="AA724" i="3"/>
  <c r="AA723" i="3"/>
  <c r="AA722" i="3"/>
  <c r="AA721" i="3"/>
  <c r="AA720" i="3"/>
  <c r="AA719" i="3"/>
  <c r="AA718" i="3"/>
  <c r="AA717" i="3"/>
  <c r="AA716" i="3"/>
  <c r="AA715" i="3"/>
  <c r="AA714" i="3"/>
  <c r="AA713" i="3"/>
  <c r="AA712" i="3"/>
  <c r="AA711" i="3"/>
  <c r="AA710" i="3"/>
  <c r="AA709" i="3"/>
  <c r="AA708" i="3"/>
  <c r="AA707" i="3"/>
  <c r="AA706" i="3"/>
  <c r="AA705" i="3"/>
  <c r="AA704" i="3"/>
  <c r="AA703" i="3"/>
  <c r="AA702" i="3"/>
  <c r="AA701" i="3"/>
  <c r="AA700" i="3"/>
  <c r="AA699" i="3"/>
  <c r="AA698" i="3"/>
  <c r="AA697" i="3"/>
  <c r="AA696" i="3"/>
  <c r="AA695" i="3"/>
  <c r="AA694" i="3"/>
  <c r="AA693" i="3"/>
  <c r="AA692" i="3"/>
  <c r="AA691" i="3"/>
  <c r="AA690" i="3"/>
  <c r="AA689" i="3"/>
  <c r="AA688" i="3"/>
  <c r="AA687" i="3"/>
  <c r="AA686" i="3"/>
  <c r="AA685" i="3"/>
  <c r="AA684" i="3"/>
  <c r="AA683" i="3"/>
  <c r="AA682" i="3"/>
  <c r="AA681" i="3"/>
  <c r="AA680" i="3"/>
  <c r="AA679" i="3"/>
  <c r="AA678" i="3"/>
  <c r="AA677" i="3"/>
  <c r="AA676" i="3"/>
  <c r="AA675" i="3"/>
  <c r="AA674" i="3"/>
  <c r="AA673" i="3"/>
  <c r="AA672" i="3"/>
  <c r="AA671" i="3"/>
  <c r="AA670" i="3"/>
  <c r="AA669" i="3"/>
  <c r="AA668" i="3"/>
  <c r="AA667" i="3"/>
  <c r="AA666" i="3"/>
  <c r="AA665" i="3"/>
  <c r="AA664" i="3"/>
  <c r="AA663" i="3"/>
  <c r="AA662" i="3"/>
  <c r="AA661" i="3"/>
  <c r="AA660" i="3"/>
  <c r="AA659" i="3"/>
  <c r="AA658" i="3"/>
  <c r="AA657" i="3"/>
  <c r="AA656" i="3"/>
  <c r="AA655" i="3"/>
  <c r="AA654" i="3"/>
  <c r="AA653" i="3"/>
  <c r="AA652" i="3"/>
  <c r="AA651" i="3"/>
  <c r="AA650" i="3"/>
  <c r="AA649" i="3"/>
  <c r="AA648" i="3"/>
  <c r="AA647" i="3"/>
  <c r="AA646" i="3"/>
  <c r="AA645" i="3"/>
  <c r="AA644" i="3"/>
  <c r="AA643" i="3"/>
  <c r="AA642" i="3"/>
  <c r="AA641" i="3"/>
  <c r="AA640" i="3"/>
  <c r="AA639" i="3"/>
  <c r="AA638" i="3"/>
  <c r="AA637" i="3"/>
  <c r="AA636" i="3"/>
  <c r="AA635" i="3"/>
  <c r="AA634" i="3"/>
  <c r="AA633" i="3"/>
  <c r="AA632" i="3"/>
  <c r="AA631" i="3"/>
  <c r="AA630" i="3"/>
  <c r="AA629" i="3"/>
  <c r="AA628" i="3"/>
  <c r="AA627" i="3"/>
  <c r="AA626" i="3"/>
  <c r="AA625" i="3"/>
  <c r="AA624" i="3"/>
  <c r="AA623" i="3"/>
  <c r="AA622" i="3"/>
  <c r="AA621" i="3"/>
  <c r="AA620" i="3"/>
  <c r="AA619" i="3"/>
  <c r="AA618" i="3"/>
  <c r="AA617" i="3"/>
  <c r="AA616" i="3"/>
  <c r="AA615" i="3"/>
  <c r="AA614" i="3"/>
  <c r="AA613" i="3"/>
  <c r="AA612" i="3"/>
  <c r="AA611" i="3"/>
  <c r="AA610" i="3"/>
  <c r="AA609" i="3"/>
  <c r="AA608" i="3"/>
  <c r="AA607" i="3"/>
  <c r="AA606" i="3"/>
  <c r="AA605" i="3"/>
  <c r="AA604" i="3"/>
  <c r="AA603" i="3"/>
  <c r="AA602" i="3"/>
  <c r="AA601" i="3"/>
  <c r="AA600" i="3"/>
  <c r="AA599" i="3"/>
  <c r="AA598" i="3"/>
  <c r="AA597" i="3"/>
  <c r="AA596" i="3"/>
  <c r="AA595" i="3"/>
  <c r="AA594" i="3"/>
  <c r="AA593" i="3"/>
  <c r="AA592" i="3"/>
  <c r="AA591" i="3"/>
  <c r="AA590" i="3"/>
  <c r="AA589" i="3"/>
  <c r="AA588" i="3"/>
  <c r="AA587" i="3"/>
  <c r="AA586" i="3"/>
  <c r="AA585" i="3"/>
  <c r="AA584" i="3"/>
  <c r="AA583" i="3"/>
  <c r="AA582" i="3"/>
  <c r="AA581" i="3"/>
  <c r="AA580" i="3"/>
  <c r="AA579" i="3"/>
  <c r="AA578" i="3"/>
  <c r="AA577" i="3"/>
  <c r="AA576" i="3"/>
  <c r="AA575" i="3"/>
  <c r="AA574" i="3"/>
  <c r="AA573" i="3"/>
  <c r="AA572" i="3"/>
  <c r="AA571" i="3"/>
  <c r="AA570" i="3"/>
  <c r="AA569" i="3"/>
  <c r="AA568" i="3"/>
  <c r="AA567" i="3"/>
  <c r="AA566" i="3"/>
  <c r="AA565" i="3"/>
  <c r="AA564" i="3"/>
  <c r="AA563" i="3"/>
  <c r="AA562" i="3"/>
  <c r="AA561" i="3"/>
  <c r="AA560" i="3"/>
  <c r="AA559" i="3"/>
  <c r="AA558" i="3"/>
  <c r="AA557" i="3"/>
  <c r="AA556" i="3"/>
  <c r="AA555" i="3"/>
  <c r="AA554" i="3"/>
  <c r="AA553" i="3"/>
  <c r="AA552" i="3"/>
  <c r="AA551" i="3"/>
  <c r="AA550" i="3"/>
  <c r="AA549" i="3"/>
  <c r="AA548" i="3"/>
  <c r="AA547" i="3"/>
  <c r="AA546" i="3"/>
  <c r="AA545" i="3"/>
  <c r="AA544" i="3"/>
  <c r="AA543" i="3"/>
  <c r="AA542" i="3"/>
  <c r="AA541" i="3"/>
  <c r="AA540" i="3"/>
  <c r="AA539" i="3"/>
  <c r="AA538" i="3"/>
  <c r="AA537" i="3"/>
  <c r="AA536" i="3"/>
  <c r="AA535" i="3"/>
  <c r="AA534" i="3"/>
  <c r="AA533" i="3"/>
  <c r="AA532" i="3"/>
  <c r="AA531" i="3"/>
  <c r="AA530" i="3"/>
  <c r="AA529" i="3"/>
  <c r="AA528" i="3"/>
  <c r="AA527" i="3"/>
  <c r="AA526" i="3"/>
  <c r="AA525" i="3"/>
  <c r="AA524" i="3"/>
  <c r="AA523" i="3"/>
  <c r="AA522" i="3"/>
  <c r="AA521" i="3"/>
  <c r="AA520" i="3"/>
  <c r="AA519" i="3"/>
  <c r="AA518" i="3"/>
  <c r="AA517" i="3"/>
  <c r="AA516" i="3"/>
  <c r="AA515" i="3"/>
  <c r="AA514" i="3"/>
  <c r="AA513" i="3"/>
  <c r="AA512" i="3"/>
  <c r="AA511" i="3"/>
  <c r="AA510" i="3"/>
  <c r="AA509" i="3"/>
  <c r="AA508" i="3"/>
  <c r="AA507" i="3"/>
  <c r="AA506" i="3"/>
  <c r="AA505" i="3"/>
  <c r="AA504" i="3"/>
  <c r="AA503" i="3"/>
  <c r="AA502" i="3"/>
  <c r="AA501" i="3"/>
  <c r="AA500" i="3"/>
  <c r="AA499" i="3"/>
  <c r="AA498" i="3"/>
  <c r="AA497" i="3"/>
  <c r="AA496" i="3"/>
  <c r="AA495" i="3"/>
  <c r="AA494" i="3"/>
  <c r="AA493" i="3"/>
  <c r="AA492" i="3"/>
  <c r="AA491" i="3"/>
  <c r="AA490" i="3"/>
  <c r="AA489" i="3"/>
  <c r="AA488" i="3"/>
  <c r="AA487" i="3"/>
  <c r="AA486" i="3"/>
  <c r="AA485" i="3"/>
  <c r="AA484" i="3"/>
  <c r="AA483" i="3"/>
  <c r="AA482" i="3"/>
  <c r="AA481" i="3"/>
  <c r="AA480" i="3"/>
  <c r="AA479" i="3"/>
  <c r="AA478" i="3"/>
  <c r="AA477" i="3"/>
  <c r="AA476" i="3"/>
  <c r="AA475" i="3"/>
  <c r="AA474" i="3"/>
  <c r="AA473" i="3"/>
  <c r="AA472" i="3"/>
  <c r="AA471" i="3"/>
  <c r="AA470" i="3"/>
  <c r="AA469" i="3"/>
  <c r="AA468" i="3"/>
  <c r="AA467" i="3"/>
  <c r="AA466" i="3"/>
  <c r="AA465" i="3"/>
  <c r="AA464" i="3"/>
  <c r="AA463" i="3"/>
  <c r="AA462" i="3"/>
  <c r="AA461" i="3"/>
  <c r="AA460" i="3"/>
  <c r="AA459" i="3"/>
  <c r="AA458" i="3"/>
  <c r="AA457" i="3"/>
  <c r="AA456" i="3"/>
  <c r="AA455" i="3"/>
  <c r="AA454" i="3"/>
  <c r="AA453" i="3"/>
  <c r="AA452" i="3"/>
  <c r="AA451" i="3"/>
  <c r="AA450" i="3"/>
  <c r="AA449" i="3"/>
  <c r="AA448" i="3"/>
  <c r="AA447" i="3"/>
  <c r="AA446" i="3"/>
  <c r="AA445" i="3"/>
  <c r="AA444" i="3"/>
  <c r="AA443" i="3"/>
  <c r="AA442" i="3"/>
  <c r="AA441" i="3"/>
  <c r="AA440" i="3"/>
  <c r="AA439" i="3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G37" i="1"/>
  <c r="F37" i="1"/>
  <c r="E37" i="1"/>
  <c r="D37" i="1"/>
  <c r="C37" i="1"/>
  <c r="B37" i="1"/>
  <c r="C36" i="1"/>
  <c r="D36" i="1"/>
  <c r="E36" i="1"/>
  <c r="F36" i="1"/>
  <c r="G36" i="1"/>
  <c r="B36" i="1"/>
  <c r="J15" i="1"/>
  <c r="I15" i="1"/>
  <c r="H15" i="1"/>
  <c r="J30" i="1"/>
  <c r="I30" i="1"/>
  <c r="H30" i="1"/>
  <c r="J29" i="1"/>
  <c r="I29" i="1"/>
  <c r="H29" i="1"/>
  <c r="J28" i="1"/>
  <c r="G35" i="1" s="1"/>
  <c r="I28" i="1"/>
  <c r="F35" i="1" s="1"/>
  <c r="H28" i="1"/>
  <c r="E35" i="1" s="1"/>
  <c r="I27" i="1"/>
  <c r="C34" i="1" s="1"/>
  <c r="J27" i="1"/>
  <c r="D34" i="1" s="1"/>
  <c r="H27" i="1"/>
  <c r="B34" i="1" s="1"/>
  <c r="S6" i="1"/>
  <c r="R6" i="1"/>
  <c r="S10" i="1"/>
  <c r="O6" i="1"/>
  <c r="N6" i="1"/>
  <c r="O11" i="1"/>
  <c r="O10" i="1"/>
  <c r="K5" i="1"/>
  <c r="K4" i="1"/>
  <c r="L5" i="1"/>
  <c r="H11" i="1" s="1"/>
  <c r="L4" i="1"/>
  <c r="E10" i="1" s="1"/>
  <c r="H6" i="1"/>
  <c r="G6" i="1"/>
  <c r="F6" i="1"/>
  <c r="E6" i="1"/>
  <c r="H37" i="1" l="1"/>
  <c r="T6" i="1"/>
  <c r="T10" i="1" s="1"/>
  <c r="I36" i="1"/>
  <c r="I37" i="1"/>
  <c r="J37" i="1"/>
  <c r="J36" i="1"/>
  <c r="H36" i="1"/>
  <c r="E34" i="1"/>
  <c r="H34" i="1" s="1"/>
  <c r="B35" i="1"/>
  <c r="H35" i="1" s="1"/>
  <c r="C35" i="1"/>
  <c r="I35" i="1" s="1"/>
  <c r="D35" i="1"/>
  <c r="J35" i="1" s="1"/>
  <c r="G34" i="1"/>
  <c r="J34" i="1" s="1"/>
  <c r="F34" i="1"/>
  <c r="I34" i="1" s="1"/>
  <c r="N11" i="1"/>
  <c r="R10" i="1"/>
  <c r="R11" i="1"/>
  <c r="S11" i="1"/>
  <c r="N10" i="1"/>
  <c r="H10" i="1"/>
  <c r="F10" i="1"/>
  <c r="G10" i="1"/>
  <c r="J10" i="1"/>
  <c r="I11" i="1"/>
  <c r="I10" i="1"/>
  <c r="J11" i="1"/>
  <c r="B10" i="1"/>
  <c r="C10" i="1"/>
  <c r="D10" i="1"/>
  <c r="D11" i="1"/>
  <c r="C11" i="1"/>
  <c r="F11" i="1"/>
  <c r="B11" i="1"/>
  <c r="G11" i="1"/>
  <c r="E11" i="1"/>
  <c r="P6" i="1"/>
  <c r="P10" i="1" s="1"/>
  <c r="I22" i="1"/>
  <c r="I21" i="1"/>
  <c r="I20" i="1"/>
  <c r="I19" i="1"/>
  <c r="H23" i="1"/>
  <c r="G23" i="1"/>
  <c r="F23" i="1"/>
  <c r="E23" i="1"/>
  <c r="D23" i="1"/>
  <c r="C23" i="1"/>
  <c r="B23" i="1"/>
  <c r="K17" i="2"/>
  <c r="J7" i="2"/>
  <c r="L7" i="2" s="1"/>
  <c r="J8" i="2"/>
  <c r="T11" i="1" l="1"/>
  <c r="P11" i="1"/>
  <c r="I23" i="1"/>
  <c r="J20" i="1" s="1"/>
  <c r="J16" i="2"/>
  <c r="J15" i="2"/>
  <c r="J14" i="2"/>
  <c r="L14" i="2" s="1"/>
  <c r="J13" i="2"/>
  <c r="L13" i="2" s="1"/>
  <c r="J12" i="2"/>
  <c r="L12" i="2" s="1"/>
  <c r="J11" i="2"/>
  <c r="J10" i="2"/>
  <c r="J9" i="2"/>
  <c r="J6" i="1"/>
  <c r="I6" i="1"/>
  <c r="D6" i="1"/>
  <c r="C6" i="1"/>
  <c r="B6" i="1"/>
  <c r="J22" i="1" l="1"/>
  <c r="J21" i="1"/>
  <c r="K6" i="1"/>
  <c r="L6" i="1"/>
  <c r="J19" i="1"/>
  <c r="J23" i="1" s="1"/>
  <c r="L17" i="2"/>
  <c r="M17" i="2" s="1"/>
  <c r="M4" i="1" l="1"/>
  <c r="L10" i="1"/>
  <c r="L11" i="1"/>
  <c r="K10" i="1"/>
  <c r="K11" i="1"/>
  <c r="M5" i="1"/>
  <c r="M6" i="1" l="1"/>
</calcChain>
</file>

<file path=xl/sharedStrings.xml><?xml version="1.0" encoding="utf-8"?>
<sst xmlns="http://schemas.openxmlformats.org/spreadsheetml/2006/main" count="538" uniqueCount="255">
  <si>
    <t>Worker Analysis  -  alla data più vicina al giorno dell'audit</t>
  </si>
  <si>
    <t>Local</t>
  </si>
  <si>
    <t>Total</t>
  </si>
  <si>
    <t>%</t>
  </si>
  <si>
    <t>Permanent</t>
  </si>
  <si>
    <t>Temporary</t>
  </si>
  <si>
    <t>Agency</t>
  </si>
  <si>
    <t>Worker numbers – Male</t>
  </si>
  <si>
    <t>Worker numbers –female</t>
  </si>
  <si>
    <t xml:space="preserve">Total </t>
  </si>
  <si>
    <t>Turnover (cessazioni dell'ultimo anno/n° medio di dipendenti nell'anno)</t>
  </si>
  <si>
    <t>Assenteismo</t>
  </si>
  <si>
    <t>N° infortuni</t>
  </si>
  <si>
    <t>N° totale di giornate di assenza per infortunio</t>
  </si>
  <si>
    <t>Nome CCNL</t>
  </si>
  <si>
    <t>Data di stipula</t>
  </si>
  <si>
    <t>Minimi in vigore dal:</t>
  </si>
  <si>
    <t>ISTRUZIONI:
Inserire le varie voci che compongono la paga, compresi i vari istituti come i vari contratti integrativi, gli EDR e simili, se necessario aggiungere colonne -  lo scopo è quello di avere un'idea più precisa possibile di quanto l'azienda si sia impegnata a pagare una persona effettivamente, non solo del minimo tabellare ricavabile dal CCNL.
I nomi dei livelli sono di fantasia, sostituirli con quelli in uso nel CCNL adottato.
Nel caso l'azienda utilizzi più CCNL ripetere le due tabelle sotto.</t>
  </si>
  <si>
    <t>Livello</t>
  </si>
  <si>
    <t>Minimo Tabellare</t>
  </si>
  <si>
    <t>EDR</t>
  </si>
  <si>
    <t>Ind. Funzione CCNL</t>
  </si>
  <si>
    <t>Premio Prod. (ERS)</t>
  </si>
  <si>
    <t>Superminimo Az. Funz.</t>
  </si>
  <si>
    <t>Superminimo Assorbibile</t>
  </si>
  <si>
    <t>…</t>
  </si>
  <si>
    <t>Limiti e maggiorazioni per straordinario</t>
  </si>
  <si>
    <t>Nazionalità</t>
  </si>
  <si>
    <t>Mansione</t>
  </si>
  <si>
    <t>Reparto/centro di costo</t>
  </si>
  <si>
    <t>Data di nascita</t>
  </si>
  <si>
    <t>Genere</t>
  </si>
  <si>
    <t>Tipo contratto</t>
  </si>
  <si>
    <t>Descrizione contratto</t>
  </si>
  <si>
    <t>ore settimana</t>
  </si>
  <si>
    <t>Numero</t>
  </si>
  <si>
    <t>Data</t>
  </si>
  <si>
    <t>Certificato CCIAA</t>
  </si>
  <si>
    <t>DURC</t>
  </si>
  <si>
    <t>Certificato di Agibilità</t>
  </si>
  <si>
    <t>Permesso di Costruire</t>
  </si>
  <si>
    <t>INT. PROV</t>
  </si>
  <si>
    <t>ISTRUZIONI:
Local sono i cittadini italiani.
Migrant gli stranieri assunti direttamente dall'estero.
Nella tabella "Elenco Lavoratori" indicare la nazionalità di tutti i lavoratori.
Permanent sono i dipendenti a tempo indeterminato
Temporary sono i tempi determinati e gli altri contratti atipici (stage vari, CoCoCo e simili)
Agency sono i somministrati
Home worker sono i lavoratori a domicilio</t>
  </si>
  <si>
    <t>Environmental Analysis</t>
  </si>
  <si>
    <t>PREMESSA GENERALE: i dati sono soltanto una dichiarazione dell'azienda, l'auditor non ne controlla la veridicità, alcuni calcoli possono risultare complicati o dubbiosi, nel caso si rivelino troppo complessi è ammissibile la risposta "data not available" - contattare l'auditor per eventuali chiarimenti</t>
  </si>
  <si>
    <t>Criteria</t>
  </si>
  <si>
    <t>Electricity Usage:</t>
  </si>
  <si>
    <t>Dati dalle bollette</t>
  </si>
  <si>
    <t>Kw/hrs</t>
  </si>
  <si>
    <t>Renewable Energy Usage:</t>
  </si>
  <si>
    <t>Indicare, se nota, la quantità o la % di energia da fonti rinnovabili</t>
  </si>
  <si>
    <t xml:space="preserve">Gas Usage: </t>
  </si>
  <si>
    <t>Has site completed any carbon Footprint Analysis?</t>
  </si>
  <si>
    <r>
      <t xml:space="preserve">If </t>
    </r>
    <r>
      <rPr>
        <b/>
        <sz val="10"/>
        <color indexed="8"/>
        <rFont val="Century Gothic"/>
        <family val="2"/>
      </rPr>
      <t>Yes</t>
    </r>
    <r>
      <rPr>
        <sz val="10"/>
        <color indexed="8"/>
        <rFont val="Century Gothic"/>
        <family val="2"/>
      </rPr>
      <t>, please state result</t>
    </r>
  </si>
  <si>
    <t>Water Sources: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</si>
  <si>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0"/>
        <color indexed="8"/>
        <rFont val="Century Gothic"/>
        <family val="2"/>
      </rPr>
      <t> </t>
    </r>
  </si>
  <si>
    <t xml:space="preserve">Elencare le fonti di acqua, in italiano ad esempio acquedotto pozzo </t>
  </si>
  <si>
    <t>Please list all sources e.g. lake, river, and local water authority.</t>
  </si>
  <si>
    <t>Water Volume Used:</t>
  </si>
  <si>
    <t>Totale di acqua prelevata, sommando le varie fonti indicate sopra</t>
  </si>
  <si>
    <t>(m³)</t>
  </si>
  <si>
    <t>Water Discharged:</t>
  </si>
  <si>
    <t xml:space="preserve">Elencare i corpi ricettori, in italiano, ad esempio fognatura; pozzi perdenti; al depuratore.
</t>
  </si>
  <si>
    <t>Please list all receiving waters/recipients.</t>
  </si>
  <si>
    <t xml:space="preserve">Water Volume Discharged: </t>
  </si>
  <si>
    <t>Quantità totale di acqua scaricata</t>
  </si>
  <si>
    <t>Water Volume Recycled:</t>
  </si>
  <si>
    <t>Acqua al depuratore proprio</t>
  </si>
  <si>
    <t xml:space="preserve">Total waste Produced </t>
  </si>
  <si>
    <t>Totale rifiuti</t>
  </si>
  <si>
    <t xml:space="preserve">(please state units) </t>
  </si>
  <si>
    <t>Total hazardous waste Produced:</t>
  </si>
  <si>
    <t>Totale rifiuti pericolosi</t>
  </si>
  <si>
    <t>(please state units)</t>
  </si>
  <si>
    <t>Waste to Recycling:</t>
  </si>
  <si>
    <t>rifiuti smaltiti "R"</t>
  </si>
  <si>
    <t>Waste to Landfill:</t>
  </si>
  <si>
    <t>rifiuti smaltiti "D"</t>
  </si>
  <si>
    <t>Waste to other:</t>
  </si>
  <si>
    <t xml:space="preserve">Altri rifiuti </t>
  </si>
  <si>
    <t>(please give details and state units)</t>
  </si>
  <si>
    <t>Total Product Produced</t>
  </si>
  <si>
    <t>Indicare la quantità di prodotto, anche approssimativa, specificando l'unità di misura</t>
  </si>
  <si>
    <t>Società Contractor</t>
  </si>
  <si>
    <t>Società 2</t>
  </si>
  <si>
    <t>Società 3</t>
  </si>
  <si>
    <t>Società 4</t>
  </si>
  <si>
    <t>PermanentMale</t>
  </si>
  <si>
    <t>Permanent Female</t>
  </si>
  <si>
    <t>Temporary Male</t>
  </si>
  <si>
    <t>Temporary Female</t>
  </si>
  <si>
    <t>CPI</t>
  </si>
  <si>
    <t>Autorizzazione Ambientale</t>
  </si>
  <si>
    <t>DVR</t>
  </si>
  <si>
    <t>Revisione</t>
  </si>
  <si>
    <t>altri documenti della Sicurezza (ad es. Piano di Emergenza, DVR rischi specifici, etc. "Elencare sotto")</t>
  </si>
  <si>
    <t>FIGURE DELLA SICUREZZA</t>
  </si>
  <si>
    <t>Datore di Lavoro</t>
  </si>
  <si>
    <t>RSPP</t>
  </si>
  <si>
    <t>Nomina del</t>
  </si>
  <si>
    <t>Attestato del</t>
  </si>
  <si>
    <t>ultimo aggiornamento del</t>
  </si>
  <si>
    <t>rilasciato da</t>
  </si>
  <si>
    <t>RLS</t>
  </si>
  <si>
    <t>Nome e Cognome</t>
  </si>
  <si>
    <t>Addetti Emergenza</t>
  </si>
  <si>
    <t>inserire l'elenco</t>
  </si>
  <si>
    <t>Addetti Primo soccorso</t>
  </si>
  <si>
    <t>Carrellisti</t>
  </si>
  <si>
    <r>
      <t>BLSD</t>
    </r>
    <r>
      <rPr>
        <i/>
        <sz val="10"/>
        <color rgb="FF000000"/>
        <rFont val="Calibri"/>
        <family val="2"/>
      </rPr>
      <t xml:space="preserve"> (se presenti)</t>
    </r>
  </si>
  <si>
    <t>Preposti</t>
  </si>
  <si>
    <t>Rilasciata da</t>
  </si>
  <si>
    <t>Verbale Verifica di Messa a Terra</t>
  </si>
  <si>
    <t xml:space="preserve">Seasonal workers </t>
  </si>
  <si>
    <t xml:space="preserve">Self-employed workers </t>
  </si>
  <si>
    <t>Informal workers including home workers</t>
  </si>
  <si>
    <t>Apprentices, trainees and interns</t>
  </si>
  <si>
    <t>Domestic migrant workers</t>
  </si>
  <si>
    <t>International migrant workers</t>
  </si>
  <si>
    <t xml:space="preserve">Total migrant workers </t>
  </si>
  <si>
    <t>18 - 24 years old</t>
  </si>
  <si>
    <t xml:space="preserve">15 - 17 years old </t>
  </si>
  <si>
    <t xml:space="preserve">Under 15 years old </t>
  </si>
  <si>
    <t>Età</t>
  </si>
  <si>
    <t>Migrant</t>
  </si>
  <si>
    <t>Tipo di Impiego</t>
  </si>
  <si>
    <t>Employees in management positions</t>
  </si>
  <si>
    <t>Supervisors or team leaders</t>
  </si>
  <si>
    <t xml:space="preserve">Administrative staff </t>
  </si>
  <si>
    <t>Ultimi 90 gg</t>
  </si>
  <si>
    <t>Women</t>
  </si>
  <si>
    <t>Men</t>
  </si>
  <si>
    <t>Totale lavoratori</t>
  </si>
  <si>
    <t>Workers</t>
  </si>
  <si>
    <t>Nationality</t>
  </si>
  <si>
    <t>Totale oggi</t>
  </si>
  <si>
    <t>Please list the nationalities of all workers, with the three most common nationalities listed first</t>
  </si>
  <si>
    <t>Paga base CCNL</t>
  </si>
  <si>
    <t>Cognome</t>
  </si>
  <si>
    <t>Nome</t>
  </si>
  <si>
    <t>DURC Agenzie Interinali</t>
  </si>
  <si>
    <t>Current year: Please state period: 2024</t>
  </si>
  <si>
    <t>Previous Year: Please state period: 2023</t>
  </si>
  <si>
    <t>Indicare l'intero anno 2024 e 2023</t>
  </si>
  <si>
    <t>ore str. Gen 2024</t>
  </si>
  <si>
    <t>ore str. Febb 2024</t>
  </si>
  <si>
    <t>ore str. Mar 2024</t>
  </si>
  <si>
    <t>ore str.Apr 2024</t>
  </si>
  <si>
    <t>ore str. Mag 2024</t>
  </si>
  <si>
    <t>ore str. Giu 2024</t>
  </si>
  <si>
    <t>ore str. Lug 2024</t>
  </si>
  <si>
    <t>ore str. Ago 2024</t>
  </si>
  <si>
    <t>ore str. Sett 2024</t>
  </si>
  <si>
    <t>ore str. Ott 2024</t>
  </si>
  <si>
    <t>ore str. Nov 2024</t>
  </si>
  <si>
    <t>ore str. Dic 2024</t>
  </si>
  <si>
    <t>Totale ore str. 2024</t>
  </si>
  <si>
    <t>Busta Paga ultimo mese</t>
  </si>
  <si>
    <t>Busta Paga "mese picco produzione"</t>
  </si>
  <si>
    <t>Busta Paga "mese random"</t>
  </si>
  <si>
    <t>Società 1 SERVICE CALATINO</t>
  </si>
  <si>
    <t>ITALIANA</t>
  </si>
  <si>
    <t>BONARRIGO</t>
  </si>
  <si>
    <t>FRANCESCO</t>
  </si>
  <si>
    <t>CONDUTTORE IMPIANTO</t>
  </si>
  <si>
    <t>INDETERMINATO</t>
  </si>
  <si>
    <t>CALDERONE</t>
  </si>
  <si>
    <t>RENATO</t>
  </si>
  <si>
    <t xml:space="preserve">GUGLIOTTA </t>
  </si>
  <si>
    <t>AZZURRA</t>
  </si>
  <si>
    <t>RESPONSABILE COMMERCIALE</t>
  </si>
  <si>
    <t>DONNA</t>
  </si>
  <si>
    <t>UOMO</t>
  </si>
  <si>
    <t>TEMPO PIENO</t>
  </si>
  <si>
    <t>IANNELLO</t>
  </si>
  <si>
    <t>GIOVANNA</t>
  </si>
  <si>
    <t>ADDETTO CONTROLLO AMMINISTRATIVO</t>
  </si>
  <si>
    <t>MAZZEO</t>
  </si>
  <si>
    <t xml:space="preserve">RUSSO </t>
  </si>
  <si>
    <t>ROCCO ANTONIO</t>
  </si>
  <si>
    <t>FRIGORISTA</t>
  </si>
  <si>
    <t xml:space="preserve">ASPA </t>
  </si>
  <si>
    <t>GIUSEPPE</t>
  </si>
  <si>
    <t>ADDETTO IMPIANTO DEPURATORE</t>
  </si>
  <si>
    <t>CALABRO'</t>
  </si>
  <si>
    <t>PROVVIDENZA</t>
  </si>
  <si>
    <t>IMPIEGATA AMMINISTRATIVA</t>
  </si>
  <si>
    <t xml:space="preserve">CANNIZZARO </t>
  </si>
  <si>
    <t>ANTONINO</t>
  </si>
  <si>
    <t>GIORGIANNI</t>
  </si>
  <si>
    <t>GIOVANNI</t>
  </si>
  <si>
    <t>ADDETTO LABORATORIO ANALISI</t>
  </si>
  <si>
    <t xml:space="preserve">IANNELLO </t>
  </si>
  <si>
    <t>FELICE</t>
  </si>
  <si>
    <t>ADDETTO CARICO E SCARICO</t>
  </si>
  <si>
    <t>IMBESI</t>
  </si>
  <si>
    <t>AIUTO MANUTENTORE</t>
  </si>
  <si>
    <t>MARIO</t>
  </si>
  <si>
    <t>AUTISTA</t>
  </si>
  <si>
    <t>SALVATORE</t>
  </si>
  <si>
    <t>CONTROLLORE PRODUZIONE</t>
  </si>
  <si>
    <t>ITALIANO</t>
  </si>
  <si>
    <t>LETIZIA</t>
  </si>
  <si>
    <t>CERNITORE MANUALE</t>
  </si>
  <si>
    <t>TEMPO PARZIALE 37,50%</t>
  </si>
  <si>
    <t>LA MALFA</t>
  </si>
  <si>
    <t>LORENZO</t>
  </si>
  <si>
    <t>ROSARIO</t>
  </si>
  <si>
    <t>MICALIZZI</t>
  </si>
  <si>
    <t>ROBERTA</t>
  </si>
  <si>
    <t>IMPIANTO AMM. REP.REFLUI</t>
  </si>
  <si>
    <t>PICCIOLO</t>
  </si>
  <si>
    <t>ANDREA</t>
  </si>
  <si>
    <t>MANUTENTORE E RIPARATORE</t>
  </si>
  <si>
    <t>SCAVELLO</t>
  </si>
  <si>
    <t>IMPIEGATO AMMINSTRATIVO</t>
  </si>
  <si>
    <t xml:space="preserve">VENUTO </t>
  </si>
  <si>
    <t>CETTINA</t>
  </si>
  <si>
    <t>VISALLI</t>
  </si>
  <si>
    <t>TONINO</t>
  </si>
  <si>
    <t>TECNICO TRASORMAZIONE ALIMENATRE</t>
  </si>
  <si>
    <t>ALIMENTARE INDUSTRIA</t>
  </si>
  <si>
    <t>01/01/2025 AL 01/01/2026</t>
  </si>
  <si>
    <t>RIZZO SALVATORE</t>
  </si>
  <si>
    <t>IMBESI SALVATORE</t>
  </si>
  <si>
    <t>SIAPA</t>
  </si>
  <si>
    <t xml:space="preserve">SIAPA </t>
  </si>
  <si>
    <t>VISALLI TONINO</t>
  </si>
  <si>
    <t>MAZZEO FRANCESCO</t>
  </si>
  <si>
    <t>CALDERONE RENATO</t>
  </si>
  <si>
    <t>BONARRIGO FRANCESCO</t>
  </si>
  <si>
    <t>CANNIZZARO ANTONINO</t>
  </si>
  <si>
    <t>LA MALFA LORENZO</t>
  </si>
  <si>
    <t>MICALIZZI ROBERTA</t>
  </si>
  <si>
    <t>RUSSO ROCCO ANTONIO</t>
  </si>
  <si>
    <t>IMBESI ANTONINO</t>
  </si>
  <si>
    <t>INPS_44956397</t>
  </si>
  <si>
    <t>INAIL/INPS</t>
  </si>
  <si>
    <t>INPS_43610124</t>
  </si>
  <si>
    <t>T577608244</t>
  </si>
  <si>
    <t>Camera di Commercio Industria Artigianato Agricoltura di Messina</t>
  </si>
  <si>
    <t>8/2016</t>
  </si>
  <si>
    <t>Città Metropolitana di Messina</t>
  </si>
  <si>
    <t>VT/1124/2023/T1279112791/ME/13/10/2023</t>
  </si>
  <si>
    <t>VIEM SRL</t>
  </si>
  <si>
    <t>Comune di Barcellona P.G.</t>
  </si>
  <si>
    <t>Comando Provinciale Vigili del Fuoco di Messina</t>
  </si>
  <si>
    <t>Piano di emergenza ed evacuazione</t>
  </si>
  <si>
    <t>DETERMINATO</t>
  </si>
  <si>
    <t xml:space="preserve"> No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</si>
  <si>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0"/>
        <color indexed="8"/>
        <rFont val="Century Gothic"/>
        <family val="2"/>
      </rPr>
      <t> </t>
    </r>
    <r>
      <rPr>
        <sz val="10"/>
        <color rgb="FF000000"/>
        <rFont val="Calibri"/>
        <family val="2"/>
        <scheme val="minor"/>
      </rPr>
      <t>Acquedotto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</si>
  <si>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0"/>
        <color indexed="8"/>
        <rFont val="Century Gothic"/>
        <family val="2"/>
      </rPr>
      <t> </t>
    </r>
    <r>
      <rPr>
        <sz val="10"/>
        <color rgb="FF000000"/>
        <rFont val="Poor Richard"/>
        <family val="1"/>
      </rPr>
      <t>Pozzo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</si>
  <si>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0"/>
        <color indexed="8"/>
        <rFont val="Century Gothic"/>
        <family val="2"/>
      </rPr>
      <t> </t>
    </r>
    <r>
      <rPr>
        <sz val="10"/>
        <color rgb="FF000000"/>
        <rFont val="Calibri"/>
        <family val="2"/>
        <scheme val="minor"/>
      </rPr>
      <t>Fognatura</t>
    </r>
  </si>
  <si>
    <t>6566748 Kg</t>
  </si>
  <si>
    <t>5889040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</si>
</sst>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€-410]_-;\-* #,##0.00\ [$€-410]_-;_-* &quot;-&quot;??\ [$€-410]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theme="1"/>
      <name val="Arial"/>
      <family val="2"/>
    </font>
    <font>
      <b/>
      <sz val="8"/>
      <color rgb="FF000000"/>
      <name val="Century Gothic"/>
      <family val="2"/>
    </font>
    <font>
      <sz val="9"/>
      <color rgb="FF000000"/>
      <name val="Century Gothic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9"/>
      <color rgb="FF787878"/>
      <name val="Calibri"/>
      <family val="2"/>
      <scheme val="minor"/>
    </font>
    <font>
      <b/>
      <sz val="8"/>
      <name val="Arial"/>
      <family val="2"/>
    </font>
    <font>
      <sz val="10"/>
      <color rgb="FF000000"/>
      <name val="Arial"/>
      <family val="2"/>
    </font>
    <font>
      <i/>
      <sz val="9"/>
      <name val="Century Gothic"/>
      <family val="2"/>
    </font>
    <font>
      <sz val="10"/>
      <name val="Century Gothic"/>
      <family val="2"/>
    </font>
    <font>
      <i/>
      <sz val="8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10"/>
      <color rgb="FF000000"/>
      <name val="Symbol"/>
      <family val="1"/>
      <charset val="2"/>
    </font>
    <font>
      <sz val="7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FF0000"/>
      <name val="Century Gothic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Poor Richard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9D9D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9" fontId="6" fillId="0" borderId="8" xfId="2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9" fontId="3" fillId="0" borderId="7" xfId="2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4" fontId="0" fillId="0" borderId="0" xfId="0" applyNumberFormat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vertical="center" wrapText="1"/>
    </xf>
    <xf numFmtId="0" fontId="12" fillId="4" borderId="18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13" fillId="6" borderId="3" xfId="0" applyFont="1" applyFill="1" applyBorder="1" applyAlignment="1">
      <alignment vertical="center" wrapText="1"/>
    </xf>
    <xf numFmtId="0" fontId="14" fillId="6" borderId="9" xfId="0" applyFont="1" applyFill="1" applyBorder="1" applyAlignment="1">
      <alignment vertical="center" wrapText="1"/>
    </xf>
    <xf numFmtId="0" fontId="15" fillId="6" borderId="3" xfId="0" applyFont="1" applyFill="1" applyBorder="1" applyAlignment="1">
      <alignment vertical="center" wrapText="1"/>
    </xf>
    <xf numFmtId="0" fontId="13" fillId="6" borderId="9" xfId="0" applyFont="1" applyFill="1" applyBorder="1" applyAlignment="1">
      <alignment vertical="center" wrapText="1"/>
    </xf>
    <xf numFmtId="0" fontId="0" fillId="6" borderId="3" xfId="0" applyFill="1" applyBorder="1" applyAlignment="1">
      <alignment vertical="top" wrapText="1"/>
    </xf>
    <xf numFmtId="0" fontId="6" fillId="0" borderId="9" xfId="0" applyFont="1" applyBorder="1" applyAlignment="1">
      <alignment vertical="center" wrapText="1"/>
    </xf>
    <xf numFmtId="9" fontId="6" fillId="0" borderId="9" xfId="2" applyFont="1" applyBorder="1" applyAlignment="1">
      <alignment vertical="center" wrapText="1"/>
    </xf>
    <xf numFmtId="9" fontId="6" fillId="0" borderId="16" xfId="2" applyFont="1" applyBorder="1" applyAlignment="1">
      <alignment vertical="center" wrapText="1"/>
    </xf>
    <xf numFmtId="0" fontId="3" fillId="2" borderId="23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0" fontId="20" fillId="0" borderId="11" xfId="0" applyNumberFormat="1" applyFont="1" applyBorder="1"/>
    <xf numFmtId="0" fontId="20" fillId="0" borderId="11" xfId="0" applyFont="1" applyBorder="1"/>
    <xf numFmtId="0" fontId="21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9" fontId="3" fillId="0" borderId="0" xfId="2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9" fontId="3" fillId="0" borderId="6" xfId="2" applyFont="1" applyBorder="1" applyAlignment="1">
      <alignment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10" fontId="3" fillId="0" borderId="10" xfId="2" applyNumberFormat="1" applyFont="1" applyBorder="1" applyAlignment="1">
      <alignment vertical="center" wrapText="1"/>
    </xf>
    <xf numFmtId="10" fontId="3" fillId="0" borderId="23" xfId="2" applyNumberFormat="1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20" fillId="0" borderId="0" xfId="0" applyFont="1"/>
    <xf numFmtId="0" fontId="0" fillId="0" borderId="12" xfId="0" applyBorder="1"/>
    <xf numFmtId="0" fontId="0" fillId="0" borderId="27" xfId="0" applyBorder="1"/>
    <xf numFmtId="0" fontId="3" fillId="2" borderId="27" xfId="0" applyFont="1" applyFill="1" applyBorder="1" applyAlignment="1">
      <alignment vertical="center" wrapText="1"/>
    </xf>
    <xf numFmtId="0" fontId="3" fillId="2" borderId="28" xfId="0" applyFont="1" applyFill="1" applyBorder="1" applyAlignment="1">
      <alignment vertical="center" wrapText="1"/>
    </xf>
    <xf numFmtId="1" fontId="20" fillId="0" borderId="11" xfId="0" applyNumberFormat="1" applyFont="1" applyBorder="1"/>
    <xf numFmtId="10" fontId="20" fillId="0" borderId="11" xfId="2" applyNumberFormat="1" applyFont="1" applyBorder="1"/>
    <xf numFmtId="165" fontId="7" fillId="0" borderId="0" xfId="1" applyNumberFormat="1" applyFont="1" applyFill="1" applyAlignment="1">
      <alignment wrapText="1"/>
    </xf>
    <xf numFmtId="0" fontId="3" fillId="0" borderId="8" xfId="0" applyFont="1" applyBorder="1" applyAlignment="1">
      <alignment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justify" vertical="top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top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14" fontId="7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/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/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14" fontId="7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/>
    <xf numFmtId="14" fontId="0" fillId="0" borderId="0" xfId="0" applyNumberFormat="1" applyFill="1" applyAlignment="1">
      <alignment horizontal="right"/>
    </xf>
    <xf numFmtId="0" fontId="7" fillId="0" borderId="0" xfId="0" applyFont="1" applyFill="1" applyAlignment="1">
      <alignment wrapText="1"/>
    </xf>
    <xf numFmtId="0" fontId="0" fillId="0" borderId="0" xfId="0" applyFill="1" applyAlignment="1">
      <alignment horizontal="left"/>
    </xf>
    <xf numFmtId="0" fontId="0" fillId="0" borderId="0" xfId="0" quotePrefix="1" applyFill="1"/>
    <xf numFmtId="165" fontId="0" fillId="0" borderId="0" xfId="1" applyNumberFormat="1" applyFon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4" fontId="0" fillId="0" borderId="0" xfId="0" applyNumberForma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" fontId="0" fillId="0" borderId="0" xfId="0" applyNumberFormat="1" applyFill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9" fontId="6" fillId="0" borderId="8" xfId="2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9" fontId="6" fillId="0" borderId="7" xfId="2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1" fontId="14" fillId="0" borderId="11" xfId="0" applyNumberFormat="1" applyFont="1" applyFill="1" applyBorder="1"/>
    <xf numFmtId="1" fontId="20" fillId="0" borderId="11" xfId="0" applyNumberFormat="1" applyFont="1" applyFill="1" applyBorder="1"/>
    <xf numFmtId="0" fontId="3" fillId="0" borderId="20" xfId="0" applyFont="1" applyFill="1" applyBorder="1" applyAlignment="1">
      <alignment vertical="center" wrapText="1"/>
    </xf>
    <xf numFmtId="0" fontId="3" fillId="0" borderId="22" xfId="0" applyFont="1" applyFill="1" applyBorder="1" applyAlignment="1">
      <alignment vertical="center" wrapText="1"/>
    </xf>
    <xf numFmtId="0" fontId="3" fillId="0" borderId="21" xfId="0" applyFont="1" applyFill="1" applyBorder="1" applyAlignment="1">
      <alignment vertical="center" wrapText="1"/>
    </xf>
    <xf numFmtId="0" fontId="20" fillId="0" borderId="11" xfId="0" applyFont="1" applyFill="1" applyBorder="1"/>
    <xf numFmtId="0" fontId="3" fillId="0" borderId="8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18" fillId="0" borderId="16" xfId="0" applyFont="1" applyFill="1" applyBorder="1" applyAlignment="1">
      <alignment horizontal="left" vertical="center" wrapText="1" indent="3"/>
    </xf>
    <xf numFmtId="0" fontId="18" fillId="0" borderId="7" xfId="0" applyFont="1" applyFill="1" applyBorder="1" applyAlignment="1">
      <alignment horizontal="left" vertical="center" wrapText="1" indent="3"/>
    </xf>
    <xf numFmtId="0" fontId="18" fillId="0" borderId="7" xfId="0" applyFont="1" applyFill="1" applyBorder="1" applyAlignment="1">
      <alignment horizontal="left" vertical="center" wrapText="1" indent="4"/>
    </xf>
    <xf numFmtId="0" fontId="18" fillId="0" borderId="16" xfId="0" applyFont="1" applyFill="1" applyBorder="1" applyAlignment="1">
      <alignment horizontal="left" vertical="center" wrapText="1" indent="4"/>
    </xf>
    <xf numFmtId="3" fontId="3" fillId="0" borderId="8" xfId="0" applyNumberFormat="1" applyFont="1" applyFill="1" applyBorder="1" applyAlignment="1">
      <alignment vertical="center" wrapText="1"/>
    </xf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7"/>
  <sheetViews>
    <sheetView tabSelected="1" workbookViewId="0">
      <selection activeCell="H49" sqref="H49"/>
    </sheetView>
  </sheetViews>
  <sheetFormatPr defaultRowHeight="15" x14ac:dyDescent="0.25"/>
  <cols>
    <col min="1" max="1" width="29.7109375" customWidth="1"/>
    <col min="2" max="2" width="11.5703125" bestFit="1" customWidth="1"/>
    <col min="14" max="14" width="11.5703125" bestFit="1" customWidth="1"/>
    <col min="15" max="15" width="8.7109375" customWidth="1"/>
  </cols>
  <sheetData>
    <row r="1" spans="1:20" ht="15" customHeight="1" thickBot="1" x14ac:dyDescent="0.3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</row>
    <row r="2" spans="1:20" ht="15.75" thickBot="1" x14ac:dyDescent="0.3">
      <c r="A2" s="1"/>
      <c r="B2" s="66" t="s">
        <v>1</v>
      </c>
      <c r="C2" s="67"/>
      <c r="D2" s="67"/>
      <c r="E2" s="67"/>
      <c r="F2" s="67"/>
      <c r="G2" s="67"/>
      <c r="H2" s="68"/>
      <c r="I2" s="66" t="s">
        <v>124</v>
      </c>
      <c r="J2" s="67"/>
      <c r="K2" s="68"/>
      <c r="L2" s="40" t="s">
        <v>2</v>
      </c>
      <c r="M2" s="40" t="s">
        <v>3</v>
      </c>
      <c r="N2" s="66" t="s">
        <v>123</v>
      </c>
      <c r="O2" s="67"/>
      <c r="P2" s="68"/>
      <c r="R2" s="66" t="s">
        <v>125</v>
      </c>
      <c r="S2" s="67"/>
      <c r="T2" s="68"/>
    </row>
    <row r="3" spans="1:20" ht="64.5" thickBot="1" x14ac:dyDescent="0.3">
      <c r="A3" s="2"/>
      <c r="B3" s="3" t="s">
        <v>4</v>
      </c>
      <c r="C3" s="3" t="s">
        <v>5</v>
      </c>
      <c r="D3" s="3" t="s">
        <v>6</v>
      </c>
      <c r="E3" s="3" t="s">
        <v>113</v>
      </c>
      <c r="F3" s="3" t="s">
        <v>114</v>
      </c>
      <c r="G3" s="3" t="s">
        <v>115</v>
      </c>
      <c r="H3" s="3" t="s">
        <v>116</v>
      </c>
      <c r="I3" s="3" t="s">
        <v>117</v>
      </c>
      <c r="J3" s="3">
        <v>0</v>
      </c>
      <c r="K3" s="3" t="s">
        <v>119</v>
      </c>
      <c r="L3" s="15"/>
      <c r="M3" s="15"/>
      <c r="N3" s="3" t="s">
        <v>120</v>
      </c>
      <c r="O3" s="3" t="s">
        <v>121</v>
      </c>
      <c r="P3" s="3" t="s">
        <v>122</v>
      </c>
      <c r="R3" s="15" t="s">
        <v>126</v>
      </c>
      <c r="S3" s="3" t="s">
        <v>127</v>
      </c>
      <c r="T3" s="3" t="s">
        <v>128</v>
      </c>
    </row>
    <row r="4" spans="1:20" ht="15.75" thickBot="1" x14ac:dyDescent="0.3">
      <c r="A4" s="4" t="s">
        <v>7</v>
      </c>
      <c r="B4" s="141">
        <v>4</v>
      </c>
      <c r="C4" s="141">
        <v>0</v>
      </c>
      <c r="D4" s="141">
        <v>12</v>
      </c>
      <c r="E4" s="141">
        <v>0</v>
      </c>
      <c r="F4" s="141">
        <v>0</v>
      </c>
      <c r="G4" s="141">
        <v>0</v>
      </c>
      <c r="H4" s="141">
        <v>0</v>
      </c>
      <c r="I4" s="141">
        <v>0</v>
      </c>
      <c r="J4" s="141">
        <v>0</v>
      </c>
      <c r="K4" s="141">
        <f>SUM(I4:J4)</f>
        <v>0</v>
      </c>
      <c r="L4" s="142">
        <f>SUM(B4:H4)</f>
        <v>16</v>
      </c>
      <c r="M4" s="143">
        <f>L4/L6</f>
        <v>0.72727272727272729</v>
      </c>
      <c r="N4" s="141">
        <v>0</v>
      </c>
      <c r="O4" s="141">
        <v>0</v>
      </c>
      <c r="P4" s="141">
        <v>0</v>
      </c>
      <c r="Q4" s="116"/>
      <c r="R4" s="141">
        <v>0</v>
      </c>
      <c r="S4" s="141">
        <v>1</v>
      </c>
      <c r="T4" s="141">
        <v>0</v>
      </c>
    </row>
    <row r="5" spans="1:20" ht="15.75" thickBot="1" x14ac:dyDescent="0.3">
      <c r="A5" s="2" t="s">
        <v>8</v>
      </c>
      <c r="B5" s="144">
        <v>2</v>
      </c>
      <c r="C5" s="144">
        <v>0</v>
      </c>
      <c r="D5" s="144">
        <v>4</v>
      </c>
      <c r="E5" s="144">
        <v>0</v>
      </c>
      <c r="F5" s="144">
        <v>0</v>
      </c>
      <c r="G5" s="144">
        <v>0</v>
      </c>
      <c r="H5" s="144">
        <v>0</v>
      </c>
      <c r="I5" s="144">
        <v>0</v>
      </c>
      <c r="J5" s="144">
        <v>0</v>
      </c>
      <c r="K5" s="141">
        <f>SUM(I5:J5)</f>
        <v>0</v>
      </c>
      <c r="L5" s="142">
        <f t="shared" ref="L5:L6" si="0">SUM(B5:H5)</f>
        <v>6</v>
      </c>
      <c r="M5" s="145">
        <f>L5/L6</f>
        <v>0.27272727272727271</v>
      </c>
      <c r="N5" s="144">
        <v>0</v>
      </c>
      <c r="O5" s="144">
        <v>0</v>
      </c>
      <c r="P5" s="141">
        <v>0</v>
      </c>
      <c r="Q5" s="116"/>
      <c r="R5" s="146">
        <v>1</v>
      </c>
      <c r="S5" s="144">
        <v>0</v>
      </c>
      <c r="T5" s="141">
        <v>2</v>
      </c>
    </row>
    <row r="6" spans="1:20" ht="15.75" thickBot="1" x14ac:dyDescent="0.3">
      <c r="A6" s="30" t="s">
        <v>9</v>
      </c>
      <c r="B6" s="45">
        <f t="shared" ref="B6:D6" si="1">SUM(B4:B5)</f>
        <v>6</v>
      </c>
      <c r="C6" s="45">
        <f t="shared" si="1"/>
        <v>0</v>
      </c>
      <c r="D6" s="45">
        <f t="shared" si="1"/>
        <v>16</v>
      </c>
      <c r="E6" s="45">
        <f t="shared" ref="E6:G6" si="2">SUM(E4:E5)</f>
        <v>0</v>
      </c>
      <c r="F6" s="45">
        <f t="shared" si="2"/>
        <v>0</v>
      </c>
      <c r="G6" s="45">
        <f t="shared" si="2"/>
        <v>0</v>
      </c>
      <c r="H6" s="45">
        <f t="shared" ref="H6" si="3">SUM(H4:H5)</f>
        <v>0</v>
      </c>
      <c r="I6" s="45">
        <f>SUM(I4:I5)</f>
        <v>0</v>
      </c>
      <c r="J6" s="45">
        <f>SUM(J4:J5)</f>
        <v>0</v>
      </c>
      <c r="K6" s="41">
        <f>SUM(I6:J6)</f>
        <v>0</v>
      </c>
      <c r="L6" s="32">
        <f t="shared" si="0"/>
        <v>22</v>
      </c>
      <c r="M6" s="46">
        <f>SUM(M4:M5)</f>
        <v>1</v>
      </c>
      <c r="N6" s="45">
        <f>SUM(N4:N5)</f>
        <v>0</v>
      </c>
      <c r="O6" s="45">
        <f>SUM(O4:O5)</f>
        <v>0</v>
      </c>
      <c r="P6" s="41">
        <f>SUM(N6:O6)</f>
        <v>0</v>
      </c>
      <c r="R6" s="41">
        <f>SUM(R4:R5)</f>
        <v>1</v>
      </c>
      <c r="S6" s="45">
        <f>SUM(S4:S5)</f>
        <v>1</v>
      </c>
      <c r="T6" s="41">
        <f>SUM(R6:S6)</f>
        <v>2</v>
      </c>
    </row>
    <row r="7" spans="1:20" ht="15.75" thickBot="1" x14ac:dyDescent="0.3">
      <c r="A7" s="42"/>
      <c r="B7" s="35"/>
      <c r="C7" s="35"/>
      <c r="D7" s="35"/>
      <c r="E7" s="35"/>
      <c r="F7" s="35"/>
      <c r="G7" s="35"/>
      <c r="H7" s="35"/>
      <c r="I7" s="35"/>
      <c r="J7" s="35"/>
      <c r="K7" s="35"/>
      <c r="L7" s="43"/>
      <c r="M7" s="44"/>
      <c r="N7" s="35"/>
      <c r="O7" s="35"/>
      <c r="P7" s="35"/>
    </row>
    <row r="8" spans="1:20" ht="15.75" thickBot="1" x14ac:dyDescent="0.3">
      <c r="A8" s="47"/>
      <c r="B8" s="66" t="s">
        <v>1</v>
      </c>
      <c r="C8" s="67"/>
      <c r="D8" s="67"/>
      <c r="E8" s="67"/>
      <c r="F8" s="67"/>
      <c r="G8" s="67"/>
      <c r="H8" s="68"/>
      <c r="I8" s="66" t="s">
        <v>124</v>
      </c>
      <c r="J8" s="67"/>
      <c r="K8" s="68"/>
      <c r="L8" s="48" t="s">
        <v>2</v>
      </c>
      <c r="M8" s="51"/>
      <c r="N8" s="66" t="s">
        <v>123</v>
      </c>
      <c r="O8" s="67"/>
      <c r="P8" s="68"/>
      <c r="R8" s="66" t="s">
        <v>125</v>
      </c>
      <c r="S8" s="67"/>
      <c r="T8" s="68"/>
    </row>
    <row r="9" spans="1:20" ht="64.5" thickBot="1" x14ac:dyDescent="0.3">
      <c r="A9" s="2"/>
      <c r="B9" s="3" t="s">
        <v>4</v>
      </c>
      <c r="C9" s="3" t="s">
        <v>5</v>
      </c>
      <c r="D9" s="3" t="s">
        <v>6</v>
      </c>
      <c r="E9" s="3" t="s">
        <v>113</v>
      </c>
      <c r="F9" s="3" t="s">
        <v>114</v>
      </c>
      <c r="G9" s="3" t="s">
        <v>115</v>
      </c>
      <c r="H9" s="3" t="s">
        <v>116</v>
      </c>
      <c r="I9" s="3" t="s">
        <v>117</v>
      </c>
      <c r="J9" s="3" t="s">
        <v>118</v>
      </c>
      <c r="K9" s="3" t="s">
        <v>119</v>
      </c>
      <c r="L9" s="15"/>
      <c r="M9" s="51"/>
      <c r="N9" s="15" t="s">
        <v>120</v>
      </c>
      <c r="O9" s="3" t="s">
        <v>121</v>
      </c>
      <c r="P9" s="3" t="s">
        <v>122</v>
      </c>
      <c r="R9" s="15" t="s">
        <v>126</v>
      </c>
      <c r="S9" s="3" t="s">
        <v>127</v>
      </c>
      <c r="T9" s="3" t="s">
        <v>128</v>
      </c>
    </row>
    <row r="10" spans="1:20" ht="15.75" thickBot="1" x14ac:dyDescent="0.3">
      <c r="A10" s="4" t="s">
        <v>7</v>
      </c>
      <c r="B10" s="49">
        <f>B4/$L$4</f>
        <v>0.25</v>
      </c>
      <c r="C10" s="49">
        <f t="shared" ref="C10:H10" si="4">C4/$L$4</f>
        <v>0</v>
      </c>
      <c r="D10" s="49">
        <f t="shared" si="4"/>
        <v>0.75</v>
      </c>
      <c r="E10" s="49">
        <f t="shared" si="4"/>
        <v>0</v>
      </c>
      <c r="F10" s="49">
        <f t="shared" si="4"/>
        <v>0</v>
      </c>
      <c r="G10" s="49">
        <f t="shared" si="4"/>
        <v>0</v>
      </c>
      <c r="H10" s="49">
        <f t="shared" si="4"/>
        <v>0</v>
      </c>
      <c r="I10" s="49" t="e">
        <f>I4/K4</f>
        <v>#DIV/0!</v>
      </c>
      <c r="J10" s="49" t="e">
        <f>J4/K4</f>
        <v>#DIV/0!</v>
      </c>
      <c r="K10" s="49" t="e">
        <f>K4/K6</f>
        <v>#DIV/0!</v>
      </c>
      <c r="L10" s="49">
        <f>L4/L6</f>
        <v>0.72727272727272729</v>
      </c>
      <c r="M10" s="28"/>
      <c r="N10" s="49" t="e">
        <f>N4/P4</f>
        <v>#DIV/0!</v>
      </c>
      <c r="O10" s="49" t="e">
        <f>O4/P4</f>
        <v>#DIV/0!</v>
      </c>
      <c r="P10" s="49" t="e">
        <f>P4/P6</f>
        <v>#DIV/0!</v>
      </c>
      <c r="R10" s="49" t="e">
        <f>R4/T4</f>
        <v>#DIV/0!</v>
      </c>
      <c r="S10" s="49" t="e">
        <f>S4/T4</f>
        <v>#DIV/0!</v>
      </c>
      <c r="T10" s="49">
        <f>T4/T6</f>
        <v>0</v>
      </c>
    </row>
    <row r="11" spans="1:20" ht="15.75" thickBot="1" x14ac:dyDescent="0.3">
      <c r="A11" s="2" t="s">
        <v>8</v>
      </c>
      <c r="B11" s="50">
        <f>B5/$L$5</f>
        <v>0.33333333333333331</v>
      </c>
      <c r="C11" s="50">
        <f t="shared" ref="C11:H11" si="5">C5/$L$5</f>
        <v>0</v>
      </c>
      <c r="D11" s="50">
        <f t="shared" si="5"/>
        <v>0.66666666666666663</v>
      </c>
      <c r="E11" s="50">
        <f t="shared" si="5"/>
        <v>0</v>
      </c>
      <c r="F11" s="50">
        <f t="shared" si="5"/>
        <v>0</v>
      </c>
      <c r="G11" s="50">
        <f t="shared" si="5"/>
        <v>0</v>
      </c>
      <c r="H11" s="50">
        <f t="shared" si="5"/>
        <v>0</v>
      </c>
      <c r="I11" s="49" t="e">
        <f>I5/K5</f>
        <v>#DIV/0!</v>
      </c>
      <c r="J11" s="49" t="e">
        <f>J5/K5</f>
        <v>#DIV/0!</v>
      </c>
      <c r="K11" s="49" t="e">
        <f>K5/K6</f>
        <v>#DIV/0!</v>
      </c>
      <c r="L11" s="49">
        <f>L5/L6</f>
        <v>0.27272727272727271</v>
      </c>
      <c r="M11" s="28"/>
      <c r="N11" s="50" t="e">
        <f>N5/P5</f>
        <v>#DIV/0!</v>
      </c>
      <c r="O11" s="50" t="e">
        <f>O5/P5</f>
        <v>#DIV/0!</v>
      </c>
      <c r="P11" s="50" t="e">
        <f>P5/P6</f>
        <v>#DIV/0!</v>
      </c>
      <c r="R11" s="50">
        <f>R5/T5</f>
        <v>0.5</v>
      </c>
      <c r="S11" s="50">
        <f>S5/T5</f>
        <v>0</v>
      </c>
      <c r="T11" s="50">
        <f>T5/T6</f>
        <v>1</v>
      </c>
    </row>
    <row r="12" spans="1:20" ht="15.75" thickBot="1" x14ac:dyDescent="0.3">
      <c r="A12" s="35"/>
      <c r="B12" s="52"/>
      <c r="C12" s="52"/>
      <c r="D12" s="52"/>
      <c r="E12" s="52"/>
      <c r="F12" s="52"/>
      <c r="G12" s="52"/>
      <c r="H12" s="52"/>
      <c r="I12" s="52"/>
      <c r="J12" s="52"/>
    </row>
    <row r="13" spans="1:20" ht="15.75" thickBot="1" x14ac:dyDescent="0.3">
      <c r="A13" s="53"/>
      <c r="B13" s="69" t="s">
        <v>131</v>
      </c>
      <c r="C13" s="69"/>
      <c r="D13" s="70"/>
      <c r="E13" s="71" t="s">
        <v>130</v>
      </c>
      <c r="F13" s="69"/>
      <c r="G13" s="70"/>
      <c r="H13" s="71" t="s">
        <v>2</v>
      </c>
      <c r="I13" s="69"/>
      <c r="J13" s="70"/>
      <c r="K13" s="75" t="s">
        <v>135</v>
      </c>
    </row>
    <row r="14" spans="1:20" ht="25.15" customHeight="1" thickBot="1" x14ac:dyDescent="0.3">
      <c r="A14" s="54"/>
      <c r="B14" s="3">
        <v>2023</v>
      </c>
      <c r="C14" s="3">
        <v>2024</v>
      </c>
      <c r="D14" s="3" t="s">
        <v>129</v>
      </c>
      <c r="E14" s="3">
        <v>2023</v>
      </c>
      <c r="F14" s="3">
        <v>2024</v>
      </c>
      <c r="G14" s="3" t="s">
        <v>129</v>
      </c>
      <c r="H14" s="3">
        <v>2023</v>
      </c>
      <c r="I14" s="3">
        <v>2024</v>
      </c>
      <c r="J14" s="3" t="s">
        <v>129</v>
      </c>
      <c r="K14" s="76"/>
    </row>
    <row r="15" spans="1:20" x14ac:dyDescent="0.25">
      <c r="A15" s="55" t="s">
        <v>132</v>
      </c>
      <c r="B15" s="147">
        <v>7</v>
      </c>
      <c r="C15" s="147">
        <v>4</v>
      </c>
      <c r="D15" s="147">
        <v>4</v>
      </c>
      <c r="E15" s="147">
        <v>3</v>
      </c>
      <c r="F15" s="147">
        <v>3</v>
      </c>
      <c r="G15" s="147">
        <v>2</v>
      </c>
      <c r="H15" s="148">
        <f>B15+E15</f>
        <v>10</v>
      </c>
      <c r="I15" s="148">
        <f t="shared" ref="I15" si="6">C15+F15</f>
        <v>7</v>
      </c>
      <c r="J15" s="148">
        <f t="shared" ref="J15" si="7">D15+G15</f>
        <v>6</v>
      </c>
      <c r="K15" s="148">
        <v>6</v>
      </c>
    </row>
    <row r="17" spans="1:20" ht="15.75" thickBot="1" x14ac:dyDescent="0.3">
      <c r="A17" s="64" t="s">
        <v>83</v>
      </c>
      <c r="B17" s="65"/>
      <c r="C17" s="65"/>
      <c r="D17" s="65"/>
      <c r="E17" s="65"/>
      <c r="F17" s="65"/>
      <c r="G17" s="65"/>
      <c r="H17" s="65"/>
      <c r="I17" s="65"/>
      <c r="J17" s="65"/>
    </row>
    <row r="18" spans="1:20" ht="21" customHeight="1" thickBot="1" x14ac:dyDescent="0.3">
      <c r="A18" s="2"/>
      <c r="B18" s="3" t="s">
        <v>87</v>
      </c>
      <c r="C18" s="3" t="s">
        <v>88</v>
      </c>
      <c r="D18" s="3" t="s">
        <v>2</v>
      </c>
      <c r="E18" s="3" t="s">
        <v>89</v>
      </c>
      <c r="F18" s="3" t="s">
        <v>90</v>
      </c>
      <c r="G18" s="3" t="s">
        <v>2</v>
      </c>
      <c r="H18" s="3" t="s">
        <v>6</v>
      </c>
      <c r="I18" s="31" t="s">
        <v>2</v>
      </c>
      <c r="J18" s="15" t="s">
        <v>3</v>
      </c>
      <c r="L18" s="72" t="s">
        <v>42</v>
      </c>
      <c r="M18" s="72"/>
      <c r="N18" s="72"/>
      <c r="O18" s="72"/>
      <c r="P18" s="72"/>
      <c r="Q18" s="72"/>
      <c r="R18" s="72"/>
      <c r="S18" s="72"/>
      <c r="T18" s="72"/>
    </row>
    <row r="19" spans="1:20" x14ac:dyDescent="0.25">
      <c r="A19" s="4" t="s">
        <v>160</v>
      </c>
      <c r="B19" s="141">
        <v>12</v>
      </c>
      <c r="C19" s="141">
        <v>4</v>
      </c>
      <c r="D19" s="141">
        <v>16</v>
      </c>
      <c r="E19" s="141">
        <v>0</v>
      </c>
      <c r="F19" s="141">
        <v>0</v>
      </c>
      <c r="G19" s="141">
        <v>0</v>
      </c>
      <c r="H19" s="141"/>
      <c r="I19" s="5">
        <f>D19+G19+H19</f>
        <v>16</v>
      </c>
      <c r="J19" s="6">
        <f>I19/I23</f>
        <v>1</v>
      </c>
      <c r="L19" s="72"/>
      <c r="M19" s="72"/>
      <c r="N19" s="72"/>
      <c r="O19" s="72"/>
      <c r="P19" s="72"/>
      <c r="Q19" s="72"/>
      <c r="R19" s="72"/>
      <c r="S19" s="72"/>
      <c r="T19" s="72"/>
    </row>
    <row r="20" spans="1:20" x14ac:dyDescent="0.25">
      <c r="A20" s="4" t="s">
        <v>84</v>
      </c>
      <c r="B20" s="149"/>
      <c r="C20" s="150"/>
      <c r="D20" s="150"/>
      <c r="E20" s="150"/>
      <c r="F20" s="150"/>
      <c r="G20" s="150"/>
      <c r="H20" s="150"/>
      <c r="I20" s="27">
        <f t="shared" ref="I20:I23" si="8">D20+G20+H20</f>
        <v>0</v>
      </c>
      <c r="J20" s="29">
        <f>I20/I23</f>
        <v>0</v>
      </c>
      <c r="L20" s="72"/>
      <c r="M20" s="72"/>
      <c r="N20" s="72"/>
      <c r="O20" s="72"/>
      <c r="P20" s="72"/>
      <c r="Q20" s="72"/>
      <c r="R20" s="72"/>
      <c r="S20" s="72"/>
      <c r="T20" s="72"/>
    </row>
    <row r="21" spans="1:20" x14ac:dyDescent="0.25">
      <c r="A21" s="4" t="s">
        <v>85</v>
      </c>
      <c r="B21" s="151"/>
      <c r="C21" s="151"/>
      <c r="D21" s="151"/>
      <c r="E21" s="151"/>
      <c r="F21" s="151"/>
      <c r="G21" s="151"/>
      <c r="H21" s="151"/>
      <c r="I21" s="27">
        <f t="shared" si="8"/>
        <v>0</v>
      </c>
      <c r="J21" s="29">
        <f>I21/I23</f>
        <v>0</v>
      </c>
      <c r="L21" s="72"/>
      <c r="M21" s="72"/>
      <c r="N21" s="72"/>
      <c r="O21" s="72"/>
      <c r="P21" s="72"/>
      <c r="Q21" s="72"/>
      <c r="R21" s="72"/>
      <c r="S21" s="72"/>
      <c r="T21" s="72"/>
    </row>
    <row r="22" spans="1:20" ht="15.75" thickBot="1" x14ac:dyDescent="0.3">
      <c r="A22" s="4" t="s">
        <v>86</v>
      </c>
      <c r="B22" s="144"/>
      <c r="C22" s="144"/>
      <c r="D22" s="144"/>
      <c r="E22" s="144"/>
      <c r="F22" s="144"/>
      <c r="G22" s="144"/>
      <c r="H22" s="144"/>
      <c r="I22" s="27">
        <f t="shared" si="8"/>
        <v>0</v>
      </c>
      <c r="J22" s="29">
        <f>I22/I23</f>
        <v>0</v>
      </c>
      <c r="L22" s="72"/>
      <c r="M22" s="72"/>
      <c r="N22" s="72"/>
      <c r="O22" s="72"/>
      <c r="P22" s="72"/>
      <c r="Q22" s="72"/>
      <c r="R22" s="72"/>
      <c r="S22" s="72"/>
      <c r="T22" s="72"/>
    </row>
    <row r="23" spans="1:20" ht="15.75" thickBot="1" x14ac:dyDescent="0.3">
      <c r="A23" s="30" t="s">
        <v>9</v>
      </c>
      <c r="B23" s="7">
        <f t="shared" ref="B23:J23" si="9">SUM(B19:B20)</f>
        <v>12</v>
      </c>
      <c r="C23" s="7">
        <f t="shared" si="9"/>
        <v>4</v>
      </c>
      <c r="D23" s="7">
        <f t="shared" si="9"/>
        <v>16</v>
      </c>
      <c r="E23" s="7">
        <f t="shared" si="9"/>
        <v>0</v>
      </c>
      <c r="F23" s="7">
        <f t="shared" si="9"/>
        <v>0</v>
      </c>
      <c r="G23" s="7">
        <f t="shared" si="9"/>
        <v>0</v>
      </c>
      <c r="H23" s="7">
        <f t="shared" si="9"/>
        <v>0</v>
      </c>
      <c r="I23" s="32">
        <f t="shared" si="8"/>
        <v>16</v>
      </c>
      <c r="J23" s="8">
        <f t="shared" si="9"/>
        <v>1</v>
      </c>
      <c r="L23" s="72"/>
      <c r="M23" s="72"/>
      <c r="N23" s="72"/>
      <c r="O23" s="72"/>
      <c r="P23" s="72"/>
      <c r="Q23" s="72"/>
      <c r="R23" s="72"/>
      <c r="S23" s="72"/>
      <c r="T23" s="72"/>
    </row>
    <row r="24" spans="1:20" ht="15.75" thickBot="1" x14ac:dyDescent="0.3">
      <c r="L24" s="72"/>
      <c r="M24" s="72"/>
      <c r="N24" s="72"/>
      <c r="O24" s="72"/>
      <c r="P24" s="72"/>
      <c r="Q24" s="72"/>
      <c r="R24" s="72"/>
      <c r="S24" s="72"/>
      <c r="T24" s="72"/>
    </row>
    <row r="25" spans="1:20" ht="26.45" customHeight="1" thickBot="1" x14ac:dyDescent="0.3">
      <c r="A25" s="53"/>
      <c r="B25" s="69" t="s">
        <v>131</v>
      </c>
      <c r="C25" s="69"/>
      <c r="D25" s="70"/>
      <c r="E25" s="71" t="s">
        <v>130</v>
      </c>
      <c r="F25" s="69"/>
      <c r="G25" s="70"/>
      <c r="H25" s="71" t="s">
        <v>2</v>
      </c>
      <c r="I25" s="69"/>
      <c r="J25" s="70"/>
      <c r="L25" s="72"/>
      <c r="M25" s="72"/>
      <c r="N25" s="72"/>
      <c r="O25" s="72"/>
      <c r="P25" s="72"/>
      <c r="Q25" s="72"/>
      <c r="R25" s="72"/>
      <c r="S25" s="72"/>
      <c r="T25" s="72"/>
    </row>
    <row r="26" spans="1:20" ht="26.25" thickBot="1" x14ac:dyDescent="0.3">
      <c r="A26" s="54"/>
      <c r="B26" s="3">
        <v>2023</v>
      </c>
      <c r="C26" s="3">
        <v>2024</v>
      </c>
      <c r="D26" s="3" t="s">
        <v>129</v>
      </c>
      <c r="E26" s="3">
        <v>2023</v>
      </c>
      <c r="F26" s="3">
        <v>2024</v>
      </c>
      <c r="G26" s="3" t="s">
        <v>129</v>
      </c>
      <c r="H26" s="3">
        <v>2023</v>
      </c>
      <c r="I26" s="3">
        <v>2024</v>
      </c>
      <c r="J26" s="3" t="s">
        <v>129</v>
      </c>
    </row>
    <row r="27" spans="1:20" ht="40.5" x14ac:dyDescent="0.25">
      <c r="A27" s="55" t="s">
        <v>10</v>
      </c>
      <c r="B27" s="147"/>
      <c r="C27" s="147"/>
      <c r="D27" s="147"/>
      <c r="E27" s="147"/>
      <c r="F27" s="147"/>
      <c r="G27" s="147"/>
      <c r="H27" s="57">
        <f>B27+E27</f>
        <v>0</v>
      </c>
      <c r="I27" s="57">
        <f t="shared" ref="I27:J27" si="10">C27+F27</f>
        <v>0</v>
      </c>
      <c r="J27" s="57">
        <f t="shared" si="10"/>
        <v>0</v>
      </c>
    </row>
    <row r="28" spans="1:20" x14ac:dyDescent="0.25">
      <c r="A28" s="55" t="s">
        <v>11</v>
      </c>
      <c r="B28" s="147">
        <v>0</v>
      </c>
      <c r="C28" s="147">
        <v>0</v>
      </c>
      <c r="D28" s="147">
        <v>0</v>
      </c>
      <c r="E28" s="147">
        <v>0</v>
      </c>
      <c r="F28" s="147">
        <v>0</v>
      </c>
      <c r="G28" s="147">
        <v>0</v>
      </c>
      <c r="H28" s="57">
        <f t="shared" ref="H28:H30" si="11">B28+E28</f>
        <v>0</v>
      </c>
      <c r="I28" s="57">
        <f t="shared" ref="I28:I30" si="12">C28+F28</f>
        <v>0</v>
      </c>
      <c r="J28" s="57">
        <f t="shared" ref="J28:J30" si="13">D28+G28</f>
        <v>0</v>
      </c>
    </row>
    <row r="29" spans="1:20" x14ac:dyDescent="0.25">
      <c r="A29" s="55" t="s">
        <v>12</v>
      </c>
      <c r="B29" s="147">
        <v>0</v>
      </c>
      <c r="C29" s="147">
        <v>0</v>
      </c>
      <c r="D29" s="147">
        <v>0</v>
      </c>
      <c r="E29" s="147">
        <v>0</v>
      </c>
      <c r="F29" s="147">
        <v>0</v>
      </c>
      <c r="G29" s="147">
        <v>0</v>
      </c>
      <c r="H29" s="57">
        <f t="shared" si="11"/>
        <v>0</v>
      </c>
      <c r="I29" s="57">
        <f t="shared" si="12"/>
        <v>0</v>
      </c>
      <c r="J29" s="57">
        <f t="shared" si="13"/>
        <v>0</v>
      </c>
      <c r="L29" s="52"/>
      <c r="M29" s="52"/>
      <c r="N29" s="52"/>
    </row>
    <row r="30" spans="1:20" ht="27.75" thickBot="1" x14ac:dyDescent="0.3">
      <c r="A30" s="56" t="s">
        <v>13</v>
      </c>
      <c r="B30" s="147">
        <v>0</v>
      </c>
      <c r="C30" s="147">
        <v>0</v>
      </c>
      <c r="D30" s="147">
        <v>0</v>
      </c>
      <c r="E30" s="147">
        <v>0</v>
      </c>
      <c r="F30" s="147">
        <v>0</v>
      </c>
      <c r="G30" s="147">
        <v>0</v>
      </c>
      <c r="H30" s="57">
        <f t="shared" si="11"/>
        <v>0</v>
      </c>
      <c r="I30" s="57">
        <f t="shared" si="12"/>
        <v>0</v>
      </c>
      <c r="J30" s="57">
        <f t="shared" si="13"/>
        <v>0</v>
      </c>
      <c r="L30" s="52"/>
      <c r="M30" s="52"/>
      <c r="N30" s="52"/>
    </row>
    <row r="31" spans="1:20" ht="15.75" thickBot="1" x14ac:dyDescent="0.3">
      <c r="A31" s="35"/>
      <c r="B31" s="52"/>
      <c r="C31" s="52"/>
      <c r="D31" s="52"/>
      <c r="E31" s="52"/>
      <c r="F31" s="52"/>
      <c r="G31" s="52"/>
      <c r="H31" s="52"/>
      <c r="I31" s="52"/>
      <c r="J31" s="52"/>
      <c r="L31" s="52"/>
      <c r="M31" s="52"/>
      <c r="N31" s="52"/>
    </row>
    <row r="32" spans="1:20" ht="15.75" thickBot="1" x14ac:dyDescent="0.3">
      <c r="A32" s="53"/>
      <c r="B32" s="69" t="s">
        <v>131</v>
      </c>
      <c r="C32" s="69"/>
      <c r="D32" s="70"/>
      <c r="E32" s="71" t="s">
        <v>130</v>
      </c>
      <c r="F32" s="69"/>
      <c r="G32" s="70"/>
      <c r="H32" s="71" t="s">
        <v>2</v>
      </c>
      <c r="I32" s="69"/>
      <c r="J32" s="70"/>
      <c r="L32" s="52"/>
      <c r="M32" s="52"/>
      <c r="N32" s="52"/>
    </row>
    <row r="33" spans="1:10" ht="26.25" thickBot="1" x14ac:dyDescent="0.3">
      <c r="A33" s="54"/>
      <c r="B33" s="3">
        <v>2023</v>
      </c>
      <c r="C33" s="3">
        <v>2024</v>
      </c>
      <c r="D33" s="3" t="s">
        <v>129</v>
      </c>
      <c r="E33" s="3">
        <v>2023</v>
      </c>
      <c r="F33" s="3">
        <v>2024</v>
      </c>
      <c r="G33" s="3" t="s">
        <v>129</v>
      </c>
      <c r="H33" s="3">
        <v>2023</v>
      </c>
      <c r="I33" s="3">
        <v>2024</v>
      </c>
      <c r="J33" s="3" t="s">
        <v>129</v>
      </c>
    </row>
    <row r="34" spans="1:10" ht="40.5" x14ac:dyDescent="0.25">
      <c r="A34" s="55" t="s">
        <v>10</v>
      </c>
      <c r="B34" s="36" t="e">
        <f>B27/H27</f>
        <v>#DIV/0!</v>
      </c>
      <c r="C34" s="36" t="e">
        <f t="shared" ref="C34:D34" si="14">C27/I27</f>
        <v>#DIV/0!</v>
      </c>
      <c r="D34" s="36" t="e">
        <f t="shared" si="14"/>
        <v>#DIV/0!</v>
      </c>
      <c r="E34" s="36" t="e">
        <f>E27/H27</f>
        <v>#DIV/0!</v>
      </c>
      <c r="F34" s="36" t="e">
        <f t="shared" ref="F34:G34" si="15">F27/I27</f>
        <v>#DIV/0!</v>
      </c>
      <c r="G34" s="36" t="e">
        <f t="shared" si="15"/>
        <v>#DIV/0!</v>
      </c>
      <c r="H34" s="36" t="e">
        <f t="shared" ref="H34:J35" si="16">B34+E34</f>
        <v>#DIV/0!</v>
      </c>
      <c r="I34" s="36" t="e">
        <f t="shared" si="16"/>
        <v>#DIV/0!</v>
      </c>
      <c r="J34" s="36" t="e">
        <f t="shared" si="16"/>
        <v>#DIV/0!</v>
      </c>
    </row>
    <row r="35" spans="1:10" x14ac:dyDescent="0.25">
      <c r="A35" s="55" t="s">
        <v>11</v>
      </c>
      <c r="B35" s="36" t="e">
        <f>B28/H28</f>
        <v>#DIV/0!</v>
      </c>
      <c r="C35" s="36" t="e">
        <f t="shared" ref="C35" si="17">C28/I28</f>
        <v>#DIV/0!</v>
      </c>
      <c r="D35" s="36" t="e">
        <f t="shared" ref="D35" si="18">D28/J28</f>
        <v>#DIV/0!</v>
      </c>
      <c r="E35" s="36" t="e">
        <f>E28/H28</f>
        <v>#DIV/0!</v>
      </c>
      <c r="F35" s="36" t="e">
        <f t="shared" ref="F35" si="19">F28/I28</f>
        <v>#DIV/0!</v>
      </c>
      <c r="G35" s="36" t="e">
        <f t="shared" ref="G35" si="20">G28/J28</f>
        <v>#DIV/0!</v>
      </c>
      <c r="H35" s="36" t="e">
        <f t="shared" si="16"/>
        <v>#DIV/0!</v>
      </c>
      <c r="I35" s="36" t="e">
        <f t="shared" si="16"/>
        <v>#DIV/0!</v>
      </c>
      <c r="J35" s="36" t="e">
        <f t="shared" si="16"/>
        <v>#DIV/0!</v>
      </c>
    </row>
    <row r="36" spans="1:10" x14ac:dyDescent="0.25">
      <c r="A36" s="55" t="s">
        <v>12</v>
      </c>
      <c r="B36" s="37">
        <f t="shared" ref="B36:J36" si="21">B29*100/B15</f>
        <v>0</v>
      </c>
      <c r="C36" s="37">
        <f t="shared" si="21"/>
        <v>0</v>
      </c>
      <c r="D36" s="37">
        <f t="shared" si="21"/>
        <v>0</v>
      </c>
      <c r="E36" s="37">
        <f t="shared" si="21"/>
        <v>0</v>
      </c>
      <c r="F36" s="37">
        <f t="shared" si="21"/>
        <v>0</v>
      </c>
      <c r="G36" s="37">
        <f t="shared" si="21"/>
        <v>0</v>
      </c>
      <c r="H36" s="37">
        <f t="shared" si="21"/>
        <v>0</v>
      </c>
      <c r="I36" s="37">
        <f t="shared" si="21"/>
        <v>0</v>
      </c>
      <c r="J36" s="37">
        <f t="shared" si="21"/>
        <v>0</v>
      </c>
    </row>
    <row r="37" spans="1:10" ht="27.75" thickBot="1" x14ac:dyDescent="0.3">
      <c r="A37" s="56" t="s">
        <v>13</v>
      </c>
      <c r="B37" s="37">
        <f t="shared" ref="B37:J37" si="22">B30*100/B15</f>
        <v>0</v>
      </c>
      <c r="C37" s="37">
        <f t="shared" si="22"/>
        <v>0</v>
      </c>
      <c r="D37" s="37">
        <f t="shared" si="22"/>
        <v>0</v>
      </c>
      <c r="E37" s="37">
        <f t="shared" si="22"/>
        <v>0</v>
      </c>
      <c r="F37" s="37">
        <f t="shared" si="22"/>
        <v>0</v>
      </c>
      <c r="G37" s="37">
        <f t="shared" si="22"/>
        <v>0</v>
      </c>
      <c r="H37" s="37">
        <f t="shared" si="22"/>
        <v>0</v>
      </c>
      <c r="I37" s="37">
        <f t="shared" si="22"/>
        <v>0</v>
      </c>
      <c r="J37" s="37">
        <f t="shared" si="22"/>
        <v>0</v>
      </c>
    </row>
    <row r="39" spans="1:10" ht="30.6" customHeight="1" x14ac:dyDescent="0.25">
      <c r="A39" s="61" t="s">
        <v>136</v>
      </c>
      <c r="B39" s="62"/>
      <c r="C39" s="63"/>
    </row>
    <row r="40" spans="1:10" ht="15.75" thickBot="1" x14ac:dyDescent="0.3">
      <c r="A40" s="3" t="s">
        <v>134</v>
      </c>
      <c r="B40" s="3" t="s">
        <v>133</v>
      </c>
      <c r="C40" s="3" t="s">
        <v>3</v>
      </c>
    </row>
    <row r="41" spans="1:10" x14ac:dyDescent="0.25">
      <c r="A41" s="152" t="s">
        <v>161</v>
      </c>
      <c r="B41" s="152">
        <v>22</v>
      </c>
      <c r="C41" s="58">
        <f>B41/$K$15</f>
        <v>3.6666666666666665</v>
      </c>
    </row>
    <row r="42" spans="1:10" x14ac:dyDescent="0.25">
      <c r="A42" s="152"/>
      <c r="B42" s="152"/>
      <c r="C42" s="58">
        <f t="shared" ref="C42:C45" si="23">B42/$K$15</f>
        <v>0</v>
      </c>
    </row>
    <row r="43" spans="1:10" x14ac:dyDescent="0.25">
      <c r="A43" s="152"/>
      <c r="B43" s="152"/>
      <c r="C43" s="58">
        <f t="shared" si="23"/>
        <v>0</v>
      </c>
    </row>
    <row r="44" spans="1:10" x14ac:dyDescent="0.25">
      <c r="A44" s="152"/>
      <c r="B44" s="152"/>
      <c r="C44" s="37">
        <f t="shared" si="23"/>
        <v>0</v>
      </c>
    </row>
    <row r="45" spans="1:10" x14ac:dyDescent="0.25">
      <c r="A45" s="152"/>
      <c r="B45" s="152"/>
      <c r="C45" s="37">
        <f t="shared" si="23"/>
        <v>0</v>
      </c>
    </row>
    <row r="46" spans="1:10" x14ac:dyDescent="0.25">
      <c r="A46" s="152"/>
      <c r="B46" s="152"/>
      <c r="C46" s="58">
        <f t="shared" ref="C46:C57" si="24">B46/$K$15</f>
        <v>0</v>
      </c>
    </row>
    <row r="47" spans="1:10" x14ac:dyDescent="0.25">
      <c r="A47" s="152"/>
      <c r="B47" s="152"/>
      <c r="C47" s="58">
        <f t="shared" si="24"/>
        <v>0</v>
      </c>
    </row>
    <row r="48" spans="1:10" x14ac:dyDescent="0.25">
      <c r="A48" s="152"/>
      <c r="B48" s="152"/>
      <c r="C48" s="37">
        <f t="shared" si="24"/>
        <v>0</v>
      </c>
    </row>
    <row r="49" spans="1:3" x14ac:dyDescent="0.25">
      <c r="A49" s="152"/>
      <c r="B49" s="152"/>
      <c r="C49" s="37">
        <f t="shared" si="24"/>
        <v>0</v>
      </c>
    </row>
    <row r="50" spans="1:3" x14ac:dyDescent="0.25">
      <c r="A50" s="152"/>
      <c r="B50" s="152"/>
      <c r="C50" s="58">
        <f t="shared" si="24"/>
        <v>0</v>
      </c>
    </row>
    <row r="51" spans="1:3" x14ac:dyDescent="0.25">
      <c r="A51" s="152"/>
      <c r="B51" s="152"/>
      <c r="C51" s="58">
        <f t="shared" si="24"/>
        <v>0</v>
      </c>
    </row>
    <row r="52" spans="1:3" x14ac:dyDescent="0.25">
      <c r="A52" s="152"/>
      <c r="B52" s="152"/>
      <c r="C52" s="37">
        <f t="shared" si="24"/>
        <v>0</v>
      </c>
    </row>
    <row r="53" spans="1:3" x14ac:dyDescent="0.25">
      <c r="A53" s="152"/>
      <c r="B53" s="152"/>
      <c r="C53" s="37">
        <f t="shared" si="24"/>
        <v>0</v>
      </c>
    </row>
    <row r="54" spans="1:3" x14ac:dyDescent="0.25">
      <c r="A54" s="152"/>
      <c r="B54" s="152"/>
      <c r="C54" s="58">
        <f t="shared" si="24"/>
        <v>0</v>
      </c>
    </row>
    <row r="55" spans="1:3" x14ac:dyDescent="0.25">
      <c r="A55" s="152"/>
      <c r="B55" s="152"/>
      <c r="C55" s="58">
        <f t="shared" si="24"/>
        <v>0</v>
      </c>
    </row>
    <row r="56" spans="1:3" x14ac:dyDescent="0.25">
      <c r="A56" s="152"/>
      <c r="B56" s="152"/>
      <c r="C56" s="37">
        <f t="shared" si="24"/>
        <v>0</v>
      </c>
    </row>
    <row r="57" spans="1:3" x14ac:dyDescent="0.25">
      <c r="A57" s="152"/>
      <c r="B57" s="152"/>
      <c r="C57" s="37">
        <f t="shared" si="24"/>
        <v>0</v>
      </c>
    </row>
  </sheetData>
  <mergeCells count="22">
    <mergeCell ref="A1:T1"/>
    <mergeCell ref="B25:D25"/>
    <mergeCell ref="E25:G25"/>
    <mergeCell ref="H25:J25"/>
    <mergeCell ref="B13:D13"/>
    <mergeCell ref="E13:G13"/>
    <mergeCell ref="H13:J13"/>
    <mergeCell ref="K13:K14"/>
    <mergeCell ref="A39:C39"/>
    <mergeCell ref="A17:J17"/>
    <mergeCell ref="B2:H2"/>
    <mergeCell ref="I2:K2"/>
    <mergeCell ref="N2:P2"/>
    <mergeCell ref="B8:H8"/>
    <mergeCell ref="I8:K8"/>
    <mergeCell ref="N8:P8"/>
    <mergeCell ref="B32:D32"/>
    <mergeCell ref="E32:G32"/>
    <mergeCell ref="L18:T25"/>
    <mergeCell ref="R2:T2"/>
    <mergeCell ref="R8:T8"/>
    <mergeCell ref="H32:J32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workbookViewId="0">
      <selection activeCell="F31" sqref="F31"/>
    </sheetView>
  </sheetViews>
  <sheetFormatPr defaultRowHeight="15" x14ac:dyDescent="0.25"/>
  <cols>
    <col min="2" max="2" width="17.5703125" bestFit="1" customWidth="1"/>
    <col min="3" max="3" width="22.42578125" customWidth="1"/>
    <col min="4" max="4" width="6" bestFit="1" customWidth="1"/>
    <col min="5" max="5" width="18.7109375" bestFit="1" customWidth="1"/>
    <col min="6" max="6" width="18.28515625" bestFit="1" customWidth="1"/>
    <col min="7" max="7" width="22.140625" bestFit="1" customWidth="1"/>
    <col min="8" max="8" width="24.140625" bestFit="1" customWidth="1"/>
    <col min="10" max="10" width="8" bestFit="1" customWidth="1"/>
  </cols>
  <sheetData>
    <row r="1" spans="1:22" x14ac:dyDescent="0.25">
      <c r="A1" s="137" t="s">
        <v>14</v>
      </c>
      <c r="B1" s="137"/>
      <c r="C1" s="116" t="s">
        <v>221</v>
      </c>
      <c r="D1" s="116"/>
      <c r="E1" s="116"/>
      <c r="F1" s="116"/>
      <c r="G1" s="116"/>
      <c r="H1" s="116"/>
      <c r="I1" s="116"/>
    </row>
    <row r="2" spans="1:22" x14ac:dyDescent="0.25">
      <c r="A2" s="137" t="s">
        <v>15</v>
      </c>
      <c r="B2" s="137"/>
      <c r="C2" s="130">
        <v>45352</v>
      </c>
      <c r="D2" s="116"/>
      <c r="E2" s="116"/>
      <c r="F2" s="116"/>
      <c r="G2" s="116"/>
      <c r="H2" s="116"/>
      <c r="I2" s="116"/>
    </row>
    <row r="3" spans="1:22" x14ac:dyDescent="0.25">
      <c r="A3" s="137" t="s">
        <v>16</v>
      </c>
      <c r="B3" s="137"/>
      <c r="C3" s="116" t="s">
        <v>222</v>
      </c>
      <c r="D3" s="116"/>
      <c r="E3" s="116"/>
      <c r="F3" s="116"/>
      <c r="G3" s="116"/>
      <c r="H3" s="116"/>
      <c r="I3" s="116"/>
      <c r="M3" s="77" t="s">
        <v>17</v>
      </c>
      <c r="N3" s="77"/>
      <c r="O3" s="77"/>
      <c r="P3" s="77"/>
      <c r="Q3" s="77"/>
      <c r="R3" s="77"/>
      <c r="S3" s="77"/>
      <c r="T3" s="77"/>
      <c r="U3" s="77"/>
      <c r="V3" s="77"/>
    </row>
    <row r="4" spans="1:22" x14ac:dyDescent="0.25">
      <c r="A4" s="116"/>
      <c r="B4" s="116"/>
      <c r="C4" s="116"/>
      <c r="D4" s="116"/>
      <c r="E4" s="116"/>
      <c r="F4" s="116"/>
      <c r="G4" s="116"/>
      <c r="H4" s="116"/>
      <c r="I4" s="116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22" x14ac:dyDescent="0.25">
      <c r="A5" s="116"/>
      <c r="B5" s="116"/>
      <c r="C5" s="116"/>
      <c r="D5" s="116"/>
      <c r="E5" s="116"/>
      <c r="F5" s="116"/>
      <c r="G5" s="116"/>
      <c r="H5" s="116"/>
      <c r="I5" s="116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 x14ac:dyDescent="0.25">
      <c r="A6" s="127" t="s">
        <v>18</v>
      </c>
      <c r="B6" s="127" t="s">
        <v>19</v>
      </c>
      <c r="C6" s="127" t="s">
        <v>41</v>
      </c>
      <c r="D6" s="127" t="s">
        <v>20</v>
      </c>
      <c r="E6" s="127" t="s">
        <v>21</v>
      </c>
      <c r="F6" s="127" t="s">
        <v>22</v>
      </c>
      <c r="G6" s="127" t="s">
        <v>23</v>
      </c>
      <c r="H6" s="127" t="s">
        <v>24</v>
      </c>
      <c r="I6" s="116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pans="1:22" x14ac:dyDescent="0.25">
      <c r="A7" s="118">
        <v>2</v>
      </c>
      <c r="B7" s="138">
        <v>1915.53</v>
      </c>
      <c r="C7" s="118"/>
      <c r="D7" s="118">
        <v>10.33</v>
      </c>
      <c r="E7" s="118"/>
      <c r="F7" s="118"/>
      <c r="G7" s="118"/>
      <c r="H7" s="118"/>
      <c r="I7" s="116"/>
      <c r="J7" s="11">
        <f>B7+C7+E7</f>
        <v>1915.53</v>
      </c>
      <c r="L7">
        <f>K7*J7</f>
        <v>0</v>
      </c>
      <c r="M7" s="77"/>
      <c r="N7" s="77"/>
      <c r="O7" s="77"/>
      <c r="P7" s="77"/>
      <c r="Q7" s="77"/>
      <c r="R7" s="77"/>
      <c r="S7" s="77"/>
      <c r="T7" s="77"/>
      <c r="U7" s="77"/>
      <c r="V7" s="77"/>
    </row>
    <row r="8" spans="1:22" x14ac:dyDescent="0.25">
      <c r="A8" s="118">
        <v>4</v>
      </c>
      <c r="B8" s="138">
        <v>1393.1</v>
      </c>
      <c r="C8" s="118"/>
      <c r="D8" s="118">
        <v>10.33</v>
      </c>
      <c r="E8" s="118"/>
      <c r="F8" s="118"/>
      <c r="G8" s="118"/>
      <c r="H8" s="118"/>
      <c r="I8" s="116"/>
      <c r="J8" s="11">
        <f>SUM(B8:I8)</f>
        <v>1403.4299999999998</v>
      </c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 x14ac:dyDescent="0.25">
      <c r="A9" s="139"/>
      <c r="B9" s="138"/>
      <c r="C9" s="118"/>
      <c r="D9" s="118"/>
      <c r="E9" s="118"/>
      <c r="F9" s="118"/>
      <c r="G9" s="118"/>
      <c r="H9" s="118"/>
      <c r="I9" s="116"/>
      <c r="J9" s="11">
        <f t="shared" ref="J9:J14" si="0">SUM(B9:G9)</f>
        <v>0</v>
      </c>
      <c r="M9" s="77"/>
      <c r="N9" s="77"/>
      <c r="O9" s="77"/>
      <c r="P9" s="77"/>
      <c r="Q9" s="77"/>
      <c r="R9" s="77"/>
      <c r="S9" s="77"/>
      <c r="T9" s="77"/>
      <c r="U9" s="77"/>
      <c r="V9" s="77"/>
    </row>
    <row r="10" spans="1:22" x14ac:dyDescent="0.25">
      <c r="A10" s="139"/>
      <c r="B10" s="138"/>
      <c r="C10" s="118"/>
      <c r="D10" s="118"/>
      <c r="E10" s="118"/>
      <c r="F10" s="118"/>
      <c r="G10" s="118"/>
      <c r="H10" s="118"/>
      <c r="I10" s="116"/>
      <c r="J10" s="11">
        <f t="shared" si="0"/>
        <v>0</v>
      </c>
      <c r="M10" s="77"/>
      <c r="N10" s="77"/>
      <c r="O10" s="77"/>
      <c r="P10" s="77"/>
      <c r="Q10" s="77"/>
      <c r="R10" s="77"/>
      <c r="S10" s="77"/>
      <c r="T10" s="77"/>
      <c r="U10" s="77"/>
      <c r="V10" s="77"/>
    </row>
    <row r="11" spans="1:22" x14ac:dyDescent="0.25">
      <c r="A11" s="139"/>
      <c r="B11" s="138"/>
      <c r="C11" s="118"/>
      <c r="D11" s="118"/>
      <c r="E11" s="118"/>
      <c r="F11" s="118"/>
      <c r="G11" s="118"/>
      <c r="H11" s="118"/>
      <c r="I11" s="116"/>
      <c r="J11" s="11">
        <f t="shared" si="0"/>
        <v>0</v>
      </c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 x14ac:dyDescent="0.25">
      <c r="A12" s="139"/>
      <c r="B12" s="138"/>
      <c r="C12" s="118"/>
      <c r="D12" s="118"/>
      <c r="E12" s="118"/>
      <c r="F12" s="118"/>
      <c r="G12" s="118"/>
      <c r="H12" s="118"/>
      <c r="I12" s="116"/>
      <c r="J12" s="11">
        <f t="shared" si="0"/>
        <v>0</v>
      </c>
      <c r="L12">
        <f t="shared" ref="L12:L14" si="1">K12*J12</f>
        <v>0</v>
      </c>
    </row>
    <row r="13" spans="1:22" x14ac:dyDescent="0.25">
      <c r="A13" s="139"/>
      <c r="B13" s="138"/>
      <c r="C13" s="118"/>
      <c r="D13" s="118"/>
      <c r="E13" s="118"/>
      <c r="F13" s="118"/>
      <c r="G13" s="118"/>
      <c r="H13" s="118"/>
      <c r="I13" s="116"/>
      <c r="J13" s="11">
        <f t="shared" si="0"/>
        <v>0</v>
      </c>
      <c r="L13">
        <f t="shared" si="1"/>
        <v>0</v>
      </c>
    </row>
    <row r="14" spans="1:22" x14ac:dyDescent="0.25">
      <c r="A14" s="139"/>
      <c r="B14" s="138"/>
      <c r="C14" s="118"/>
      <c r="D14" s="118"/>
      <c r="E14" s="118"/>
      <c r="F14" s="118"/>
      <c r="G14" s="118"/>
      <c r="H14" s="118"/>
      <c r="I14" s="116"/>
      <c r="J14" s="11">
        <f t="shared" si="0"/>
        <v>0</v>
      </c>
      <c r="L14">
        <f t="shared" si="1"/>
        <v>0</v>
      </c>
    </row>
    <row r="15" spans="1:22" x14ac:dyDescent="0.25">
      <c r="A15" s="139"/>
      <c r="B15" s="138"/>
      <c r="C15" s="118"/>
      <c r="D15" s="118"/>
      <c r="E15" s="118"/>
      <c r="F15" s="118"/>
      <c r="G15" s="118"/>
      <c r="H15" s="118"/>
      <c r="I15" s="116"/>
      <c r="J15" s="11">
        <f t="shared" ref="J15:J16" si="2">SUM(B15:G15)</f>
        <v>0</v>
      </c>
    </row>
    <row r="16" spans="1:22" x14ac:dyDescent="0.25">
      <c r="A16" s="139"/>
      <c r="B16" s="138"/>
      <c r="C16" s="118"/>
      <c r="D16" s="118"/>
      <c r="E16" s="118"/>
      <c r="F16" s="118"/>
      <c r="G16" s="118"/>
      <c r="H16" s="118"/>
      <c r="I16" s="116"/>
      <c r="J16" s="11">
        <f t="shared" si="2"/>
        <v>0</v>
      </c>
    </row>
    <row r="17" spans="1:13" x14ac:dyDescent="0.25">
      <c r="A17" s="116" t="s">
        <v>25</v>
      </c>
      <c r="B17" s="116"/>
      <c r="C17" s="116"/>
      <c r="D17" s="116"/>
      <c r="E17" s="116"/>
      <c r="F17" s="116"/>
      <c r="G17" s="116"/>
      <c r="H17" s="116"/>
      <c r="I17" s="116"/>
      <c r="K17">
        <f>SUM(K7:K16)</f>
        <v>0</v>
      </c>
      <c r="L17">
        <f>SUM(L7:L16)</f>
        <v>0</v>
      </c>
      <c r="M17" t="e">
        <f>L17/K17</f>
        <v>#DIV/0!</v>
      </c>
    </row>
    <row r="18" spans="1:13" x14ac:dyDescent="0.25">
      <c r="A18" s="116"/>
      <c r="B18" s="116"/>
      <c r="C18" s="116"/>
      <c r="D18" s="116"/>
      <c r="E18" s="116"/>
      <c r="F18" s="116"/>
      <c r="G18" s="116"/>
      <c r="H18" s="116"/>
      <c r="I18" s="116"/>
    </row>
    <row r="19" spans="1:13" x14ac:dyDescent="0.25">
      <c r="A19" s="116" t="s">
        <v>26</v>
      </c>
      <c r="B19" s="116"/>
      <c r="C19" s="116"/>
      <c r="D19" s="116"/>
      <c r="E19" s="116"/>
      <c r="F19" s="116"/>
      <c r="G19" s="116"/>
      <c r="H19" s="116"/>
      <c r="I19" s="116"/>
    </row>
    <row r="20" spans="1:13" x14ac:dyDescent="0.25">
      <c r="A20" s="116"/>
      <c r="B20" s="116"/>
      <c r="C20" s="116"/>
      <c r="D20" s="116"/>
      <c r="E20" s="116"/>
      <c r="F20" s="116"/>
      <c r="G20" s="116"/>
      <c r="H20" s="116"/>
      <c r="I20" s="116"/>
    </row>
    <row r="21" spans="1:13" x14ac:dyDescent="0.25">
      <c r="A21" s="116"/>
      <c r="B21" s="116"/>
      <c r="C21" s="116"/>
      <c r="D21" s="116"/>
      <c r="E21" s="116"/>
      <c r="F21" s="116"/>
      <c r="G21" s="116"/>
      <c r="H21" s="116"/>
      <c r="I21" s="116"/>
    </row>
    <row r="22" spans="1:13" x14ac:dyDescent="0.25">
      <c r="A22" s="116"/>
      <c r="B22" s="116"/>
      <c r="C22" s="116"/>
      <c r="D22" s="116"/>
      <c r="E22" s="116"/>
      <c r="F22" s="116"/>
      <c r="G22" s="116"/>
      <c r="H22" s="116"/>
      <c r="I22" s="116"/>
    </row>
    <row r="23" spans="1:13" x14ac:dyDescent="0.25">
      <c r="A23" s="116"/>
      <c r="B23" s="116"/>
      <c r="C23" s="116"/>
      <c r="D23" s="116"/>
      <c r="E23" s="116"/>
      <c r="F23" s="116"/>
      <c r="G23" s="116"/>
      <c r="H23" s="116"/>
      <c r="I23" s="116"/>
    </row>
    <row r="24" spans="1:13" x14ac:dyDescent="0.25">
      <c r="A24" s="116"/>
      <c r="B24" s="121"/>
      <c r="C24" s="140"/>
      <c r="D24" s="121"/>
      <c r="E24" s="140"/>
      <c r="F24" s="121"/>
      <c r="G24" s="121"/>
      <c r="H24" s="116"/>
      <c r="I24" s="116"/>
    </row>
    <row r="25" spans="1:13" x14ac:dyDescent="0.25">
      <c r="A25" s="116"/>
      <c r="B25" s="121"/>
      <c r="C25" s="140"/>
      <c r="D25" s="121"/>
      <c r="E25" s="140"/>
      <c r="F25" s="121"/>
      <c r="G25" s="121"/>
      <c r="H25" s="116"/>
      <c r="I25" s="116"/>
    </row>
    <row r="26" spans="1:13" x14ac:dyDescent="0.25">
      <c r="A26" s="116"/>
      <c r="B26" s="121"/>
      <c r="C26" s="140"/>
      <c r="D26" s="121"/>
      <c r="E26" s="140"/>
      <c r="F26" s="121"/>
      <c r="G26" s="121"/>
      <c r="H26" s="116"/>
      <c r="I26" s="116"/>
    </row>
    <row r="27" spans="1:13" x14ac:dyDescent="0.25">
      <c r="A27" s="116"/>
      <c r="B27" s="121"/>
      <c r="C27" s="140"/>
      <c r="D27" s="121"/>
      <c r="E27" s="140"/>
      <c r="F27" s="121"/>
      <c r="G27" s="121"/>
      <c r="H27" s="116"/>
      <c r="I27" s="116"/>
    </row>
    <row r="28" spans="1:13" x14ac:dyDescent="0.25">
      <c r="B28" s="78"/>
      <c r="C28" s="79"/>
      <c r="D28" s="78"/>
      <c r="E28" s="79"/>
      <c r="F28" s="12"/>
      <c r="G28" s="12"/>
      <c r="H28" s="14"/>
    </row>
    <row r="29" spans="1:13" x14ac:dyDescent="0.25">
      <c r="B29" s="78"/>
      <c r="C29" s="79"/>
      <c r="D29" s="78"/>
      <c r="E29" s="79"/>
      <c r="F29" s="12"/>
      <c r="G29" s="12"/>
      <c r="H29" s="14"/>
    </row>
    <row r="30" spans="1:13" x14ac:dyDescent="0.25">
      <c r="B30" s="78"/>
      <c r="C30" s="79"/>
      <c r="D30" s="78"/>
      <c r="E30" s="79"/>
      <c r="F30" s="12"/>
      <c r="G30" s="12"/>
      <c r="H30" s="14"/>
    </row>
    <row r="31" spans="1:13" x14ac:dyDescent="0.25">
      <c r="B31" s="78"/>
      <c r="C31" s="79"/>
      <c r="D31" s="78"/>
      <c r="E31" s="79"/>
      <c r="F31" s="12"/>
      <c r="G31" s="12"/>
      <c r="H31" s="14"/>
    </row>
    <row r="32" spans="1:13" x14ac:dyDescent="0.25">
      <c r="B32" s="12"/>
      <c r="C32" s="13"/>
      <c r="D32" s="12"/>
      <c r="E32" s="13"/>
      <c r="F32" s="12"/>
      <c r="G32" s="12"/>
    </row>
    <row r="33" spans="2:8" x14ac:dyDescent="0.25">
      <c r="B33" s="78"/>
      <c r="C33" s="79"/>
      <c r="D33" s="78"/>
      <c r="E33" s="79"/>
      <c r="F33" s="12"/>
      <c r="G33" s="12"/>
      <c r="H33" s="14"/>
    </row>
    <row r="34" spans="2:8" x14ac:dyDescent="0.25">
      <c r="B34" s="78"/>
      <c r="C34" s="79"/>
      <c r="D34" s="78"/>
      <c r="E34" s="79"/>
      <c r="F34" s="12"/>
      <c r="G34" s="12"/>
      <c r="H34" s="14"/>
    </row>
    <row r="35" spans="2:8" x14ac:dyDescent="0.25">
      <c r="B35" s="78"/>
      <c r="C35" s="79"/>
      <c r="D35" s="78"/>
      <c r="E35" s="79"/>
      <c r="F35" s="12"/>
      <c r="G35" s="12"/>
      <c r="H35" s="14"/>
    </row>
    <row r="36" spans="2:8" x14ac:dyDescent="0.25">
      <c r="B36" s="78"/>
      <c r="C36" s="79"/>
      <c r="D36" s="78"/>
      <c r="E36" s="79"/>
      <c r="F36" s="12"/>
      <c r="G36" s="12"/>
      <c r="H36" s="14"/>
    </row>
  </sheetData>
  <mergeCells count="20">
    <mergeCell ref="B35:B36"/>
    <mergeCell ref="C35:C36"/>
    <mergeCell ref="D35:D36"/>
    <mergeCell ref="E35:E36"/>
    <mergeCell ref="B30:B31"/>
    <mergeCell ref="C30:C31"/>
    <mergeCell ref="D30:D31"/>
    <mergeCell ref="E30:E31"/>
    <mergeCell ref="B33:B34"/>
    <mergeCell ref="C33:C34"/>
    <mergeCell ref="D33:D34"/>
    <mergeCell ref="E33:E34"/>
    <mergeCell ref="A1:B1"/>
    <mergeCell ref="A2:B2"/>
    <mergeCell ref="A3:B3"/>
    <mergeCell ref="M3:V11"/>
    <mergeCell ref="B28:B29"/>
    <mergeCell ref="C28:C29"/>
    <mergeCell ref="D28:D29"/>
    <mergeCell ref="E28:E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zoomScale="80" zoomScaleNormal="80" workbookViewId="0">
      <selection activeCell="G27" sqref="G27"/>
    </sheetView>
  </sheetViews>
  <sheetFormatPr defaultRowHeight="15" x14ac:dyDescent="0.25"/>
  <cols>
    <col min="1" max="2" width="21.7109375" style="116" customWidth="1"/>
    <col min="3" max="3" width="11.42578125" style="116" customWidth="1"/>
    <col min="4" max="4" width="22.42578125" style="116" customWidth="1"/>
    <col min="5" max="5" width="15" style="116" customWidth="1"/>
    <col min="6" max="6" width="13.140625" style="116" customWidth="1"/>
    <col min="7" max="7" width="11.7109375" style="116" customWidth="1"/>
    <col min="8" max="9" width="8.85546875" style="116"/>
    <col min="10" max="10" width="15.5703125" style="116" bestFit="1" customWidth="1"/>
    <col min="11" max="11" width="11.42578125" style="116" customWidth="1"/>
    <col min="12" max="12" width="11.7109375" style="116" customWidth="1"/>
    <col min="13" max="13" width="10.5703125" style="116" customWidth="1"/>
    <col min="14" max="26" width="6.5703125" style="116" customWidth="1"/>
    <col min="27" max="27" width="5.5703125" style="116" customWidth="1"/>
    <col min="28" max="30" width="12.7109375" style="116" customWidth="1"/>
    <col min="31" max="16384" width="9.140625" style="116"/>
  </cols>
  <sheetData>
    <row r="1" spans="1:30" ht="60" x14ac:dyDescent="0.25">
      <c r="A1" s="132" t="s">
        <v>138</v>
      </c>
      <c r="B1" s="132" t="s">
        <v>139</v>
      </c>
      <c r="C1" s="132" t="s">
        <v>27</v>
      </c>
      <c r="D1" s="132" t="s">
        <v>28</v>
      </c>
      <c r="E1" s="132" t="s">
        <v>29</v>
      </c>
      <c r="F1" s="132" t="s">
        <v>30</v>
      </c>
      <c r="G1" s="132" t="s">
        <v>31</v>
      </c>
      <c r="H1" s="132" t="s">
        <v>18</v>
      </c>
      <c r="I1" s="132" t="s">
        <v>137</v>
      </c>
      <c r="J1" s="132" t="s">
        <v>32</v>
      </c>
      <c r="K1" s="132" t="s">
        <v>33</v>
      </c>
      <c r="L1" s="132"/>
      <c r="M1" s="132" t="s">
        <v>34</v>
      </c>
      <c r="N1" s="132" t="s">
        <v>144</v>
      </c>
      <c r="O1" s="132" t="s">
        <v>145</v>
      </c>
      <c r="P1" s="132" t="s">
        <v>146</v>
      </c>
      <c r="Q1" s="132" t="s">
        <v>147</v>
      </c>
      <c r="R1" s="132" t="s">
        <v>148</v>
      </c>
      <c r="S1" s="132" t="s">
        <v>149</v>
      </c>
      <c r="T1" s="132" t="s">
        <v>150</v>
      </c>
      <c r="U1" s="132" t="s">
        <v>151</v>
      </c>
      <c r="V1" s="132" t="s">
        <v>152</v>
      </c>
      <c r="W1" s="132" t="s">
        <v>153</v>
      </c>
      <c r="X1" s="132" t="s">
        <v>154</v>
      </c>
      <c r="Y1" s="132" t="s">
        <v>155</v>
      </c>
      <c r="Z1" s="132" t="s">
        <v>156</v>
      </c>
      <c r="AA1" s="132"/>
      <c r="AB1" s="59" t="s">
        <v>157</v>
      </c>
      <c r="AC1" s="59" t="s">
        <v>158</v>
      </c>
      <c r="AD1" s="59" t="s">
        <v>159</v>
      </c>
    </row>
    <row r="2" spans="1:30" x14ac:dyDescent="0.25">
      <c r="A2" s="133" t="s">
        <v>162</v>
      </c>
      <c r="B2" s="116" t="s">
        <v>163</v>
      </c>
      <c r="C2" s="116" t="s">
        <v>161</v>
      </c>
      <c r="D2" s="116" t="s">
        <v>164</v>
      </c>
      <c r="F2" s="128">
        <v>27409</v>
      </c>
      <c r="G2" s="116" t="s">
        <v>172</v>
      </c>
      <c r="H2" s="116">
        <v>4</v>
      </c>
      <c r="J2" s="116" t="s">
        <v>165</v>
      </c>
      <c r="K2" s="116" t="s">
        <v>173</v>
      </c>
      <c r="M2" s="116">
        <v>40</v>
      </c>
      <c r="N2" s="116">
        <v>0</v>
      </c>
      <c r="O2" s="134">
        <v>0</v>
      </c>
      <c r="P2" s="116">
        <v>0</v>
      </c>
      <c r="Q2" s="116">
        <v>0</v>
      </c>
      <c r="R2" s="116">
        <v>0</v>
      </c>
      <c r="S2" s="116">
        <v>0</v>
      </c>
      <c r="T2" s="116">
        <v>0</v>
      </c>
      <c r="U2" s="116">
        <v>0</v>
      </c>
      <c r="V2" s="134">
        <v>0</v>
      </c>
      <c r="W2" s="116">
        <v>0</v>
      </c>
      <c r="X2" s="116">
        <v>0</v>
      </c>
      <c r="Y2" s="116">
        <v>0</v>
      </c>
      <c r="Z2" s="116">
        <v>0</v>
      </c>
      <c r="AA2" s="116">
        <f t="shared" ref="AA2:AA65" si="0">SUM(N2:Z2)</f>
        <v>0</v>
      </c>
      <c r="AB2" s="135">
        <v>1946</v>
      </c>
      <c r="AC2" s="135"/>
      <c r="AD2" s="135"/>
    </row>
    <row r="3" spans="1:30" x14ac:dyDescent="0.25">
      <c r="A3" s="133" t="s">
        <v>166</v>
      </c>
      <c r="B3" s="116" t="s">
        <v>167</v>
      </c>
      <c r="C3" s="116" t="s">
        <v>161</v>
      </c>
      <c r="D3" s="116" t="s">
        <v>164</v>
      </c>
      <c r="F3" s="128">
        <v>25993</v>
      </c>
      <c r="G3" s="116" t="s">
        <v>172</v>
      </c>
      <c r="H3" s="116">
        <v>4</v>
      </c>
      <c r="J3" s="116" t="s">
        <v>165</v>
      </c>
      <c r="K3" s="116" t="s">
        <v>173</v>
      </c>
      <c r="M3" s="116">
        <v>40</v>
      </c>
      <c r="N3" s="116">
        <v>0</v>
      </c>
      <c r="O3" s="134">
        <v>0</v>
      </c>
      <c r="P3" s="116">
        <v>0</v>
      </c>
      <c r="Q3" s="116">
        <v>0</v>
      </c>
      <c r="R3" s="116">
        <v>0</v>
      </c>
      <c r="S3" s="116">
        <v>0</v>
      </c>
      <c r="T3" s="116">
        <v>0</v>
      </c>
      <c r="U3" s="116">
        <v>0</v>
      </c>
      <c r="V3" s="134">
        <v>0</v>
      </c>
      <c r="W3" s="116">
        <v>0</v>
      </c>
      <c r="X3" s="116">
        <v>0</v>
      </c>
      <c r="Y3" s="116">
        <v>0</v>
      </c>
      <c r="Z3" s="116">
        <v>0</v>
      </c>
      <c r="AA3" s="116">
        <f t="shared" si="0"/>
        <v>0</v>
      </c>
      <c r="AB3" s="135">
        <v>2046</v>
      </c>
      <c r="AC3" s="135"/>
      <c r="AD3" s="135"/>
    </row>
    <row r="4" spans="1:30" x14ac:dyDescent="0.25">
      <c r="A4" s="133" t="s">
        <v>168</v>
      </c>
      <c r="B4" s="116" t="s">
        <v>169</v>
      </c>
      <c r="C4" s="116" t="s">
        <v>161</v>
      </c>
      <c r="D4" s="116" t="s">
        <v>170</v>
      </c>
      <c r="F4" s="128">
        <v>32041</v>
      </c>
      <c r="G4" s="116" t="s">
        <v>171</v>
      </c>
      <c r="H4" s="116">
        <v>2</v>
      </c>
      <c r="J4" s="116" t="s">
        <v>165</v>
      </c>
      <c r="K4" s="116" t="s">
        <v>173</v>
      </c>
      <c r="M4" s="116">
        <v>40</v>
      </c>
      <c r="N4" s="116">
        <v>0</v>
      </c>
      <c r="O4" s="134">
        <v>0</v>
      </c>
      <c r="P4" s="116">
        <v>0</v>
      </c>
      <c r="Q4" s="116">
        <v>0</v>
      </c>
      <c r="R4" s="116">
        <v>0</v>
      </c>
      <c r="S4" s="116">
        <v>0</v>
      </c>
      <c r="T4" s="116">
        <v>0</v>
      </c>
      <c r="U4" s="116">
        <v>0</v>
      </c>
      <c r="V4" s="134">
        <v>0</v>
      </c>
      <c r="W4" s="116">
        <v>0</v>
      </c>
      <c r="X4" s="116">
        <v>0</v>
      </c>
      <c r="Y4" s="116">
        <v>0</v>
      </c>
      <c r="Z4" s="116">
        <v>0</v>
      </c>
      <c r="AA4" s="116">
        <f t="shared" si="0"/>
        <v>0</v>
      </c>
      <c r="AB4" s="135">
        <v>2218</v>
      </c>
      <c r="AC4" s="135"/>
      <c r="AD4" s="135"/>
    </row>
    <row r="5" spans="1:30" x14ac:dyDescent="0.25">
      <c r="A5" s="133" t="s">
        <v>174</v>
      </c>
      <c r="B5" s="116" t="s">
        <v>175</v>
      </c>
      <c r="C5" s="116" t="s">
        <v>161</v>
      </c>
      <c r="D5" s="116" t="s">
        <v>176</v>
      </c>
      <c r="F5" s="128">
        <v>28382</v>
      </c>
      <c r="G5" s="116" t="s">
        <v>171</v>
      </c>
      <c r="H5" s="116">
        <v>4</v>
      </c>
      <c r="J5" s="116" t="s">
        <v>165</v>
      </c>
      <c r="K5" s="116" t="s">
        <v>173</v>
      </c>
      <c r="M5" s="116">
        <v>40</v>
      </c>
      <c r="N5" s="116">
        <v>0</v>
      </c>
      <c r="O5" s="134">
        <v>0</v>
      </c>
      <c r="P5" s="116">
        <v>0</v>
      </c>
      <c r="Q5" s="116">
        <v>0</v>
      </c>
      <c r="R5" s="116">
        <v>0</v>
      </c>
      <c r="S5" s="116">
        <v>0</v>
      </c>
      <c r="T5" s="116">
        <v>0</v>
      </c>
      <c r="U5" s="116">
        <v>0</v>
      </c>
      <c r="V5" s="134">
        <v>0</v>
      </c>
      <c r="W5" s="116">
        <v>0</v>
      </c>
      <c r="X5" s="116">
        <v>0</v>
      </c>
      <c r="Y5" s="116">
        <v>0</v>
      </c>
      <c r="Z5" s="116">
        <v>0</v>
      </c>
      <c r="AA5" s="116">
        <f t="shared" si="0"/>
        <v>0</v>
      </c>
      <c r="AB5" s="135">
        <v>1570</v>
      </c>
      <c r="AC5" s="135"/>
      <c r="AD5" s="135"/>
    </row>
    <row r="6" spans="1:30" x14ac:dyDescent="0.25">
      <c r="A6" s="133" t="s">
        <v>177</v>
      </c>
      <c r="B6" s="116" t="s">
        <v>163</v>
      </c>
      <c r="C6" s="116" t="s">
        <v>161</v>
      </c>
      <c r="D6" s="116" t="s">
        <v>164</v>
      </c>
      <c r="F6" s="128">
        <v>27317</v>
      </c>
      <c r="G6" s="116" t="s">
        <v>172</v>
      </c>
      <c r="H6" s="116">
        <v>4</v>
      </c>
      <c r="J6" s="116" t="s">
        <v>165</v>
      </c>
      <c r="K6" s="116" t="s">
        <v>173</v>
      </c>
      <c r="M6" s="116">
        <v>40</v>
      </c>
      <c r="N6" s="116">
        <v>0</v>
      </c>
      <c r="O6" s="134">
        <v>0</v>
      </c>
      <c r="P6" s="116">
        <v>0</v>
      </c>
      <c r="Q6" s="116">
        <v>0</v>
      </c>
      <c r="R6" s="116">
        <v>0</v>
      </c>
      <c r="S6" s="116">
        <v>0</v>
      </c>
      <c r="T6" s="116">
        <v>0</v>
      </c>
      <c r="U6" s="116">
        <v>0</v>
      </c>
      <c r="V6" s="134">
        <v>0</v>
      </c>
      <c r="W6" s="116">
        <v>0</v>
      </c>
      <c r="X6" s="116">
        <v>0</v>
      </c>
      <c r="Y6" s="116">
        <v>0</v>
      </c>
      <c r="Z6" s="116">
        <v>0</v>
      </c>
      <c r="AA6" s="116">
        <f t="shared" si="0"/>
        <v>0</v>
      </c>
      <c r="AB6" s="135">
        <v>1945</v>
      </c>
      <c r="AC6" s="135"/>
      <c r="AD6" s="135"/>
    </row>
    <row r="7" spans="1:30" x14ac:dyDescent="0.25">
      <c r="A7" s="133" t="s">
        <v>178</v>
      </c>
      <c r="B7" s="116" t="s">
        <v>179</v>
      </c>
      <c r="C7" s="116" t="s">
        <v>161</v>
      </c>
      <c r="D7" s="116" t="s">
        <v>180</v>
      </c>
      <c r="F7" s="128">
        <v>23864</v>
      </c>
      <c r="G7" s="116" t="s">
        <v>172</v>
      </c>
      <c r="H7" s="116">
        <v>4</v>
      </c>
      <c r="J7" s="116" t="s">
        <v>165</v>
      </c>
      <c r="K7" s="116" t="s">
        <v>173</v>
      </c>
      <c r="M7" s="116">
        <v>40</v>
      </c>
      <c r="N7" s="116">
        <v>0</v>
      </c>
      <c r="O7" s="134">
        <v>0</v>
      </c>
      <c r="P7" s="116">
        <v>0</v>
      </c>
      <c r="Q7" s="116">
        <v>0</v>
      </c>
      <c r="R7" s="116">
        <v>0</v>
      </c>
      <c r="S7" s="116">
        <v>0</v>
      </c>
      <c r="T7" s="116">
        <v>0</v>
      </c>
      <c r="U7" s="116">
        <v>0</v>
      </c>
      <c r="V7" s="134">
        <v>0</v>
      </c>
      <c r="W7" s="116">
        <v>0</v>
      </c>
      <c r="X7" s="116">
        <v>0</v>
      </c>
      <c r="Y7" s="116">
        <v>0</v>
      </c>
      <c r="Z7" s="116">
        <v>0</v>
      </c>
      <c r="AA7" s="116">
        <f t="shared" si="0"/>
        <v>0</v>
      </c>
      <c r="AB7" s="135">
        <v>1894</v>
      </c>
      <c r="AC7" s="135"/>
      <c r="AD7" s="135"/>
    </row>
    <row r="8" spans="1:30" x14ac:dyDescent="0.25">
      <c r="A8" s="133"/>
      <c r="B8" s="136"/>
      <c r="C8" s="136"/>
      <c r="F8" s="129"/>
      <c r="O8" s="134"/>
      <c r="V8" s="134"/>
      <c r="AA8" s="116">
        <f t="shared" si="0"/>
        <v>0</v>
      </c>
      <c r="AB8" s="135"/>
      <c r="AC8" s="135"/>
      <c r="AD8" s="135"/>
    </row>
    <row r="9" spans="1:30" x14ac:dyDescent="0.25">
      <c r="A9" s="133" t="s">
        <v>181</v>
      </c>
      <c r="B9" s="116" t="s">
        <v>182</v>
      </c>
      <c r="C9" s="116" t="s">
        <v>161</v>
      </c>
      <c r="D9" s="116" t="s">
        <v>183</v>
      </c>
      <c r="F9" s="128">
        <v>31530</v>
      </c>
      <c r="G9" s="116" t="s">
        <v>172</v>
      </c>
      <c r="H9" s="116">
        <v>6</v>
      </c>
      <c r="J9" s="116" t="s">
        <v>165</v>
      </c>
      <c r="K9" s="116" t="s">
        <v>173</v>
      </c>
      <c r="M9" s="116">
        <v>40</v>
      </c>
      <c r="N9" s="116">
        <v>0</v>
      </c>
      <c r="O9" s="134">
        <v>0</v>
      </c>
      <c r="P9" s="116">
        <v>0</v>
      </c>
      <c r="Q9" s="116">
        <v>0</v>
      </c>
      <c r="R9" s="116">
        <v>0</v>
      </c>
      <c r="S9" s="116">
        <v>0</v>
      </c>
      <c r="T9" s="116">
        <v>0</v>
      </c>
      <c r="U9" s="116">
        <v>0</v>
      </c>
      <c r="V9" s="134">
        <v>0</v>
      </c>
      <c r="W9" s="116">
        <v>0</v>
      </c>
      <c r="X9" s="116">
        <v>0</v>
      </c>
      <c r="Y9" s="116">
        <v>0</v>
      </c>
      <c r="Z9" s="116">
        <v>0</v>
      </c>
      <c r="AA9" s="116">
        <f t="shared" si="0"/>
        <v>0</v>
      </c>
      <c r="AB9" s="135">
        <v>1631</v>
      </c>
      <c r="AC9" s="135"/>
      <c r="AD9" s="135"/>
    </row>
    <row r="10" spans="1:30" x14ac:dyDescent="0.25">
      <c r="A10" s="133" t="s">
        <v>184</v>
      </c>
      <c r="B10" s="116" t="s">
        <v>185</v>
      </c>
      <c r="C10" s="116" t="s">
        <v>161</v>
      </c>
      <c r="D10" s="116" t="s">
        <v>186</v>
      </c>
      <c r="F10" s="128">
        <v>30597</v>
      </c>
      <c r="G10" s="116" t="s">
        <v>171</v>
      </c>
      <c r="H10" s="116">
        <v>5</v>
      </c>
      <c r="J10" s="116" t="s">
        <v>165</v>
      </c>
      <c r="K10" s="116" t="s">
        <v>173</v>
      </c>
      <c r="M10" s="116">
        <v>40</v>
      </c>
      <c r="N10" s="116">
        <v>0</v>
      </c>
      <c r="O10" s="134">
        <v>0</v>
      </c>
      <c r="P10" s="116">
        <v>0</v>
      </c>
      <c r="Q10" s="116">
        <v>0</v>
      </c>
      <c r="R10" s="116">
        <v>0</v>
      </c>
      <c r="S10" s="116">
        <v>0</v>
      </c>
      <c r="T10" s="116">
        <v>0</v>
      </c>
      <c r="U10" s="116">
        <v>0</v>
      </c>
      <c r="V10" s="134">
        <v>0</v>
      </c>
      <c r="W10" s="116">
        <v>0</v>
      </c>
      <c r="X10" s="116">
        <v>0</v>
      </c>
      <c r="Y10" s="116">
        <v>0</v>
      </c>
      <c r="Z10" s="116">
        <v>0</v>
      </c>
      <c r="AA10" s="116">
        <f t="shared" si="0"/>
        <v>0</v>
      </c>
      <c r="AB10" s="135">
        <v>1432</v>
      </c>
      <c r="AC10" s="135"/>
      <c r="AD10" s="135"/>
    </row>
    <row r="11" spans="1:30" x14ac:dyDescent="0.25">
      <c r="A11" s="133" t="s">
        <v>187</v>
      </c>
      <c r="B11" s="116" t="s">
        <v>188</v>
      </c>
      <c r="C11" s="116" t="s">
        <v>161</v>
      </c>
      <c r="D11" s="116" t="s">
        <v>164</v>
      </c>
      <c r="F11" s="128">
        <v>28529</v>
      </c>
      <c r="G11" s="116" t="s">
        <v>172</v>
      </c>
      <c r="H11" s="116">
        <v>4</v>
      </c>
      <c r="J11" s="116" t="s">
        <v>165</v>
      </c>
      <c r="K11" s="116" t="s">
        <v>173</v>
      </c>
      <c r="M11" s="116">
        <v>40</v>
      </c>
      <c r="N11" s="116">
        <v>0</v>
      </c>
      <c r="O11" s="134">
        <v>0</v>
      </c>
      <c r="P11" s="116">
        <v>0</v>
      </c>
      <c r="Q11" s="116">
        <v>0</v>
      </c>
      <c r="R11" s="116">
        <v>0</v>
      </c>
      <c r="S11" s="116">
        <v>0</v>
      </c>
      <c r="T11" s="116">
        <v>0</v>
      </c>
      <c r="U11" s="116">
        <v>0</v>
      </c>
      <c r="V11" s="134">
        <v>0</v>
      </c>
      <c r="W11" s="116">
        <v>0</v>
      </c>
      <c r="X11" s="116">
        <v>0</v>
      </c>
      <c r="Y11" s="116">
        <v>0</v>
      </c>
      <c r="Z11" s="116">
        <v>0</v>
      </c>
      <c r="AA11" s="116">
        <f t="shared" si="0"/>
        <v>0</v>
      </c>
      <c r="AB11" s="135">
        <v>1821</v>
      </c>
      <c r="AC11" s="135"/>
      <c r="AD11" s="135"/>
    </row>
    <row r="12" spans="1:30" x14ac:dyDescent="0.25">
      <c r="A12" s="133" t="s">
        <v>189</v>
      </c>
      <c r="B12" s="116" t="s">
        <v>190</v>
      </c>
      <c r="C12" s="116" t="s">
        <v>161</v>
      </c>
      <c r="D12" s="116" t="s">
        <v>191</v>
      </c>
      <c r="F12" s="128">
        <v>35696</v>
      </c>
      <c r="G12" s="116" t="s">
        <v>172</v>
      </c>
      <c r="H12" s="116">
        <v>5</v>
      </c>
      <c r="J12" s="116" t="s">
        <v>165</v>
      </c>
      <c r="K12" s="116" t="s">
        <v>173</v>
      </c>
      <c r="M12" s="116">
        <v>40</v>
      </c>
      <c r="N12" s="116">
        <v>0</v>
      </c>
      <c r="O12" s="134">
        <v>0</v>
      </c>
      <c r="P12" s="116">
        <v>0</v>
      </c>
      <c r="Q12" s="116">
        <v>0</v>
      </c>
      <c r="R12" s="116">
        <v>0</v>
      </c>
      <c r="S12" s="116">
        <v>0</v>
      </c>
      <c r="T12" s="116">
        <v>0</v>
      </c>
      <c r="U12" s="116">
        <v>0</v>
      </c>
      <c r="V12" s="134">
        <v>0</v>
      </c>
      <c r="W12" s="116">
        <v>0</v>
      </c>
      <c r="X12" s="116">
        <v>0</v>
      </c>
      <c r="Y12" s="116">
        <v>0</v>
      </c>
      <c r="Z12" s="116">
        <v>0</v>
      </c>
      <c r="AA12" s="116">
        <f t="shared" si="0"/>
        <v>0</v>
      </c>
      <c r="AB12" s="135">
        <v>1692</v>
      </c>
      <c r="AC12" s="135"/>
      <c r="AD12" s="135"/>
    </row>
    <row r="13" spans="1:30" x14ac:dyDescent="0.25">
      <c r="A13" s="133" t="s">
        <v>192</v>
      </c>
      <c r="B13" s="116" t="s">
        <v>193</v>
      </c>
      <c r="C13" s="116" t="s">
        <v>161</v>
      </c>
      <c r="D13" s="116" t="s">
        <v>194</v>
      </c>
      <c r="F13" s="128">
        <v>28519</v>
      </c>
      <c r="G13" s="116" t="s">
        <v>172</v>
      </c>
      <c r="H13" s="116">
        <v>6</v>
      </c>
      <c r="J13" s="116" t="s">
        <v>165</v>
      </c>
      <c r="K13" s="116" t="s">
        <v>173</v>
      </c>
      <c r="M13" s="116">
        <v>40</v>
      </c>
      <c r="N13" s="116">
        <v>0</v>
      </c>
      <c r="O13" s="134">
        <v>0</v>
      </c>
      <c r="P13" s="116">
        <v>0</v>
      </c>
      <c r="Q13" s="116">
        <v>0</v>
      </c>
      <c r="R13" s="116">
        <v>0</v>
      </c>
      <c r="S13" s="116">
        <v>0</v>
      </c>
      <c r="T13" s="116">
        <v>0</v>
      </c>
      <c r="U13" s="116">
        <v>0</v>
      </c>
      <c r="V13" s="134">
        <v>0</v>
      </c>
      <c r="W13" s="116">
        <v>0</v>
      </c>
      <c r="X13" s="116">
        <v>0</v>
      </c>
      <c r="Y13" s="116">
        <v>0</v>
      </c>
      <c r="Z13" s="116">
        <v>0</v>
      </c>
      <c r="AA13" s="116">
        <f t="shared" si="0"/>
        <v>0</v>
      </c>
      <c r="AB13" s="135">
        <v>1547</v>
      </c>
      <c r="AC13" s="135"/>
      <c r="AD13" s="135"/>
    </row>
    <row r="14" spans="1:30" x14ac:dyDescent="0.25">
      <c r="A14" s="133" t="s">
        <v>195</v>
      </c>
      <c r="B14" s="116" t="s">
        <v>188</v>
      </c>
      <c r="C14" s="116" t="s">
        <v>161</v>
      </c>
      <c r="D14" s="116" t="s">
        <v>196</v>
      </c>
      <c r="F14" s="128">
        <v>38355</v>
      </c>
      <c r="G14" s="116" t="s">
        <v>172</v>
      </c>
      <c r="H14" s="116">
        <v>6</v>
      </c>
      <c r="J14" s="116" t="s">
        <v>165</v>
      </c>
      <c r="K14" s="116" t="s">
        <v>173</v>
      </c>
      <c r="M14" s="116">
        <v>40</v>
      </c>
      <c r="N14" s="116">
        <v>0</v>
      </c>
      <c r="O14" s="134">
        <v>0</v>
      </c>
      <c r="P14" s="116">
        <v>0</v>
      </c>
      <c r="Q14" s="116">
        <v>0</v>
      </c>
      <c r="R14" s="116">
        <v>0</v>
      </c>
      <c r="S14" s="116">
        <v>0</v>
      </c>
      <c r="T14" s="116">
        <v>0</v>
      </c>
      <c r="U14" s="116">
        <v>0</v>
      </c>
      <c r="V14" s="134">
        <v>0</v>
      </c>
      <c r="W14" s="116">
        <v>0</v>
      </c>
      <c r="X14" s="116">
        <v>0</v>
      </c>
      <c r="Y14" s="116">
        <v>0</v>
      </c>
      <c r="Z14" s="116">
        <v>0</v>
      </c>
      <c r="AA14" s="116">
        <f t="shared" si="0"/>
        <v>0</v>
      </c>
      <c r="AB14" s="135">
        <v>1607</v>
      </c>
      <c r="AC14" s="135"/>
      <c r="AD14" s="135"/>
    </row>
    <row r="15" spans="1:30" x14ac:dyDescent="0.25">
      <c r="A15" s="133" t="s">
        <v>195</v>
      </c>
      <c r="B15" s="116" t="s">
        <v>197</v>
      </c>
      <c r="C15" s="116" t="s">
        <v>161</v>
      </c>
      <c r="D15" s="116" t="s">
        <v>198</v>
      </c>
      <c r="F15" s="117">
        <v>27284</v>
      </c>
      <c r="G15" s="116" t="s">
        <v>172</v>
      </c>
      <c r="H15" s="116">
        <v>3</v>
      </c>
      <c r="J15" s="116" t="s">
        <v>165</v>
      </c>
      <c r="K15" s="116" t="s">
        <v>173</v>
      </c>
      <c r="M15" s="116">
        <v>40</v>
      </c>
      <c r="N15" s="116">
        <v>0</v>
      </c>
      <c r="O15" s="134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34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f t="shared" si="0"/>
        <v>0</v>
      </c>
      <c r="AB15" s="135">
        <v>2430</v>
      </c>
      <c r="AC15" s="135"/>
      <c r="AD15" s="135"/>
    </row>
    <row r="16" spans="1:30" x14ac:dyDescent="0.25">
      <c r="A16" s="133" t="s">
        <v>195</v>
      </c>
      <c r="B16" s="116" t="s">
        <v>199</v>
      </c>
      <c r="C16" s="116" t="s">
        <v>161</v>
      </c>
      <c r="D16" s="116" t="s">
        <v>200</v>
      </c>
      <c r="F16" s="117">
        <v>22375</v>
      </c>
      <c r="G16" s="116" t="s">
        <v>172</v>
      </c>
      <c r="H16" s="116">
        <v>1</v>
      </c>
      <c r="J16" s="116" t="s">
        <v>165</v>
      </c>
      <c r="K16" s="116" t="s">
        <v>173</v>
      </c>
      <c r="M16" s="116">
        <v>40</v>
      </c>
      <c r="N16" s="116">
        <v>0</v>
      </c>
      <c r="O16" s="134">
        <v>0</v>
      </c>
      <c r="P16" s="116">
        <v>0</v>
      </c>
      <c r="Q16" s="116">
        <v>0</v>
      </c>
      <c r="R16" s="116">
        <v>0</v>
      </c>
      <c r="S16" s="116">
        <v>0</v>
      </c>
      <c r="T16" s="116">
        <v>0</v>
      </c>
      <c r="U16" s="116">
        <v>0</v>
      </c>
      <c r="V16" s="134">
        <v>0</v>
      </c>
      <c r="W16" s="116">
        <v>0</v>
      </c>
      <c r="X16" s="116">
        <v>0</v>
      </c>
      <c r="Y16" s="116">
        <v>0</v>
      </c>
      <c r="Z16" s="116">
        <v>0</v>
      </c>
      <c r="AA16" s="116">
        <f t="shared" si="0"/>
        <v>0</v>
      </c>
      <c r="AB16" s="135">
        <v>2314</v>
      </c>
      <c r="AC16" s="135"/>
      <c r="AD16" s="135"/>
    </row>
    <row r="17" spans="1:30" x14ac:dyDescent="0.25">
      <c r="A17" s="133" t="s">
        <v>201</v>
      </c>
      <c r="B17" s="116" t="s">
        <v>202</v>
      </c>
      <c r="C17" s="116" t="s">
        <v>161</v>
      </c>
      <c r="D17" s="116" t="s">
        <v>203</v>
      </c>
      <c r="F17" s="117">
        <v>27629</v>
      </c>
      <c r="G17" s="116" t="s">
        <v>171</v>
      </c>
      <c r="H17" s="116">
        <v>6</v>
      </c>
      <c r="J17" s="116" t="s">
        <v>165</v>
      </c>
      <c r="K17" s="116" t="s">
        <v>204</v>
      </c>
      <c r="M17" s="116">
        <v>15</v>
      </c>
      <c r="N17" s="116">
        <v>0</v>
      </c>
      <c r="O17" s="134">
        <v>0</v>
      </c>
      <c r="P17" s="116">
        <v>0</v>
      </c>
      <c r="Q17" s="116">
        <v>0</v>
      </c>
      <c r="R17" s="116">
        <v>0</v>
      </c>
      <c r="S17" s="116">
        <v>0</v>
      </c>
      <c r="T17" s="116">
        <v>0</v>
      </c>
      <c r="U17" s="116">
        <v>0</v>
      </c>
      <c r="V17" s="134">
        <v>0</v>
      </c>
      <c r="W17" s="116">
        <v>0</v>
      </c>
      <c r="X17" s="116">
        <v>0</v>
      </c>
      <c r="Y17" s="116">
        <v>0</v>
      </c>
      <c r="Z17" s="116">
        <v>0</v>
      </c>
      <c r="AA17" s="116">
        <f t="shared" si="0"/>
        <v>0</v>
      </c>
      <c r="AB17" s="135">
        <v>793</v>
      </c>
      <c r="AC17" s="135"/>
      <c r="AD17" s="135"/>
    </row>
    <row r="18" spans="1:30" x14ac:dyDescent="0.25">
      <c r="A18" s="133" t="s">
        <v>205</v>
      </c>
      <c r="B18" s="116" t="s">
        <v>206</v>
      </c>
      <c r="C18" s="116" t="s">
        <v>161</v>
      </c>
      <c r="D18" s="116" t="s">
        <v>194</v>
      </c>
      <c r="F18" s="117">
        <v>23998</v>
      </c>
      <c r="G18" s="116" t="s">
        <v>172</v>
      </c>
      <c r="H18" s="116">
        <v>6</v>
      </c>
      <c r="J18" s="116" t="s">
        <v>165</v>
      </c>
      <c r="K18" s="116" t="s">
        <v>173</v>
      </c>
      <c r="M18" s="116">
        <v>40</v>
      </c>
      <c r="N18" s="116">
        <v>0</v>
      </c>
      <c r="O18" s="134">
        <v>0</v>
      </c>
      <c r="P18" s="116">
        <v>0</v>
      </c>
      <c r="Q18" s="116">
        <v>0</v>
      </c>
      <c r="R18" s="116">
        <v>0</v>
      </c>
      <c r="S18" s="116">
        <v>0</v>
      </c>
      <c r="T18" s="116">
        <v>0</v>
      </c>
      <c r="U18" s="116">
        <v>0</v>
      </c>
      <c r="V18" s="134">
        <v>0</v>
      </c>
      <c r="W18" s="116">
        <v>0</v>
      </c>
      <c r="X18" s="116">
        <v>0</v>
      </c>
      <c r="Y18" s="116">
        <v>0</v>
      </c>
      <c r="Z18" s="116">
        <v>0</v>
      </c>
      <c r="AA18" s="116">
        <f>SUM(N18:Z18)</f>
        <v>0</v>
      </c>
      <c r="AB18" s="135">
        <v>1865</v>
      </c>
      <c r="AC18" s="135"/>
      <c r="AD18" s="135"/>
    </row>
    <row r="19" spans="1:30" x14ac:dyDescent="0.25">
      <c r="A19" s="133" t="s">
        <v>177</v>
      </c>
      <c r="B19" s="116" t="s">
        <v>207</v>
      </c>
      <c r="C19" s="116" t="s">
        <v>161</v>
      </c>
      <c r="D19" s="116" t="s">
        <v>194</v>
      </c>
      <c r="F19" s="117">
        <v>35264</v>
      </c>
      <c r="G19" s="116" t="s">
        <v>172</v>
      </c>
      <c r="H19" s="116">
        <v>6</v>
      </c>
      <c r="J19" s="116" t="s">
        <v>165</v>
      </c>
      <c r="K19" s="116" t="s">
        <v>173</v>
      </c>
      <c r="M19" s="116">
        <v>40</v>
      </c>
      <c r="N19" s="116">
        <v>0</v>
      </c>
      <c r="O19" s="134">
        <v>0</v>
      </c>
      <c r="P19" s="116">
        <v>0</v>
      </c>
      <c r="Q19" s="116">
        <v>0</v>
      </c>
      <c r="R19" s="116">
        <v>0</v>
      </c>
      <c r="S19" s="116">
        <v>0</v>
      </c>
      <c r="T19" s="116">
        <v>0</v>
      </c>
      <c r="U19" s="116">
        <v>0</v>
      </c>
      <c r="V19" s="134">
        <v>0</v>
      </c>
      <c r="W19" s="116">
        <v>0</v>
      </c>
      <c r="X19" s="116">
        <v>0</v>
      </c>
      <c r="Y19" s="116">
        <v>0</v>
      </c>
      <c r="Z19" s="116">
        <v>0</v>
      </c>
      <c r="AA19" s="116">
        <f t="shared" si="0"/>
        <v>0</v>
      </c>
      <c r="AB19" s="135">
        <v>1630</v>
      </c>
      <c r="AC19" s="135"/>
      <c r="AD19" s="135"/>
    </row>
    <row r="20" spans="1:30" x14ac:dyDescent="0.25">
      <c r="A20" s="133" t="s">
        <v>208</v>
      </c>
      <c r="B20" s="116" t="s">
        <v>209</v>
      </c>
      <c r="C20" s="116" t="s">
        <v>161</v>
      </c>
      <c r="D20" s="116" t="s">
        <v>210</v>
      </c>
      <c r="F20" s="117">
        <v>33292</v>
      </c>
      <c r="G20" s="116" t="s">
        <v>171</v>
      </c>
      <c r="H20" s="116">
        <v>5</v>
      </c>
      <c r="J20" s="116" t="s">
        <v>165</v>
      </c>
      <c r="K20" s="116" t="s">
        <v>173</v>
      </c>
      <c r="M20" s="116">
        <v>40</v>
      </c>
      <c r="N20" s="116">
        <v>0</v>
      </c>
      <c r="O20" s="134">
        <v>0</v>
      </c>
      <c r="P20" s="116">
        <v>0</v>
      </c>
      <c r="Q20" s="116">
        <v>0</v>
      </c>
      <c r="R20" s="116">
        <v>0</v>
      </c>
      <c r="S20" s="116">
        <v>0</v>
      </c>
      <c r="T20" s="116">
        <v>0</v>
      </c>
      <c r="U20" s="116">
        <v>0</v>
      </c>
      <c r="V20" s="134">
        <v>0</v>
      </c>
      <c r="W20" s="116">
        <v>0</v>
      </c>
      <c r="X20" s="116">
        <v>0</v>
      </c>
      <c r="Y20" s="116">
        <v>0</v>
      </c>
      <c r="Z20" s="116">
        <v>0</v>
      </c>
      <c r="AA20" s="116">
        <f>SUM(N20:Z20)</f>
        <v>0</v>
      </c>
      <c r="AB20" s="135">
        <v>1810</v>
      </c>
      <c r="AC20" s="135"/>
      <c r="AD20" s="135"/>
    </row>
    <row r="21" spans="1:30" x14ac:dyDescent="0.25">
      <c r="A21" s="133" t="s">
        <v>211</v>
      </c>
      <c r="B21" s="116" t="s">
        <v>212</v>
      </c>
      <c r="C21" s="116" t="s">
        <v>161</v>
      </c>
      <c r="D21" s="116" t="s">
        <v>213</v>
      </c>
      <c r="F21" s="117">
        <v>33281</v>
      </c>
      <c r="G21" s="116" t="s">
        <v>172</v>
      </c>
      <c r="H21" s="116">
        <v>6</v>
      </c>
      <c r="J21" s="116" t="s">
        <v>165</v>
      </c>
      <c r="K21" s="116" t="s">
        <v>173</v>
      </c>
      <c r="M21" s="116">
        <v>40</v>
      </c>
      <c r="N21" s="116">
        <v>0</v>
      </c>
      <c r="O21" s="134">
        <v>0</v>
      </c>
      <c r="P21" s="116">
        <v>0</v>
      </c>
      <c r="Q21" s="116">
        <v>0</v>
      </c>
      <c r="R21" s="116">
        <v>0</v>
      </c>
      <c r="S21" s="116">
        <v>0</v>
      </c>
      <c r="T21" s="116">
        <v>0</v>
      </c>
      <c r="U21" s="116">
        <v>0</v>
      </c>
      <c r="V21" s="134">
        <v>0</v>
      </c>
      <c r="W21" s="116">
        <v>0</v>
      </c>
      <c r="X21" s="116">
        <v>0</v>
      </c>
      <c r="Y21" s="116">
        <v>0</v>
      </c>
      <c r="Z21" s="116">
        <v>0</v>
      </c>
      <c r="AA21" s="116">
        <f t="shared" si="0"/>
        <v>0</v>
      </c>
      <c r="AB21" s="135">
        <v>1645</v>
      </c>
      <c r="AC21" s="135"/>
      <c r="AD21" s="135"/>
    </row>
    <row r="22" spans="1:30" x14ac:dyDescent="0.25">
      <c r="A22" s="133" t="s">
        <v>214</v>
      </c>
      <c r="B22" s="116" t="s">
        <v>163</v>
      </c>
      <c r="C22" s="116" t="s">
        <v>161</v>
      </c>
      <c r="D22" s="116" t="s">
        <v>215</v>
      </c>
      <c r="F22" s="117">
        <v>36419</v>
      </c>
      <c r="G22" s="116" t="s">
        <v>172</v>
      </c>
      <c r="H22" s="116">
        <v>6</v>
      </c>
      <c r="J22" s="116" t="s">
        <v>248</v>
      </c>
      <c r="K22" s="116" t="s">
        <v>173</v>
      </c>
      <c r="M22" s="116">
        <v>40</v>
      </c>
      <c r="N22" s="116">
        <v>0</v>
      </c>
      <c r="O22" s="134">
        <v>0</v>
      </c>
      <c r="P22" s="116">
        <v>0</v>
      </c>
      <c r="Q22" s="116">
        <v>0</v>
      </c>
      <c r="R22" s="116">
        <v>0</v>
      </c>
      <c r="S22" s="116">
        <v>0</v>
      </c>
      <c r="T22" s="116">
        <v>0</v>
      </c>
      <c r="U22" s="116">
        <v>0</v>
      </c>
      <c r="V22" s="134">
        <v>0</v>
      </c>
      <c r="W22" s="116">
        <v>0</v>
      </c>
      <c r="X22" s="116">
        <v>0</v>
      </c>
      <c r="Y22" s="116">
        <v>0</v>
      </c>
      <c r="Z22" s="116">
        <v>0</v>
      </c>
      <c r="AA22" s="116">
        <f t="shared" si="0"/>
        <v>0</v>
      </c>
      <c r="AB22" s="135">
        <v>1746</v>
      </c>
      <c r="AC22" s="135"/>
      <c r="AD22" s="135"/>
    </row>
    <row r="23" spans="1:30" x14ac:dyDescent="0.25">
      <c r="A23" s="133" t="s">
        <v>216</v>
      </c>
      <c r="B23" s="116" t="s">
        <v>217</v>
      </c>
      <c r="C23" s="116" t="s">
        <v>161</v>
      </c>
      <c r="D23" s="116" t="s">
        <v>215</v>
      </c>
      <c r="F23" s="117">
        <v>32943</v>
      </c>
      <c r="G23" s="116" t="s">
        <v>171</v>
      </c>
      <c r="H23" s="116">
        <v>6</v>
      </c>
      <c r="J23" s="116" t="s">
        <v>165</v>
      </c>
      <c r="K23" s="116" t="s">
        <v>173</v>
      </c>
      <c r="M23" s="116">
        <v>40</v>
      </c>
      <c r="N23" s="116">
        <v>0</v>
      </c>
      <c r="O23" s="134">
        <v>0</v>
      </c>
      <c r="P23" s="116">
        <v>0</v>
      </c>
      <c r="Q23" s="116">
        <v>0</v>
      </c>
      <c r="R23" s="116">
        <v>0</v>
      </c>
      <c r="S23" s="116">
        <v>0</v>
      </c>
      <c r="T23" s="116">
        <v>0</v>
      </c>
      <c r="U23" s="116">
        <v>0</v>
      </c>
      <c r="V23" s="134">
        <v>0</v>
      </c>
      <c r="W23" s="116">
        <v>0</v>
      </c>
      <c r="X23" s="116">
        <v>0</v>
      </c>
      <c r="Y23" s="116">
        <v>0</v>
      </c>
      <c r="Z23" s="116">
        <v>0</v>
      </c>
      <c r="AA23" s="116">
        <f t="shared" si="0"/>
        <v>0</v>
      </c>
      <c r="AB23" s="135">
        <v>1623</v>
      </c>
      <c r="AC23" s="135"/>
      <c r="AD23" s="135"/>
    </row>
    <row r="24" spans="1:30" x14ac:dyDescent="0.25">
      <c r="A24" s="133" t="s">
        <v>218</v>
      </c>
      <c r="B24" s="116" t="s">
        <v>219</v>
      </c>
      <c r="C24" s="116" t="s">
        <v>161</v>
      </c>
      <c r="D24" s="116" t="s">
        <v>220</v>
      </c>
      <c r="F24" s="128">
        <v>31251</v>
      </c>
      <c r="G24" s="116" t="s">
        <v>172</v>
      </c>
      <c r="H24" s="116">
        <v>5</v>
      </c>
      <c r="J24" s="116" t="s">
        <v>165</v>
      </c>
      <c r="K24" s="116" t="s">
        <v>173</v>
      </c>
      <c r="M24" s="116">
        <v>40</v>
      </c>
      <c r="N24" s="116">
        <v>0</v>
      </c>
      <c r="O24" s="134">
        <v>0</v>
      </c>
      <c r="P24" s="116">
        <v>0</v>
      </c>
      <c r="Q24" s="116">
        <v>0</v>
      </c>
      <c r="R24" s="116">
        <v>0</v>
      </c>
      <c r="S24" s="116">
        <v>0</v>
      </c>
      <c r="T24" s="116">
        <v>0</v>
      </c>
      <c r="U24" s="116">
        <v>0</v>
      </c>
      <c r="V24" s="134">
        <v>0</v>
      </c>
      <c r="W24" s="116">
        <v>0</v>
      </c>
      <c r="X24" s="116">
        <v>0</v>
      </c>
      <c r="Y24" s="116">
        <v>0</v>
      </c>
      <c r="Z24" s="116">
        <v>0</v>
      </c>
      <c r="AA24" s="116">
        <f t="shared" si="0"/>
        <v>0</v>
      </c>
      <c r="AB24" s="135">
        <v>1711</v>
      </c>
      <c r="AC24" s="135"/>
      <c r="AD24" s="135"/>
    </row>
    <row r="25" spans="1:30" x14ac:dyDescent="0.25">
      <c r="A25" s="133"/>
      <c r="B25" s="136"/>
      <c r="C25" s="136"/>
      <c r="AA25" s="116">
        <f t="shared" si="0"/>
        <v>0</v>
      </c>
      <c r="AB25" s="135"/>
      <c r="AC25" s="135"/>
      <c r="AD25" s="135"/>
    </row>
    <row r="26" spans="1:30" x14ac:dyDescent="0.25">
      <c r="A26" s="133"/>
      <c r="B26" s="136"/>
      <c r="C26" s="136"/>
      <c r="AA26" s="116">
        <f t="shared" si="0"/>
        <v>0</v>
      </c>
      <c r="AB26" s="135"/>
      <c r="AC26" s="135"/>
      <c r="AD26" s="135"/>
    </row>
    <row r="27" spans="1:30" x14ac:dyDescent="0.25">
      <c r="A27" s="133"/>
      <c r="B27" s="136"/>
      <c r="C27" s="136"/>
      <c r="AA27" s="116">
        <f t="shared" si="0"/>
        <v>0</v>
      </c>
      <c r="AB27" s="135"/>
      <c r="AC27" s="135"/>
      <c r="AD27" s="135"/>
    </row>
    <row r="28" spans="1:30" x14ac:dyDescent="0.25">
      <c r="A28" s="133"/>
      <c r="B28" s="136"/>
      <c r="C28" s="136"/>
      <c r="AA28" s="116">
        <f t="shared" si="0"/>
        <v>0</v>
      </c>
      <c r="AB28" s="135"/>
      <c r="AC28" s="135"/>
      <c r="AD28" s="135"/>
    </row>
    <row r="29" spans="1:30" x14ac:dyDescent="0.25">
      <c r="A29" s="133"/>
      <c r="B29" s="136"/>
      <c r="C29" s="136"/>
      <c r="AA29" s="116">
        <f t="shared" si="0"/>
        <v>0</v>
      </c>
      <c r="AB29" s="135"/>
      <c r="AC29" s="135"/>
      <c r="AD29" s="135"/>
    </row>
    <row r="30" spans="1:30" x14ac:dyDescent="0.25">
      <c r="A30" s="133"/>
      <c r="B30" s="136"/>
      <c r="C30" s="136"/>
      <c r="AA30" s="116">
        <f t="shared" si="0"/>
        <v>0</v>
      </c>
      <c r="AB30" s="135"/>
      <c r="AC30" s="135"/>
      <c r="AD30" s="135"/>
    </row>
    <row r="31" spans="1:30" x14ac:dyDescent="0.25">
      <c r="A31" s="133"/>
      <c r="B31" s="136"/>
      <c r="C31" s="136"/>
      <c r="AA31" s="116">
        <f t="shared" si="0"/>
        <v>0</v>
      </c>
      <c r="AB31" s="135"/>
      <c r="AC31" s="135"/>
      <c r="AD31" s="135"/>
    </row>
    <row r="32" spans="1:30" x14ac:dyDescent="0.25">
      <c r="A32" s="133"/>
      <c r="B32" s="136"/>
      <c r="C32" s="136"/>
      <c r="AA32" s="116">
        <f t="shared" si="0"/>
        <v>0</v>
      </c>
      <c r="AB32" s="135"/>
      <c r="AC32" s="135"/>
      <c r="AD32" s="135"/>
    </row>
    <row r="33" spans="1:30" x14ac:dyDescent="0.25">
      <c r="A33" s="133"/>
      <c r="B33" s="136"/>
      <c r="C33" s="136"/>
      <c r="AA33" s="116">
        <f t="shared" si="0"/>
        <v>0</v>
      </c>
      <c r="AB33" s="135"/>
      <c r="AC33" s="135"/>
      <c r="AD33" s="135"/>
    </row>
    <row r="34" spans="1:30" x14ac:dyDescent="0.25">
      <c r="A34" s="133"/>
      <c r="B34" s="136"/>
      <c r="C34" s="136"/>
      <c r="AA34" s="116">
        <f t="shared" si="0"/>
        <v>0</v>
      </c>
      <c r="AB34" s="135"/>
      <c r="AC34" s="135"/>
      <c r="AD34" s="135"/>
    </row>
    <row r="35" spans="1:30" x14ac:dyDescent="0.25">
      <c r="A35" s="133"/>
      <c r="B35" s="136"/>
      <c r="C35" s="136"/>
      <c r="AA35" s="116">
        <f t="shared" si="0"/>
        <v>0</v>
      </c>
      <c r="AB35" s="135"/>
      <c r="AC35" s="135"/>
      <c r="AD35" s="135"/>
    </row>
    <row r="36" spans="1:30" x14ac:dyDescent="0.25">
      <c r="A36" s="133"/>
      <c r="B36" s="136"/>
      <c r="C36" s="136"/>
      <c r="AA36" s="116">
        <f t="shared" si="0"/>
        <v>0</v>
      </c>
      <c r="AB36" s="135"/>
      <c r="AC36" s="135"/>
      <c r="AD36" s="135"/>
    </row>
    <row r="37" spans="1:30" x14ac:dyDescent="0.25">
      <c r="A37" s="133"/>
      <c r="B37" s="136"/>
      <c r="C37" s="136"/>
      <c r="AA37" s="116">
        <f t="shared" si="0"/>
        <v>0</v>
      </c>
      <c r="AB37" s="135"/>
      <c r="AC37" s="135"/>
      <c r="AD37" s="135"/>
    </row>
    <row r="38" spans="1:30" x14ac:dyDescent="0.25">
      <c r="A38" s="133"/>
      <c r="B38" s="136"/>
      <c r="C38" s="136"/>
      <c r="AA38" s="116">
        <f t="shared" si="0"/>
        <v>0</v>
      </c>
      <c r="AB38" s="135"/>
      <c r="AC38" s="135"/>
      <c r="AD38" s="135"/>
    </row>
    <row r="39" spans="1:30" x14ac:dyDescent="0.25">
      <c r="A39" s="133"/>
      <c r="B39" s="136"/>
      <c r="C39" s="136"/>
      <c r="AA39" s="116">
        <f t="shared" si="0"/>
        <v>0</v>
      </c>
      <c r="AB39" s="135"/>
      <c r="AC39" s="135"/>
      <c r="AD39" s="135"/>
    </row>
    <row r="40" spans="1:30" x14ac:dyDescent="0.25">
      <c r="A40" s="133"/>
      <c r="B40" s="136"/>
      <c r="C40" s="136"/>
      <c r="AA40" s="116">
        <f t="shared" si="0"/>
        <v>0</v>
      </c>
      <c r="AB40" s="135"/>
      <c r="AC40" s="135"/>
      <c r="AD40" s="135"/>
    </row>
    <row r="41" spans="1:30" x14ac:dyDescent="0.25">
      <c r="A41" s="133"/>
      <c r="B41" s="136"/>
      <c r="C41" s="136"/>
      <c r="AA41" s="116">
        <f t="shared" si="0"/>
        <v>0</v>
      </c>
      <c r="AB41" s="135"/>
      <c r="AC41" s="135"/>
      <c r="AD41" s="135"/>
    </row>
    <row r="42" spans="1:30" x14ac:dyDescent="0.25">
      <c r="AA42" s="116">
        <f t="shared" si="0"/>
        <v>0</v>
      </c>
      <c r="AB42" s="135"/>
      <c r="AC42" s="135"/>
      <c r="AD42" s="135"/>
    </row>
    <row r="43" spans="1:30" x14ac:dyDescent="0.25">
      <c r="AA43" s="116">
        <f t="shared" si="0"/>
        <v>0</v>
      </c>
      <c r="AB43" s="135"/>
      <c r="AC43" s="135"/>
      <c r="AD43" s="135"/>
    </row>
    <row r="44" spans="1:30" x14ac:dyDescent="0.25">
      <c r="AA44" s="116">
        <f t="shared" si="0"/>
        <v>0</v>
      </c>
      <c r="AB44" s="135"/>
      <c r="AC44" s="135"/>
      <c r="AD44" s="135"/>
    </row>
    <row r="45" spans="1:30" x14ac:dyDescent="0.25">
      <c r="AA45" s="116">
        <f t="shared" si="0"/>
        <v>0</v>
      </c>
      <c r="AB45" s="135"/>
      <c r="AC45" s="135"/>
      <c r="AD45" s="135"/>
    </row>
    <row r="46" spans="1:30" x14ac:dyDescent="0.25">
      <c r="AA46" s="116">
        <f t="shared" si="0"/>
        <v>0</v>
      </c>
      <c r="AB46" s="135"/>
      <c r="AC46" s="135"/>
      <c r="AD46" s="135"/>
    </row>
    <row r="47" spans="1:30" x14ac:dyDescent="0.25">
      <c r="AA47" s="116">
        <f t="shared" si="0"/>
        <v>0</v>
      </c>
      <c r="AB47" s="135"/>
      <c r="AC47" s="135"/>
      <c r="AD47" s="135"/>
    </row>
    <row r="48" spans="1:30" x14ac:dyDescent="0.25">
      <c r="AA48" s="116">
        <f t="shared" si="0"/>
        <v>0</v>
      </c>
      <c r="AB48" s="135"/>
      <c r="AC48" s="135"/>
      <c r="AD48" s="135"/>
    </row>
    <row r="49" spans="27:30" x14ac:dyDescent="0.25">
      <c r="AA49" s="116">
        <f t="shared" si="0"/>
        <v>0</v>
      </c>
      <c r="AB49" s="135"/>
      <c r="AC49" s="135"/>
      <c r="AD49" s="135"/>
    </row>
    <row r="50" spans="27:30" x14ac:dyDescent="0.25">
      <c r="AA50" s="116">
        <f t="shared" si="0"/>
        <v>0</v>
      </c>
      <c r="AB50" s="135"/>
      <c r="AC50" s="135"/>
      <c r="AD50" s="135"/>
    </row>
    <row r="51" spans="27:30" x14ac:dyDescent="0.25">
      <c r="AA51" s="116">
        <f t="shared" si="0"/>
        <v>0</v>
      </c>
      <c r="AB51" s="135"/>
      <c r="AC51" s="135"/>
      <c r="AD51" s="135"/>
    </row>
    <row r="52" spans="27:30" x14ac:dyDescent="0.25">
      <c r="AA52" s="116">
        <f t="shared" si="0"/>
        <v>0</v>
      </c>
      <c r="AB52" s="135"/>
      <c r="AC52" s="135"/>
      <c r="AD52" s="135"/>
    </row>
    <row r="53" spans="27:30" x14ac:dyDescent="0.25">
      <c r="AA53" s="116">
        <f t="shared" si="0"/>
        <v>0</v>
      </c>
      <c r="AB53" s="135"/>
      <c r="AC53" s="135"/>
      <c r="AD53" s="135"/>
    </row>
    <row r="54" spans="27:30" x14ac:dyDescent="0.25">
      <c r="AA54" s="116">
        <f t="shared" si="0"/>
        <v>0</v>
      </c>
      <c r="AB54" s="135"/>
      <c r="AC54" s="135"/>
      <c r="AD54" s="135"/>
    </row>
    <row r="55" spans="27:30" x14ac:dyDescent="0.25">
      <c r="AA55" s="116">
        <f t="shared" si="0"/>
        <v>0</v>
      </c>
      <c r="AB55" s="135"/>
      <c r="AC55" s="135"/>
      <c r="AD55" s="135"/>
    </row>
    <row r="56" spans="27:30" x14ac:dyDescent="0.25">
      <c r="AA56" s="116">
        <f t="shared" si="0"/>
        <v>0</v>
      </c>
      <c r="AB56" s="135"/>
      <c r="AC56" s="135"/>
      <c r="AD56" s="135"/>
    </row>
    <row r="57" spans="27:30" x14ac:dyDescent="0.25">
      <c r="AA57" s="116">
        <f t="shared" si="0"/>
        <v>0</v>
      </c>
      <c r="AB57" s="135"/>
      <c r="AC57" s="135"/>
      <c r="AD57" s="135"/>
    </row>
    <row r="58" spans="27:30" x14ac:dyDescent="0.25">
      <c r="AA58" s="116">
        <f t="shared" si="0"/>
        <v>0</v>
      </c>
      <c r="AB58" s="135"/>
      <c r="AC58" s="135"/>
      <c r="AD58" s="135"/>
    </row>
    <row r="59" spans="27:30" x14ac:dyDescent="0.25">
      <c r="AA59" s="116">
        <f t="shared" si="0"/>
        <v>0</v>
      </c>
      <c r="AB59" s="135"/>
      <c r="AC59" s="135"/>
      <c r="AD59" s="135"/>
    </row>
    <row r="60" spans="27:30" x14ac:dyDescent="0.25">
      <c r="AA60" s="116">
        <f t="shared" si="0"/>
        <v>0</v>
      </c>
      <c r="AB60" s="135"/>
      <c r="AC60" s="135"/>
      <c r="AD60" s="135"/>
    </row>
    <row r="61" spans="27:30" x14ac:dyDescent="0.25">
      <c r="AA61" s="116">
        <f t="shared" si="0"/>
        <v>0</v>
      </c>
      <c r="AB61" s="135"/>
      <c r="AC61" s="135"/>
      <c r="AD61" s="135"/>
    </row>
    <row r="62" spans="27:30" x14ac:dyDescent="0.25">
      <c r="AA62" s="116">
        <f t="shared" si="0"/>
        <v>0</v>
      </c>
      <c r="AB62" s="135"/>
      <c r="AC62" s="135"/>
      <c r="AD62" s="135"/>
    </row>
    <row r="63" spans="27:30" x14ac:dyDescent="0.25">
      <c r="AA63" s="116">
        <f t="shared" si="0"/>
        <v>0</v>
      </c>
      <c r="AB63" s="135"/>
      <c r="AC63" s="135"/>
      <c r="AD63" s="135"/>
    </row>
    <row r="64" spans="27:30" x14ac:dyDescent="0.25">
      <c r="AA64" s="116">
        <f t="shared" si="0"/>
        <v>0</v>
      </c>
      <c r="AB64" s="135"/>
      <c r="AC64" s="135"/>
      <c r="AD64" s="135"/>
    </row>
    <row r="65" spans="27:30" x14ac:dyDescent="0.25">
      <c r="AA65" s="116">
        <f t="shared" si="0"/>
        <v>0</v>
      </c>
      <c r="AB65" s="135"/>
      <c r="AC65" s="135"/>
      <c r="AD65" s="135"/>
    </row>
    <row r="66" spans="27:30" x14ac:dyDescent="0.25">
      <c r="AA66" s="116">
        <f t="shared" ref="AA66:AA129" si="1">SUM(N66:Z66)</f>
        <v>0</v>
      </c>
      <c r="AB66" s="135"/>
      <c r="AC66" s="135"/>
      <c r="AD66" s="135"/>
    </row>
    <row r="67" spans="27:30" x14ac:dyDescent="0.25">
      <c r="AA67" s="116">
        <f t="shared" si="1"/>
        <v>0</v>
      </c>
      <c r="AB67" s="135"/>
      <c r="AC67" s="135"/>
      <c r="AD67" s="135"/>
    </row>
    <row r="68" spans="27:30" x14ac:dyDescent="0.25">
      <c r="AA68" s="116">
        <f t="shared" si="1"/>
        <v>0</v>
      </c>
      <c r="AB68" s="135"/>
      <c r="AC68" s="135"/>
      <c r="AD68" s="135"/>
    </row>
    <row r="69" spans="27:30" x14ac:dyDescent="0.25">
      <c r="AA69" s="116">
        <f t="shared" si="1"/>
        <v>0</v>
      </c>
      <c r="AB69" s="135"/>
      <c r="AC69" s="135"/>
      <c r="AD69" s="135"/>
    </row>
    <row r="70" spans="27:30" x14ac:dyDescent="0.25">
      <c r="AA70" s="116">
        <f t="shared" si="1"/>
        <v>0</v>
      </c>
      <c r="AB70" s="135"/>
      <c r="AC70" s="135"/>
      <c r="AD70" s="135"/>
    </row>
    <row r="71" spans="27:30" x14ac:dyDescent="0.25">
      <c r="AA71" s="116">
        <f t="shared" si="1"/>
        <v>0</v>
      </c>
      <c r="AB71" s="135"/>
      <c r="AC71" s="135"/>
      <c r="AD71" s="135"/>
    </row>
    <row r="72" spans="27:30" x14ac:dyDescent="0.25">
      <c r="AA72" s="116">
        <f t="shared" si="1"/>
        <v>0</v>
      </c>
      <c r="AB72" s="135"/>
      <c r="AC72" s="135"/>
      <c r="AD72" s="135"/>
    </row>
    <row r="73" spans="27:30" x14ac:dyDescent="0.25">
      <c r="AA73" s="116">
        <f t="shared" si="1"/>
        <v>0</v>
      </c>
      <c r="AB73" s="135"/>
      <c r="AC73" s="135"/>
      <c r="AD73" s="135"/>
    </row>
    <row r="74" spans="27:30" x14ac:dyDescent="0.25">
      <c r="AA74" s="116">
        <f t="shared" si="1"/>
        <v>0</v>
      </c>
      <c r="AB74" s="135"/>
      <c r="AC74" s="135"/>
      <c r="AD74" s="135"/>
    </row>
    <row r="75" spans="27:30" x14ac:dyDescent="0.25">
      <c r="AA75" s="116">
        <f t="shared" si="1"/>
        <v>0</v>
      </c>
      <c r="AB75" s="135"/>
      <c r="AC75" s="135"/>
      <c r="AD75" s="135"/>
    </row>
    <row r="76" spans="27:30" x14ac:dyDescent="0.25">
      <c r="AA76" s="116">
        <f t="shared" si="1"/>
        <v>0</v>
      </c>
      <c r="AB76" s="135"/>
      <c r="AC76" s="135"/>
      <c r="AD76" s="135"/>
    </row>
    <row r="77" spans="27:30" x14ac:dyDescent="0.25">
      <c r="AA77" s="116">
        <f t="shared" si="1"/>
        <v>0</v>
      </c>
      <c r="AB77" s="135"/>
      <c r="AC77" s="135"/>
      <c r="AD77" s="135"/>
    </row>
    <row r="78" spans="27:30" x14ac:dyDescent="0.25">
      <c r="AA78" s="116">
        <f t="shared" si="1"/>
        <v>0</v>
      </c>
      <c r="AB78" s="135"/>
      <c r="AC78" s="135"/>
      <c r="AD78" s="135"/>
    </row>
    <row r="79" spans="27:30" x14ac:dyDescent="0.25">
      <c r="AA79" s="116">
        <f t="shared" si="1"/>
        <v>0</v>
      </c>
      <c r="AB79" s="135"/>
      <c r="AC79" s="135"/>
      <c r="AD79" s="135"/>
    </row>
    <row r="80" spans="27:30" x14ac:dyDescent="0.25">
      <c r="AA80" s="116">
        <f t="shared" si="1"/>
        <v>0</v>
      </c>
      <c r="AB80" s="135"/>
      <c r="AC80" s="135"/>
      <c r="AD80" s="135"/>
    </row>
    <row r="81" spans="27:30" x14ac:dyDescent="0.25">
      <c r="AA81" s="116">
        <f t="shared" si="1"/>
        <v>0</v>
      </c>
      <c r="AB81" s="135"/>
      <c r="AC81" s="135"/>
      <c r="AD81" s="135"/>
    </row>
    <row r="82" spans="27:30" x14ac:dyDescent="0.25">
      <c r="AA82" s="116">
        <f t="shared" si="1"/>
        <v>0</v>
      </c>
      <c r="AB82" s="135"/>
      <c r="AC82" s="135"/>
      <c r="AD82" s="135"/>
    </row>
    <row r="83" spans="27:30" x14ac:dyDescent="0.25">
      <c r="AA83" s="116">
        <f t="shared" si="1"/>
        <v>0</v>
      </c>
      <c r="AB83" s="135"/>
      <c r="AC83" s="135"/>
      <c r="AD83" s="135"/>
    </row>
    <row r="84" spans="27:30" x14ac:dyDescent="0.25">
      <c r="AA84" s="116">
        <f t="shared" si="1"/>
        <v>0</v>
      </c>
      <c r="AB84" s="135"/>
      <c r="AC84" s="135"/>
      <c r="AD84" s="135"/>
    </row>
    <row r="85" spans="27:30" x14ac:dyDescent="0.25">
      <c r="AA85" s="116">
        <f t="shared" si="1"/>
        <v>0</v>
      </c>
      <c r="AB85" s="135"/>
      <c r="AC85" s="135"/>
      <c r="AD85" s="135"/>
    </row>
    <row r="86" spans="27:30" x14ac:dyDescent="0.25">
      <c r="AA86" s="116">
        <f t="shared" si="1"/>
        <v>0</v>
      </c>
      <c r="AB86" s="135"/>
      <c r="AC86" s="135"/>
      <c r="AD86" s="135"/>
    </row>
    <row r="87" spans="27:30" x14ac:dyDescent="0.25">
      <c r="AA87" s="116">
        <f t="shared" si="1"/>
        <v>0</v>
      </c>
      <c r="AB87" s="135"/>
      <c r="AC87" s="135"/>
      <c r="AD87" s="135"/>
    </row>
    <row r="88" spans="27:30" x14ac:dyDescent="0.25">
      <c r="AA88" s="116">
        <f t="shared" si="1"/>
        <v>0</v>
      </c>
      <c r="AB88" s="135"/>
      <c r="AC88" s="135"/>
      <c r="AD88" s="135"/>
    </row>
    <row r="89" spans="27:30" x14ac:dyDescent="0.25">
      <c r="AA89" s="116">
        <f t="shared" si="1"/>
        <v>0</v>
      </c>
      <c r="AB89" s="135"/>
      <c r="AC89" s="135"/>
      <c r="AD89" s="135"/>
    </row>
    <row r="90" spans="27:30" x14ac:dyDescent="0.25">
      <c r="AA90" s="116">
        <f t="shared" si="1"/>
        <v>0</v>
      </c>
      <c r="AB90" s="135"/>
      <c r="AC90" s="135"/>
      <c r="AD90" s="135"/>
    </row>
    <row r="91" spans="27:30" x14ac:dyDescent="0.25">
      <c r="AA91" s="116">
        <f t="shared" si="1"/>
        <v>0</v>
      </c>
      <c r="AB91" s="135"/>
      <c r="AC91" s="135"/>
      <c r="AD91" s="135"/>
    </row>
    <row r="92" spans="27:30" x14ac:dyDescent="0.25">
      <c r="AA92" s="116">
        <f t="shared" si="1"/>
        <v>0</v>
      </c>
      <c r="AB92" s="135"/>
      <c r="AC92" s="135"/>
      <c r="AD92" s="135"/>
    </row>
    <row r="93" spans="27:30" x14ac:dyDescent="0.25">
      <c r="AA93" s="116">
        <f t="shared" si="1"/>
        <v>0</v>
      </c>
      <c r="AB93" s="135"/>
      <c r="AC93" s="135"/>
      <c r="AD93" s="135"/>
    </row>
    <row r="94" spans="27:30" x14ac:dyDescent="0.25">
      <c r="AA94" s="116">
        <f t="shared" si="1"/>
        <v>0</v>
      </c>
      <c r="AB94" s="135"/>
      <c r="AC94" s="135"/>
      <c r="AD94" s="135"/>
    </row>
    <row r="95" spans="27:30" x14ac:dyDescent="0.25">
      <c r="AA95" s="116">
        <f t="shared" si="1"/>
        <v>0</v>
      </c>
      <c r="AB95" s="135"/>
      <c r="AC95" s="135"/>
      <c r="AD95" s="135"/>
    </row>
    <row r="96" spans="27:30" x14ac:dyDescent="0.25">
      <c r="AA96" s="116">
        <f t="shared" si="1"/>
        <v>0</v>
      </c>
      <c r="AB96" s="135"/>
      <c r="AC96" s="135"/>
      <c r="AD96" s="135"/>
    </row>
    <row r="97" spans="27:30" x14ac:dyDescent="0.25">
      <c r="AA97" s="116">
        <f t="shared" si="1"/>
        <v>0</v>
      </c>
      <c r="AB97" s="135"/>
      <c r="AC97" s="135"/>
      <c r="AD97" s="135"/>
    </row>
    <row r="98" spans="27:30" x14ac:dyDescent="0.25">
      <c r="AA98" s="116">
        <f t="shared" si="1"/>
        <v>0</v>
      </c>
      <c r="AB98" s="135"/>
      <c r="AC98" s="135"/>
      <c r="AD98" s="135"/>
    </row>
    <row r="99" spans="27:30" x14ac:dyDescent="0.25">
      <c r="AA99" s="116">
        <f t="shared" si="1"/>
        <v>0</v>
      </c>
      <c r="AB99" s="135"/>
      <c r="AC99" s="135"/>
      <c r="AD99" s="135"/>
    </row>
    <row r="100" spans="27:30" x14ac:dyDescent="0.25">
      <c r="AA100" s="116">
        <f t="shared" si="1"/>
        <v>0</v>
      </c>
      <c r="AB100" s="135"/>
      <c r="AC100" s="135"/>
      <c r="AD100" s="135"/>
    </row>
    <row r="101" spans="27:30" x14ac:dyDescent="0.25">
      <c r="AA101" s="116">
        <f t="shared" si="1"/>
        <v>0</v>
      </c>
      <c r="AB101" s="135"/>
      <c r="AC101" s="135"/>
      <c r="AD101" s="135"/>
    </row>
    <row r="102" spans="27:30" x14ac:dyDescent="0.25">
      <c r="AA102" s="116">
        <f t="shared" si="1"/>
        <v>0</v>
      </c>
      <c r="AB102" s="135"/>
      <c r="AC102" s="135"/>
      <c r="AD102" s="135"/>
    </row>
    <row r="103" spans="27:30" x14ac:dyDescent="0.25">
      <c r="AA103" s="116">
        <f t="shared" si="1"/>
        <v>0</v>
      </c>
      <c r="AB103" s="135"/>
      <c r="AC103" s="135"/>
      <c r="AD103" s="135"/>
    </row>
    <row r="104" spans="27:30" x14ac:dyDescent="0.25">
      <c r="AA104" s="116">
        <f t="shared" si="1"/>
        <v>0</v>
      </c>
      <c r="AB104" s="135"/>
      <c r="AC104" s="135"/>
      <c r="AD104" s="135"/>
    </row>
    <row r="105" spans="27:30" x14ac:dyDescent="0.25">
      <c r="AA105" s="116">
        <f t="shared" si="1"/>
        <v>0</v>
      </c>
      <c r="AB105" s="135"/>
      <c r="AC105" s="135"/>
      <c r="AD105" s="135"/>
    </row>
    <row r="106" spans="27:30" x14ac:dyDescent="0.25">
      <c r="AA106" s="116">
        <f t="shared" si="1"/>
        <v>0</v>
      </c>
      <c r="AB106" s="135"/>
      <c r="AC106" s="135"/>
      <c r="AD106" s="135"/>
    </row>
    <row r="107" spans="27:30" x14ac:dyDescent="0.25">
      <c r="AA107" s="116">
        <f t="shared" si="1"/>
        <v>0</v>
      </c>
      <c r="AB107" s="135"/>
      <c r="AC107" s="135"/>
      <c r="AD107" s="135"/>
    </row>
    <row r="108" spans="27:30" x14ac:dyDescent="0.25">
      <c r="AA108" s="116">
        <f t="shared" si="1"/>
        <v>0</v>
      </c>
      <c r="AB108" s="135"/>
      <c r="AC108" s="135"/>
      <c r="AD108" s="135"/>
    </row>
    <row r="109" spans="27:30" x14ac:dyDescent="0.25">
      <c r="AA109" s="116">
        <f t="shared" si="1"/>
        <v>0</v>
      </c>
      <c r="AB109" s="135"/>
      <c r="AC109" s="135"/>
      <c r="AD109" s="135"/>
    </row>
    <row r="110" spans="27:30" x14ac:dyDescent="0.25">
      <c r="AA110" s="116">
        <f t="shared" si="1"/>
        <v>0</v>
      </c>
      <c r="AB110" s="135"/>
      <c r="AC110" s="135"/>
      <c r="AD110" s="135"/>
    </row>
    <row r="111" spans="27:30" x14ac:dyDescent="0.25">
      <c r="AA111" s="116">
        <f t="shared" si="1"/>
        <v>0</v>
      </c>
      <c r="AB111" s="135"/>
      <c r="AC111" s="135"/>
      <c r="AD111" s="135"/>
    </row>
    <row r="112" spans="27:30" x14ac:dyDescent="0.25">
      <c r="AA112" s="116">
        <f t="shared" si="1"/>
        <v>0</v>
      </c>
      <c r="AB112" s="135"/>
      <c r="AC112" s="135"/>
      <c r="AD112" s="135"/>
    </row>
    <row r="113" spans="27:30" x14ac:dyDescent="0.25">
      <c r="AA113" s="116">
        <f t="shared" si="1"/>
        <v>0</v>
      </c>
      <c r="AB113" s="135"/>
      <c r="AC113" s="135"/>
      <c r="AD113" s="135"/>
    </row>
    <row r="114" spans="27:30" x14ac:dyDescent="0.25">
      <c r="AA114" s="116">
        <f t="shared" si="1"/>
        <v>0</v>
      </c>
      <c r="AB114" s="135"/>
      <c r="AC114" s="135"/>
      <c r="AD114" s="135"/>
    </row>
    <row r="115" spans="27:30" x14ac:dyDescent="0.25">
      <c r="AA115" s="116">
        <f t="shared" si="1"/>
        <v>0</v>
      </c>
      <c r="AB115" s="135"/>
      <c r="AC115" s="135"/>
      <c r="AD115" s="135"/>
    </row>
    <row r="116" spans="27:30" x14ac:dyDescent="0.25">
      <c r="AA116" s="116">
        <f t="shared" si="1"/>
        <v>0</v>
      </c>
      <c r="AB116" s="135"/>
      <c r="AC116" s="135"/>
      <c r="AD116" s="135"/>
    </row>
    <row r="117" spans="27:30" x14ac:dyDescent="0.25">
      <c r="AA117" s="116">
        <f t="shared" si="1"/>
        <v>0</v>
      </c>
      <c r="AB117" s="135"/>
      <c r="AC117" s="135"/>
      <c r="AD117" s="135"/>
    </row>
    <row r="118" spans="27:30" x14ac:dyDescent="0.25">
      <c r="AA118" s="116">
        <f t="shared" si="1"/>
        <v>0</v>
      </c>
      <c r="AB118" s="135"/>
      <c r="AC118" s="135"/>
      <c r="AD118" s="135"/>
    </row>
    <row r="119" spans="27:30" x14ac:dyDescent="0.25">
      <c r="AA119" s="116">
        <f t="shared" si="1"/>
        <v>0</v>
      </c>
      <c r="AB119" s="135"/>
      <c r="AC119" s="135"/>
      <c r="AD119" s="135"/>
    </row>
    <row r="120" spans="27:30" x14ac:dyDescent="0.25">
      <c r="AA120" s="116">
        <f t="shared" si="1"/>
        <v>0</v>
      </c>
      <c r="AB120" s="135"/>
      <c r="AC120" s="135"/>
      <c r="AD120" s="135"/>
    </row>
    <row r="121" spans="27:30" x14ac:dyDescent="0.25">
      <c r="AA121" s="116">
        <f t="shared" si="1"/>
        <v>0</v>
      </c>
      <c r="AB121" s="135"/>
      <c r="AC121" s="135"/>
      <c r="AD121" s="135"/>
    </row>
    <row r="122" spans="27:30" x14ac:dyDescent="0.25">
      <c r="AA122" s="116">
        <f t="shared" si="1"/>
        <v>0</v>
      </c>
      <c r="AB122" s="135"/>
      <c r="AC122" s="135"/>
      <c r="AD122" s="135"/>
    </row>
    <row r="123" spans="27:30" x14ac:dyDescent="0.25">
      <c r="AA123" s="116">
        <f t="shared" si="1"/>
        <v>0</v>
      </c>
      <c r="AB123" s="135"/>
      <c r="AC123" s="135"/>
      <c r="AD123" s="135"/>
    </row>
    <row r="124" spans="27:30" x14ac:dyDescent="0.25">
      <c r="AA124" s="116">
        <f t="shared" si="1"/>
        <v>0</v>
      </c>
      <c r="AB124" s="135"/>
      <c r="AC124" s="135"/>
      <c r="AD124" s="135"/>
    </row>
    <row r="125" spans="27:30" x14ac:dyDescent="0.25">
      <c r="AA125" s="116">
        <f t="shared" si="1"/>
        <v>0</v>
      </c>
      <c r="AB125" s="135"/>
      <c r="AC125" s="135"/>
      <c r="AD125" s="135"/>
    </row>
    <row r="126" spans="27:30" x14ac:dyDescent="0.25">
      <c r="AA126" s="116">
        <f t="shared" si="1"/>
        <v>0</v>
      </c>
      <c r="AB126" s="135"/>
      <c r="AC126" s="135"/>
      <c r="AD126" s="135"/>
    </row>
    <row r="127" spans="27:30" x14ac:dyDescent="0.25">
      <c r="AA127" s="116">
        <f t="shared" si="1"/>
        <v>0</v>
      </c>
      <c r="AB127" s="135"/>
      <c r="AC127" s="135"/>
      <c r="AD127" s="135"/>
    </row>
    <row r="128" spans="27:30" x14ac:dyDescent="0.25">
      <c r="AA128" s="116">
        <f t="shared" si="1"/>
        <v>0</v>
      </c>
      <c r="AB128" s="135"/>
      <c r="AC128" s="135"/>
      <c r="AD128" s="135"/>
    </row>
    <row r="129" spans="27:30" x14ac:dyDescent="0.25">
      <c r="AA129" s="116">
        <f t="shared" si="1"/>
        <v>0</v>
      </c>
      <c r="AB129" s="135"/>
      <c r="AC129" s="135"/>
      <c r="AD129" s="135"/>
    </row>
    <row r="130" spans="27:30" x14ac:dyDescent="0.25">
      <c r="AA130" s="116">
        <f t="shared" ref="AA130:AA193" si="2">SUM(N130:Z130)</f>
        <v>0</v>
      </c>
      <c r="AB130" s="135"/>
      <c r="AC130" s="135"/>
      <c r="AD130" s="135"/>
    </row>
    <row r="131" spans="27:30" x14ac:dyDescent="0.25">
      <c r="AA131" s="116">
        <f t="shared" si="2"/>
        <v>0</v>
      </c>
      <c r="AB131" s="135"/>
      <c r="AC131" s="135"/>
      <c r="AD131" s="135"/>
    </row>
    <row r="132" spans="27:30" x14ac:dyDescent="0.25">
      <c r="AA132" s="116">
        <f t="shared" si="2"/>
        <v>0</v>
      </c>
      <c r="AB132" s="135"/>
      <c r="AC132" s="135"/>
      <c r="AD132" s="135"/>
    </row>
    <row r="133" spans="27:30" x14ac:dyDescent="0.25">
      <c r="AA133" s="116">
        <f t="shared" si="2"/>
        <v>0</v>
      </c>
      <c r="AB133" s="135"/>
      <c r="AC133" s="135"/>
      <c r="AD133" s="135"/>
    </row>
    <row r="134" spans="27:30" x14ac:dyDescent="0.25">
      <c r="AA134" s="116">
        <f t="shared" si="2"/>
        <v>0</v>
      </c>
      <c r="AB134" s="135"/>
      <c r="AC134" s="135"/>
      <c r="AD134" s="135"/>
    </row>
    <row r="135" spans="27:30" x14ac:dyDescent="0.25">
      <c r="AA135" s="116">
        <f t="shared" si="2"/>
        <v>0</v>
      </c>
      <c r="AB135" s="135"/>
      <c r="AC135" s="135"/>
      <c r="AD135" s="135"/>
    </row>
    <row r="136" spans="27:30" x14ac:dyDescent="0.25">
      <c r="AA136" s="116">
        <f t="shared" si="2"/>
        <v>0</v>
      </c>
      <c r="AB136" s="135"/>
      <c r="AC136" s="135"/>
      <c r="AD136" s="135"/>
    </row>
    <row r="137" spans="27:30" x14ac:dyDescent="0.25">
      <c r="AA137" s="116">
        <f t="shared" si="2"/>
        <v>0</v>
      </c>
      <c r="AB137" s="135"/>
      <c r="AC137" s="135"/>
      <c r="AD137" s="135"/>
    </row>
    <row r="138" spans="27:30" x14ac:dyDescent="0.25">
      <c r="AA138" s="116">
        <f t="shared" si="2"/>
        <v>0</v>
      </c>
      <c r="AB138" s="135"/>
      <c r="AC138" s="135"/>
      <c r="AD138" s="135"/>
    </row>
    <row r="139" spans="27:30" x14ac:dyDescent="0.25">
      <c r="AA139" s="116">
        <f t="shared" si="2"/>
        <v>0</v>
      </c>
      <c r="AB139" s="135"/>
      <c r="AC139" s="135"/>
      <c r="AD139" s="135"/>
    </row>
    <row r="140" spans="27:30" x14ac:dyDescent="0.25">
      <c r="AA140" s="116">
        <f t="shared" si="2"/>
        <v>0</v>
      </c>
      <c r="AB140" s="135"/>
      <c r="AC140" s="135"/>
      <c r="AD140" s="135"/>
    </row>
    <row r="141" spans="27:30" x14ac:dyDescent="0.25">
      <c r="AA141" s="116">
        <f t="shared" si="2"/>
        <v>0</v>
      </c>
      <c r="AB141" s="135"/>
      <c r="AC141" s="135"/>
      <c r="AD141" s="135"/>
    </row>
    <row r="142" spans="27:30" x14ac:dyDescent="0.25">
      <c r="AA142" s="116">
        <f t="shared" si="2"/>
        <v>0</v>
      </c>
      <c r="AB142" s="135"/>
      <c r="AC142" s="135"/>
      <c r="AD142" s="135"/>
    </row>
    <row r="143" spans="27:30" x14ac:dyDescent="0.25">
      <c r="AA143" s="116">
        <f t="shared" si="2"/>
        <v>0</v>
      </c>
      <c r="AB143" s="135"/>
      <c r="AC143" s="135"/>
      <c r="AD143" s="135"/>
    </row>
    <row r="144" spans="27:30" x14ac:dyDescent="0.25">
      <c r="AA144" s="116">
        <f t="shared" si="2"/>
        <v>0</v>
      </c>
      <c r="AB144" s="135"/>
      <c r="AC144" s="135"/>
      <c r="AD144" s="135"/>
    </row>
    <row r="145" spans="27:30" x14ac:dyDescent="0.25">
      <c r="AA145" s="116">
        <f t="shared" si="2"/>
        <v>0</v>
      </c>
      <c r="AB145" s="135"/>
      <c r="AC145" s="135"/>
      <c r="AD145" s="135"/>
    </row>
    <row r="146" spans="27:30" x14ac:dyDescent="0.25">
      <c r="AA146" s="116">
        <f t="shared" si="2"/>
        <v>0</v>
      </c>
      <c r="AB146" s="135"/>
      <c r="AC146" s="135"/>
      <c r="AD146" s="135"/>
    </row>
    <row r="147" spans="27:30" x14ac:dyDescent="0.25">
      <c r="AA147" s="116">
        <f t="shared" si="2"/>
        <v>0</v>
      </c>
      <c r="AB147" s="135"/>
      <c r="AC147" s="135"/>
      <c r="AD147" s="135"/>
    </row>
    <row r="148" spans="27:30" x14ac:dyDescent="0.25">
      <c r="AA148" s="116">
        <f t="shared" si="2"/>
        <v>0</v>
      </c>
      <c r="AB148" s="135"/>
      <c r="AC148" s="135"/>
      <c r="AD148" s="135"/>
    </row>
    <row r="149" spans="27:30" x14ac:dyDescent="0.25">
      <c r="AA149" s="116">
        <f t="shared" si="2"/>
        <v>0</v>
      </c>
      <c r="AB149" s="135"/>
      <c r="AC149" s="135"/>
      <c r="AD149" s="135"/>
    </row>
    <row r="150" spans="27:30" x14ac:dyDescent="0.25">
      <c r="AA150" s="116">
        <f t="shared" si="2"/>
        <v>0</v>
      </c>
      <c r="AB150" s="135"/>
      <c r="AC150" s="135"/>
      <c r="AD150" s="135"/>
    </row>
    <row r="151" spans="27:30" x14ac:dyDescent="0.25">
      <c r="AA151" s="116">
        <f t="shared" si="2"/>
        <v>0</v>
      </c>
      <c r="AB151" s="135"/>
      <c r="AC151" s="135"/>
      <c r="AD151" s="135"/>
    </row>
    <row r="152" spans="27:30" x14ac:dyDescent="0.25">
      <c r="AA152" s="116">
        <f t="shared" si="2"/>
        <v>0</v>
      </c>
      <c r="AB152" s="135"/>
      <c r="AC152" s="135"/>
      <c r="AD152" s="135"/>
    </row>
    <row r="153" spans="27:30" x14ac:dyDescent="0.25">
      <c r="AA153" s="116">
        <f t="shared" si="2"/>
        <v>0</v>
      </c>
      <c r="AB153" s="135"/>
      <c r="AC153" s="135"/>
      <c r="AD153" s="135"/>
    </row>
    <row r="154" spans="27:30" x14ac:dyDescent="0.25">
      <c r="AA154" s="116">
        <f t="shared" si="2"/>
        <v>0</v>
      </c>
      <c r="AB154" s="135"/>
      <c r="AC154" s="135"/>
      <c r="AD154" s="135"/>
    </row>
    <row r="155" spans="27:30" x14ac:dyDescent="0.25">
      <c r="AA155" s="116">
        <f t="shared" si="2"/>
        <v>0</v>
      </c>
      <c r="AB155" s="135"/>
      <c r="AC155" s="135"/>
      <c r="AD155" s="135"/>
    </row>
    <row r="156" spans="27:30" x14ac:dyDescent="0.25">
      <c r="AA156" s="116">
        <f t="shared" si="2"/>
        <v>0</v>
      </c>
      <c r="AB156" s="135"/>
      <c r="AC156" s="135"/>
      <c r="AD156" s="135"/>
    </row>
    <row r="157" spans="27:30" x14ac:dyDescent="0.25">
      <c r="AA157" s="116">
        <f t="shared" si="2"/>
        <v>0</v>
      </c>
      <c r="AB157" s="135"/>
      <c r="AC157" s="135"/>
      <c r="AD157" s="135"/>
    </row>
    <row r="158" spans="27:30" x14ac:dyDescent="0.25">
      <c r="AA158" s="116">
        <f t="shared" si="2"/>
        <v>0</v>
      </c>
      <c r="AB158" s="135"/>
      <c r="AC158" s="135"/>
      <c r="AD158" s="135"/>
    </row>
    <row r="159" spans="27:30" x14ac:dyDescent="0.25">
      <c r="AA159" s="116">
        <f t="shared" si="2"/>
        <v>0</v>
      </c>
      <c r="AB159" s="135"/>
      <c r="AC159" s="135"/>
      <c r="AD159" s="135"/>
    </row>
    <row r="160" spans="27:30" x14ac:dyDescent="0.25">
      <c r="AA160" s="116">
        <f t="shared" si="2"/>
        <v>0</v>
      </c>
      <c r="AB160" s="135"/>
      <c r="AC160" s="135"/>
      <c r="AD160" s="135"/>
    </row>
    <row r="161" spans="27:30" x14ac:dyDescent="0.25">
      <c r="AA161" s="116">
        <f t="shared" si="2"/>
        <v>0</v>
      </c>
      <c r="AB161" s="135"/>
      <c r="AC161" s="135"/>
      <c r="AD161" s="135"/>
    </row>
    <row r="162" spans="27:30" x14ac:dyDescent="0.25">
      <c r="AA162" s="116">
        <f t="shared" si="2"/>
        <v>0</v>
      </c>
      <c r="AB162" s="135"/>
      <c r="AC162" s="135"/>
      <c r="AD162" s="135"/>
    </row>
    <row r="163" spans="27:30" x14ac:dyDescent="0.25">
      <c r="AA163" s="116">
        <f t="shared" si="2"/>
        <v>0</v>
      </c>
      <c r="AB163" s="135"/>
      <c r="AC163" s="135"/>
      <c r="AD163" s="135"/>
    </row>
    <row r="164" spans="27:30" x14ac:dyDescent="0.25">
      <c r="AA164" s="116">
        <f t="shared" si="2"/>
        <v>0</v>
      </c>
      <c r="AB164" s="135"/>
      <c r="AC164" s="135"/>
      <c r="AD164" s="135"/>
    </row>
    <row r="165" spans="27:30" x14ac:dyDescent="0.25">
      <c r="AA165" s="116">
        <f t="shared" si="2"/>
        <v>0</v>
      </c>
      <c r="AB165" s="135"/>
      <c r="AC165" s="135"/>
      <c r="AD165" s="135"/>
    </row>
    <row r="166" spans="27:30" x14ac:dyDescent="0.25">
      <c r="AA166" s="116">
        <f t="shared" si="2"/>
        <v>0</v>
      </c>
      <c r="AB166" s="135"/>
      <c r="AC166" s="135"/>
      <c r="AD166" s="135"/>
    </row>
    <row r="167" spans="27:30" x14ac:dyDescent="0.25">
      <c r="AA167" s="116">
        <f t="shared" si="2"/>
        <v>0</v>
      </c>
      <c r="AB167" s="135"/>
      <c r="AC167" s="135"/>
      <c r="AD167" s="135"/>
    </row>
    <row r="168" spans="27:30" x14ac:dyDescent="0.25">
      <c r="AA168" s="116">
        <f t="shared" si="2"/>
        <v>0</v>
      </c>
      <c r="AB168" s="135"/>
      <c r="AC168" s="135"/>
      <c r="AD168" s="135"/>
    </row>
    <row r="169" spans="27:30" x14ac:dyDescent="0.25">
      <c r="AA169" s="116">
        <f t="shared" si="2"/>
        <v>0</v>
      </c>
      <c r="AB169" s="135"/>
      <c r="AC169" s="135"/>
      <c r="AD169" s="135"/>
    </row>
    <row r="170" spans="27:30" x14ac:dyDescent="0.25">
      <c r="AA170" s="116">
        <f t="shared" si="2"/>
        <v>0</v>
      </c>
      <c r="AB170" s="135"/>
      <c r="AC170" s="135"/>
      <c r="AD170" s="135"/>
    </row>
    <row r="171" spans="27:30" x14ac:dyDescent="0.25">
      <c r="AA171" s="116">
        <f t="shared" si="2"/>
        <v>0</v>
      </c>
      <c r="AB171" s="135"/>
      <c r="AC171" s="135"/>
      <c r="AD171" s="135"/>
    </row>
    <row r="172" spans="27:30" x14ac:dyDescent="0.25">
      <c r="AA172" s="116">
        <f t="shared" si="2"/>
        <v>0</v>
      </c>
      <c r="AB172" s="135"/>
      <c r="AC172" s="135"/>
      <c r="AD172" s="135"/>
    </row>
    <row r="173" spans="27:30" x14ac:dyDescent="0.25">
      <c r="AA173" s="116">
        <f t="shared" si="2"/>
        <v>0</v>
      </c>
      <c r="AB173" s="135"/>
      <c r="AC173" s="135"/>
      <c r="AD173" s="135"/>
    </row>
    <row r="174" spans="27:30" x14ac:dyDescent="0.25">
      <c r="AA174" s="116">
        <f t="shared" si="2"/>
        <v>0</v>
      </c>
      <c r="AB174" s="135"/>
      <c r="AC174" s="135"/>
      <c r="AD174" s="135"/>
    </row>
    <row r="175" spans="27:30" x14ac:dyDescent="0.25">
      <c r="AA175" s="116">
        <f t="shared" si="2"/>
        <v>0</v>
      </c>
      <c r="AB175" s="135"/>
      <c r="AC175" s="135"/>
      <c r="AD175" s="135"/>
    </row>
    <row r="176" spans="27:30" x14ac:dyDescent="0.25">
      <c r="AA176" s="116">
        <f t="shared" si="2"/>
        <v>0</v>
      </c>
      <c r="AB176" s="135"/>
      <c r="AC176" s="135"/>
      <c r="AD176" s="135"/>
    </row>
    <row r="177" spans="27:30" x14ac:dyDescent="0.25">
      <c r="AA177" s="116">
        <f t="shared" si="2"/>
        <v>0</v>
      </c>
      <c r="AB177" s="135"/>
      <c r="AC177" s="135"/>
      <c r="AD177" s="135"/>
    </row>
    <row r="178" spans="27:30" x14ac:dyDescent="0.25">
      <c r="AA178" s="116">
        <f t="shared" si="2"/>
        <v>0</v>
      </c>
      <c r="AB178" s="135"/>
      <c r="AC178" s="135"/>
      <c r="AD178" s="135"/>
    </row>
    <row r="179" spans="27:30" x14ac:dyDescent="0.25">
      <c r="AA179" s="116">
        <f t="shared" si="2"/>
        <v>0</v>
      </c>
      <c r="AB179" s="135"/>
      <c r="AC179" s="135"/>
      <c r="AD179" s="135"/>
    </row>
    <row r="180" spans="27:30" x14ac:dyDescent="0.25">
      <c r="AA180" s="116">
        <f t="shared" si="2"/>
        <v>0</v>
      </c>
      <c r="AB180" s="135"/>
      <c r="AC180" s="135"/>
      <c r="AD180" s="135"/>
    </row>
    <row r="181" spans="27:30" x14ac:dyDescent="0.25">
      <c r="AA181" s="116">
        <f t="shared" si="2"/>
        <v>0</v>
      </c>
      <c r="AB181" s="135"/>
      <c r="AC181" s="135"/>
      <c r="AD181" s="135"/>
    </row>
    <row r="182" spans="27:30" x14ac:dyDescent="0.25">
      <c r="AA182" s="116">
        <f t="shared" si="2"/>
        <v>0</v>
      </c>
      <c r="AB182" s="135"/>
      <c r="AC182" s="135"/>
      <c r="AD182" s="135"/>
    </row>
    <row r="183" spans="27:30" x14ac:dyDescent="0.25">
      <c r="AA183" s="116">
        <f t="shared" si="2"/>
        <v>0</v>
      </c>
      <c r="AB183" s="135"/>
      <c r="AC183" s="135"/>
      <c r="AD183" s="135"/>
    </row>
    <row r="184" spans="27:30" x14ac:dyDescent="0.25">
      <c r="AA184" s="116">
        <f t="shared" si="2"/>
        <v>0</v>
      </c>
      <c r="AB184" s="135"/>
      <c r="AC184" s="135"/>
      <c r="AD184" s="135"/>
    </row>
    <row r="185" spans="27:30" x14ac:dyDescent="0.25">
      <c r="AA185" s="116">
        <f t="shared" si="2"/>
        <v>0</v>
      </c>
      <c r="AB185" s="135"/>
      <c r="AC185" s="135"/>
      <c r="AD185" s="135"/>
    </row>
    <row r="186" spans="27:30" x14ac:dyDescent="0.25">
      <c r="AA186" s="116">
        <f t="shared" si="2"/>
        <v>0</v>
      </c>
      <c r="AB186" s="135"/>
      <c r="AC186" s="135"/>
      <c r="AD186" s="135"/>
    </row>
    <row r="187" spans="27:30" x14ac:dyDescent="0.25">
      <c r="AA187" s="116">
        <f t="shared" si="2"/>
        <v>0</v>
      </c>
      <c r="AB187" s="135"/>
      <c r="AC187" s="135"/>
      <c r="AD187" s="135"/>
    </row>
    <row r="188" spans="27:30" x14ac:dyDescent="0.25">
      <c r="AA188" s="116">
        <f t="shared" si="2"/>
        <v>0</v>
      </c>
      <c r="AB188" s="135"/>
      <c r="AC188" s="135"/>
      <c r="AD188" s="135"/>
    </row>
    <row r="189" spans="27:30" x14ac:dyDescent="0.25">
      <c r="AA189" s="116">
        <f t="shared" si="2"/>
        <v>0</v>
      </c>
      <c r="AB189" s="135"/>
      <c r="AC189" s="135"/>
      <c r="AD189" s="135"/>
    </row>
    <row r="190" spans="27:30" x14ac:dyDescent="0.25">
      <c r="AA190" s="116">
        <f t="shared" si="2"/>
        <v>0</v>
      </c>
      <c r="AB190" s="135"/>
      <c r="AC190" s="135"/>
      <c r="AD190" s="135"/>
    </row>
    <row r="191" spans="27:30" x14ac:dyDescent="0.25">
      <c r="AA191" s="116">
        <f t="shared" si="2"/>
        <v>0</v>
      </c>
      <c r="AB191" s="135"/>
      <c r="AC191" s="135"/>
      <c r="AD191" s="135"/>
    </row>
    <row r="192" spans="27:30" x14ac:dyDescent="0.25">
      <c r="AA192" s="116">
        <f t="shared" si="2"/>
        <v>0</v>
      </c>
      <c r="AB192" s="135"/>
      <c r="AC192" s="135"/>
      <c r="AD192" s="135"/>
    </row>
    <row r="193" spans="27:30" x14ac:dyDescent="0.25">
      <c r="AA193" s="116">
        <f t="shared" si="2"/>
        <v>0</v>
      </c>
      <c r="AB193" s="135"/>
      <c r="AC193" s="135"/>
      <c r="AD193" s="135"/>
    </row>
    <row r="194" spans="27:30" x14ac:dyDescent="0.25">
      <c r="AA194" s="116">
        <f t="shared" ref="AA194:AA257" si="3">SUM(N194:Z194)</f>
        <v>0</v>
      </c>
      <c r="AB194" s="135"/>
      <c r="AC194" s="135"/>
      <c r="AD194" s="135"/>
    </row>
    <row r="195" spans="27:30" x14ac:dyDescent="0.25">
      <c r="AA195" s="116">
        <f t="shared" si="3"/>
        <v>0</v>
      </c>
      <c r="AB195" s="135"/>
      <c r="AC195" s="135"/>
      <c r="AD195" s="135"/>
    </row>
    <row r="196" spans="27:30" x14ac:dyDescent="0.25">
      <c r="AA196" s="116">
        <f t="shared" si="3"/>
        <v>0</v>
      </c>
      <c r="AB196" s="135"/>
      <c r="AC196" s="135"/>
      <c r="AD196" s="135"/>
    </row>
    <row r="197" spans="27:30" x14ac:dyDescent="0.25">
      <c r="AA197" s="116">
        <f t="shared" si="3"/>
        <v>0</v>
      </c>
      <c r="AB197" s="135"/>
      <c r="AC197" s="135"/>
      <c r="AD197" s="135"/>
    </row>
    <row r="198" spans="27:30" x14ac:dyDescent="0.25">
      <c r="AA198" s="116">
        <f t="shared" si="3"/>
        <v>0</v>
      </c>
      <c r="AB198" s="135"/>
      <c r="AC198" s="135"/>
      <c r="AD198" s="135"/>
    </row>
    <row r="199" spans="27:30" x14ac:dyDescent="0.25">
      <c r="AA199" s="116">
        <f t="shared" si="3"/>
        <v>0</v>
      </c>
      <c r="AB199" s="135"/>
      <c r="AC199" s="135"/>
      <c r="AD199" s="135"/>
    </row>
    <row r="200" spans="27:30" x14ac:dyDescent="0.25">
      <c r="AA200" s="116">
        <f t="shared" si="3"/>
        <v>0</v>
      </c>
      <c r="AB200" s="135"/>
      <c r="AC200" s="135"/>
      <c r="AD200" s="135"/>
    </row>
    <row r="201" spans="27:30" x14ac:dyDescent="0.25">
      <c r="AA201" s="116">
        <f t="shared" si="3"/>
        <v>0</v>
      </c>
      <c r="AB201" s="135"/>
      <c r="AC201" s="135"/>
      <c r="AD201" s="135"/>
    </row>
    <row r="202" spans="27:30" x14ac:dyDescent="0.25">
      <c r="AA202" s="116">
        <f t="shared" si="3"/>
        <v>0</v>
      </c>
      <c r="AB202" s="135"/>
      <c r="AC202" s="135"/>
      <c r="AD202" s="135"/>
    </row>
    <row r="203" spans="27:30" x14ac:dyDescent="0.25">
      <c r="AA203" s="116">
        <f t="shared" si="3"/>
        <v>0</v>
      </c>
      <c r="AB203" s="135"/>
      <c r="AC203" s="135"/>
      <c r="AD203" s="135"/>
    </row>
    <row r="204" spans="27:30" x14ac:dyDescent="0.25">
      <c r="AA204" s="116">
        <f t="shared" si="3"/>
        <v>0</v>
      </c>
      <c r="AB204" s="135"/>
      <c r="AC204" s="135"/>
      <c r="AD204" s="135"/>
    </row>
    <row r="205" spans="27:30" x14ac:dyDescent="0.25">
      <c r="AA205" s="116">
        <f t="shared" si="3"/>
        <v>0</v>
      </c>
      <c r="AB205" s="135"/>
      <c r="AC205" s="135"/>
      <c r="AD205" s="135"/>
    </row>
    <row r="206" spans="27:30" x14ac:dyDescent="0.25">
      <c r="AA206" s="116">
        <f t="shared" si="3"/>
        <v>0</v>
      </c>
      <c r="AB206" s="135"/>
      <c r="AC206" s="135"/>
      <c r="AD206" s="135"/>
    </row>
    <row r="207" spans="27:30" x14ac:dyDescent="0.25">
      <c r="AA207" s="116">
        <f t="shared" si="3"/>
        <v>0</v>
      </c>
      <c r="AB207" s="135"/>
      <c r="AC207" s="135"/>
      <c r="AD207" s="135"/>
    </row>
    <row r="208" spans="27:30" x14ac:dyDescent="0.25">
      <c r="AA208" s="116">
        <f t="shared" si="3"/>
        <v>0</v>
      </c>
      <c r="AB208" s="135"/>
      <c r="AC208" s="135"/>
      <c r="AD208" s="135"/>
    </row>
    <row r="209" spans="27:30" x14ac:dyDescent="0.25">
      <c r="AA209" s="116">
        <f t="shared" si="3"/>
        <v>0</v>
      </c>
      <c r="AB209" s="135"/>
      <c r="AC209" s="135"/>
      <c r="AD209" s="135"/>
    </row>
    <row r="210" spans="27:30" x14ac:dyDescent="0.25">
      <c r="AA210" s="116">
        <f t="shared" si="3"/>
        <v>0</v>
      </c>
      <c r="AB210" s="135"/>
      <c r="AC210" s="135"/>
      <c r="AD210" s="135"/>
    </row>
    <row r="211" spans="27:30" x14ac:dyDescent="0.25">
      <c r="AA211" s="116">
        <f t="shared" si="3"/>
        <v>0</v>
      </c>
      <c r="AB211" s="135"/>
      <c r="AC211" s="135"/>
      <c r="AD211" s="135"/>
    </row>
    <row r="212" spans="27:30" x14ac:dyDescent="0.25">
      <c r="AA212" s="116">
        <f t="shared" si="3"/>
        <v>0</v>
      </c>
      <c r="AB212" s="135"/>
      <c r="AC212" s="135"/>
      <c r="AD212" s="135"/>
    </row>
    <row r="213" spans="27:30" x14ac:dyDescent="0.25">
      <c r="AA213" s="116">
        <f t="shared" si="3"/>
        <v>0</v>
      </c>
      <c r="AB213" s="135"/>
      <c r="AC213" s="135"/>
      <c r="AD213" s="135"/>
    </row>
    <row r="214" spans="27:30" x14ac:dyDescent="0.25">
      <c r="AA214" s="116">
        <f t="shared" si="3"/>
        <v>0</v>
      </c>
      <c r="AB214" s="135"/>
      <c r="AC214" s="135"/>
      <c r="AD214" s="135"/>
    </row>
    <row r="215" spans="27:30" x14ac:dyDescent="0.25">
      <c r="AA215" s="116">
        <f t="shared" si="3"/>
        <v>0</v>
      </c>
      <c r="AB215" s="135"/>
      <c r="AC215" s="135"/>
      <c r="AD215" s="135"/>
    </row>
    <row r="216" spans="27:30" x14ac:dyDescent="0.25">
      <c r="AA216" s="116">
        <f t="shared" si="3"/>
        <v>0</v>
      </c>
      <c r="AB216" s="135"/>
      <c r="AC216" s="135"/>
      <c r="AD216" s="135"/>
    </row>
    <row r="217" spans="27:30" x14ac:dyDescent="0.25">
      <c r="AA217" s="116">
        <f t="shared" si="3"/>
        <v>0</v>
      </c>
      <c r="AB217" s="135"/>
      <c r="AC217" s="135"/>
      <c r="AD217" s="135"/>
    </row>
    <row r="218" spans="27:30" x14ac:dyDescent="0.25">
      <c r="AA218" s="116">
        <f t="shared" si="3"/>
        <v>0</v>
      </c>
      <c r="AB218" s="135"/>
      <c r="AC218" s="135"/>
      <c r="AD218" s="135"/>
    </row>
    <row r="219" spans="27:30" x14ac:dyDescent="0.25">
      <c r="AA219" s="116">
        <f t="shared" si="3"/>
        <v>0</v>
      </c>
      <c r="AB219" s="135"/>
      <c r="AC219" s="135"/>
      <c r="AD219" s="135"/>
    </row>
    <row r="220" spans="27:30" x14ac:dyDescent="0.25">
      <c r="AA220" s="116">
        <f t="shared" si="3"/>
        <v>0</v>
      </c>
      <c r="AB220" s="135"/>
      <c r="AC220" s="135"/>
      <c r="AD220" s="135"/>
    </row>
    <row r="221" spans="27:30" x14ac:dyDescent="0.25">
      <c r="AA221" s="116">
        <f t="shared" si="3"/>
        <v>0</v>
      </c>
      <c r="AB221" s="135"/>
      <c r="AC221" s="135"/>
      <c r="AD221" s="135"/>
    </row>
    <row r="222" spans="27:30" x14ac:dyDescent="0.25">
      <c r="AA222" s="116">
        <f t="shared" si="3"/>
        <v>0</v>
      </c>
      <c r="AB222" s="135"/>
      <c r="AC222" s="135"/>
      <c r="AD222" s="135"/>
    </row>
    <row r="223" spans="27:30" x14ac:dyDescent="0.25">
      <c r="AA223" s="116">
        <f t="shared" si="3"/>
        <v>0</v>
      </c>
      <c r="AB223" s="135"/>
      <c r="AC223" s="135"/>
      <c r="AD223" s="135"/>
    </row>
    <row r="224" spans="27:30" x14ac:dyDescent="0.25">
      <c r="AA224" s="116">
        <f t="shared" si="3"/>
        <v>0</v>
      </c>
      <c r="AB224" s="135"/>
      <c r="AC224" s="135"/>
      <c r="AD224" s="135"/>
    </row>
    <row r="225" spans="27:30" x14ac:dyDescent="0.25">
      <c r="AA225" s="116">
        <f t="shared" si="3"/>
        <v>0</v>
      </c>
      <c r="AB225" s="135"/>
      <c r="AC225" s="135"/>
      <c r="AD225" s="135"/>
    </row>
    <row r="226" spans="27:30" x14ac:dyDescent="0.25">
      <c r="AA226" s="116">
        <f t="shared" si="3"/>
        <v>0</v>
      </c>
      <c r="AB226" s="135"/>
      <c r="AC226" s="135"/>
      <c r="AD226" s="135"/>
    </row>
    <row r="227" spans="27:30" x14ac:dyDescent="0.25">
      <c r="AA227" s="116">
        <f t="shared" si="3"/>
        <v>0</v>
      </c>
      <c r="AB227" s="135"/>
      <c r="AC227" s="135"/>
      <c r="AD227" s="135"/>
    </row>
    <row r="228" spans="27:30" x14ac:dyDescent="0.25">
      <c r="AA228" s="116">
        <f t="shared" si="3"/>
        <v>0</v>
      </c>
      <c r="AB228" s="135"/>
      <c r="AC228" s="135"/>
      <c r="AD228" s="135"/>
    </row>
    <row r="229" spans="27:30" x14ac:dyDescent="0.25">
      <c r="AA229" s="116">
        <f t="shared" si="3"/>
        <v>0</v>
      </c>
      <c r="AB229" s="135"/>
      <c r="AC229" s="135"/>
      <c r="AD229" s="135"/>
    </row>
    <row r="230" spans="27:30" x14ac:dyDescent="0.25">
      <c r="AA230" s="116">
        <f t="shared" si="3"/>
        <v>0</v>
      </c>
      <c r="AB230" s="135"/>
      <c r="AC230" s="135"/>
      <c r="AD230" s="135"/>
    </row>
    <row r="231" spans="27:30" x14ac:dyDescent="0.25">
      <c r="AA231" s="116">
        <f t="shared" si="3"/>
        <v>0</v>
      </c>
      <c r="AB231" s="135"/>
      <c r="AC231" s="135"/>
      <c r="AD231" s="135"/>
    </row>
    <row r="232" spans="27:30" x14ac:dyDescent="0.25">
      <c r="AA232" s="116">
        <f t="shared" si="3"/>
        <v>0</v>
      </c>
      <c r="AB232" s="135"/>
      <c r="AC232" s="135"/>
      <c r="AD232" s="135"/>
    </row>
    <row r="233" spans="27:30" x14ac:dyDescent="0.25">
      <c r="AA233" s="116">
        <f t="shared" si="3"/>
        <v>0</v>
      </c>
      <c r="AB233" s="135"/>
      <c r="AC233" s="135"/>
      <c r="AD233" s="135"/>
    </row>
    <row r="234" spans="27:30" x14ac:dyDescent="0.25">
      <c r="AA234" s="116">
        <f t="shared" si="3"/>
        <v>0</v>
      </c>
      <c r="AB234" s="135"/>
      <c r="AC234" s="135"/>
      <c r="AD234" s="135"/>
    </row>
    <row r="235" spans="27:30" x14ac:dyDescent="0.25">
      <c r="AA235" s="116">
        <f t="shared" si="3"/>
        <v>0</v>
      </c>
      <c r="AB235" s="135"/>
      <c r="AC235" s="135"/>
      <c r="AD235" s="135"/>
    </row>
    <row r="236" spans="27:30" x14ac:dyDescent="0.25">
      <c r="AA236" s="116">
        <f t="shared" si="3"/>
        <v>0</v>
      </c>
      <c r="AB236" s="135"/>
      <c r="AC236" s="135"/>
      <c r="AD236" s="135"/>
    </row>
    <row r="237" spans="27:30" x14ac:dyDescent="0.25">
      <c r="AA237" s="116">
        <f t="shared" si="3"/>
        <v>0</v>
      </c>
      <c r="AB237" s="135"/>
      <c r="AC237" s="135"/>
      <c r="AD237" s="135"/>
    </row>
    <row r="238" spans="27:30" x14ac:dyDescent="0.25">
      <c r="AA238" s="116">
        <f t="shared" si="3"/>
        <v>0</v>
      </c>
      <c r="AB238" s="135"/>
      <c r="AC238" s="135"/>
      <c r="AD238" s="135"/>
    </row>
    <row r="239" spans="27:30" x14ac:dyDescent="0.25">
      <c r="AA239" s="116">
        <f t="shared" si="3"/>
        <v>0</v>
      </c>
      <c r="AB239" s="135"/>
      <c r="AC239" s="135"/>
      <c r="AD239" s="135"/>
    </row>
    <row r="240" spans="27:30" x14ac:dyDescent="0.25">
      <c r="AA240" s="116">
        <f t="shared" si="3"/>
        <v>0</v>
      </c>
      <c r="AB240" s="135"/>
      <c r="AC240" s="135"/>
      <c r="AD240" s="135"/>
    </row>
    <row r="241" spans="27:30" x14ac:dyDescent="0.25">
      <c r="AA241" s="116">
        <f t="shared" si="3"/>
        <v>0</v>
      </c>
      <c r="AB241" s="135"/>
      <c r="AC241" s="135"/>
      <c r="AD241" s="135"/>
    </row>
    <row r="242" spans="27:30" x14ac:dyDescent="0.25">
      <c r="AA242" s="116">
        <f t="shared" si="3"/>
        <v>0</v>
      </c>
      <c r="AB242" s="135"/>
      <c r="AC242" s="135"/>
      <c r="AD242" s="135"/>
    </row>
    <row r="243" spans="27:30" x14ac:dyDescent="0.25">
      <c r="AA243" s="116">
        <f t="shared" si="3"/>
        <v>0</v>
      </c>
      <c r="AB243" s="135"/>
      <c r="AC243" s="135"/>
      <c r="AD243" s="135"/>
    </row>
    <row r="244" spans="27:30" x14ac:dyDescent="0.25">
      <c r="AA244" s="116">
        <f t="shared" si="3"/>
        <v>0</v>
      </c>
      <c r="AB244" s="135"/>
      <c r="AC244" s="135"/>
      <c r="AD244" s="135"/>
    </row>
    <row r="245" spans="27:30" x14ac:dyDescent="0.25">
      <c r="AA245" s="116">
        <f t="shared" si="3"/>
        <v>0</v>
      </c>
      <c r="AB245" s="135"/>
      <c r="AC245" s="135"/>
      <c r="AD245" s="135"/>
    </row>
    <row r="246" spans="27:30" x14ac:dyDescent="0.25">
      <c r="AA246" s="116">
        <f t="shared" si="3"/>
        <v>0</v>
      </c>
      <c r="AB246" s="135"/>
      <c r="AC246" s="135"/>
      <c r="AD246" s="135"/>
    </row>
    <row r="247" spans="27:30" x14ac:dyDescent="0.25">
      <c r="AA247" s="116">
        <f t="shared" si="3"/>
        <v>0</v>
      </c>
      <c r="AB247" s="135"/>
      <c r="AC247" s="135"/>
      <c r="AD247" s="135"/>
    </row>
    <row r="248" spans="27:30" x14ac:dyDescent="0.25">
      <c r="AA248" s="116">
        <f t="shared" si="3"/>
        <v>0</v>
      </c>
      <c r="AB248" s="135"/>
      <c r="AC248" s="135"/>
      <c r="AD248" s="135"/>
    </row>
    <row r="249" spans="27:30" x14ac:dyDescent="0.25">
      <c r="AA249" s="116">
        <f t="shared" si="3"/>
        <v>0</v>
      </c>
      <c r="AB249" s="135"/>
      <c r="AC249" s="135"/>
      <c r="AD249" s="135"/>
    </row>
    <row r="250" spans="27:30" x14ac:dyDescent="0.25">
      <c r="AA250" s="116">
        <f t="shared" si="3"/>
        <v>0</v>
      </c>
      <c r="AB250" s="135"/>
      <c r="AC250" s="135"/>
      <c r="AD250" s="135"/>
    </row>
    <row r="251" spans="27:30" x14ac:dyDescent="0.25">
      <c r="AA251" s="116">
        <f t="shared" si="3"/>
        <v>0</v>
      </c>
      <c r="AB251" s="135"/>
      <c r="AC251" s="135"/>
      <c r="AD251" s="135"/>
    </row>
    <row r="252" spans="27:30" x14ac:dyDescent="0.25">
      <c r="AA252" s="116">
        <f t="shared" si="3"/>
        <v>0</v>
      </c>
      <c r="AB252" s="135"/>
      <c r="AC252" s="135"/>
      <c r="AD252" s="135"/>
    </row>
    <row r="253" spans="27:30" x14ac:dyDescent="0.25">
      <c r="AA253" s="116">
        <f t="shared" si="3"/>
        <v>0</v>
      </c>
      <c r="AB253" s="135"/>
      <c r="AC253" s="135"/>
      <c r="AD253" s="135"/>
    </row>
    <row r="254" spans="27:30" x14ac:dyDescent="0.25">
      <c r="AA254" s="116">
        <f t="shared" si="3"/>
        <v>0</v>
      </c>
      <c r="AB254" s="135"/>
      <c r="AC254" s="135"/>
      <c r="AD254" s="135"/>
    </row>
    <row r="255" spans="27:30" x14ac:dyDescent="0.25">
      <c r="AA255" s="116">
        <f t="shared" si="3"/>
        <v>0</v>
      </c>
      <c r="AB255" s="135"/>
      <c r="AC255" s="135"/>
      <c r="AD255" s="135"/>
    </row>
    <row r="256" spans="27:30" x14ac:dyDescent="0.25">
      <c r="AA256" s="116">
        <f t="shared" si="3"/>
        <v>0</v>
      </c>
      <c r="AB256" s="135"/>
      <c r="AC256" s="135"/>
      <c r="AD256" s="135"/>
    </row>
    <row r="257" spans="27:30" x14ac:dyDescent="0.25">
      <c r="AA257" s="116">
        <f t="shared" si="3"/>
        <v>0</v>
      </c>
      <c r="AB257" s="135"/>
      <c r="AC257" s="135"/>
      <c r="AD257" s="135"/>
    </row>
    <row r="258" spans="27:30" x14ac:dyDescent="0.25">
      <c r="AA258" s="116">
        <f t="shared" ref="AA258:AA321" si="4">SUM(N258:Z258)</f>
        <v>0</v>
      </c>
      <c r="AB258" s="135"/>
      <c r="AC258" s="135"/>
      <c r="AD258" s="135"/>
    </row>
    <row r="259" spans="27:30" x14ac:dyDescent="0.25">
      <c r="AA259" s="116">
        <f t="shared" si="4"/>
        <v>0</v>
      </c>
      <c r="AB259" s="135"/>
      <c r="AC259" s="135"/>
      <c r="AD259" s="135"/>
    </row>
    <row r="260" spans="27:30" x14ac:dyDescent="0.25">
      <c r="AA260" s="116">
        <f t="shared" si="4"/>
        <v>0</v>
      </c>
      <c r="AB260" s="135"/>
      <c r="AC260" s="135"/>
      <c r="AD260" s="135"/>
    </row>
    <row r="261" spans="27:30" x14ac:dyDescent="0.25">
      <c r="AA261" s="116">
        <f t="shared" si="4"/>
        <v>0</v>
      </c>
      <c r="AB261" s="135"/>
      <c r="AC261" s="135"/>
      <c r="AD261" s="135"/>
    </row>
    <row r="262" spans="27:30" x14ac:dyDescent="0.25">
      <c r="AA262" s="116">
        <f t="shared" si="4"/>
        <v>0</v>
      </c>
      <c r="AB262" s="135"/>
      <c r="AC262" s="135"/>
      <c r="AD262" s="135"/>
    </row>
    <row r="263" spans="27:30" x14ac:dyDescent="0.25">
      <c r="AA263" s="116">
        <f t="shared" si="4"/>
        <v>0</v>
      </c>
      <c r="AB263" s="135"/>
      <c r="AC263" s="135"/>
      <c r="AD263" s="135"/>
    </row>
    <row r="264" spans="27:30" x14ac:dyDescent="0.25">
      <c r="AA264" s="116">
        <f t="shared" si="4"/>
        <v>0</v>
      </c>
      <c r="AB264" s="135"/>
      <c r="AC264" s="135"/>
      <c r="AD264" s="135"/>
    </row>
    <row r="265" spans="27:30" x14ac:dyDescent="0.25">
      <c r="AA265" s="116">
        <f t="shared" si="4"/>
        <v>0</v>
      </c>
      <c r="AB265" s="135"/>
      <c r="AC265" s="135"/>
      <c r="AD265" s="135"/>
    </row>
    <row r="266" spans="27:30" x14ac:dyDescent="0.25">
      <c r="AA266" s="116">
        <f t="shared" si="4"/>
        <v>0</v>
      </c>
      <c r="AB266" s="135"/>
      <c r="AC266" s="135"/>
      <c r="AD266" s="135"/>
    </row>
    <row r="267" spans="27:30" x14ac:dyDescent="0.25">
      <c r="AA267" s="116">
        <f t="shared" si="4"/>
        <v>0</v>
      </c>
      <c r="AB267" s="135"/>
      <c r="AC267" s="135"/>
      <c r="AD267" s="135"/>
    </row>
    <row r="268" spans="27:30" x14ac:dyDescent="0.25">
      <c r="AA268" s="116">
        <f t="shared" si="4"/>
        <v>0</v>
      </c>
      <c r="AB268" s="135"/>
      <c r="AC268" s="135"/>
      <c r="AD268" s="135"/>
    </row>
    <row r="269" spans="27:30" x14ac:dyDescent="0.25">
      <c r="AA269" s="116">
        <f t="shared" si="4"/>
        <v>0</v>
      </c>
      <c r="AB269" s="135"/>
      <c r="AC269" s="135"/>
      <c r="AD269" s="135"/>
    </row>
    <row r="270" spans="27:30" x14ac:dyDescent="0.25">
      <c r="AA270" s="116">
        <f t="shared" si="4"/>
        <v>0</v>
      </c>
      <c r="AB270" s="135"/>
      <c r="AC270" s="135"/>
      <c r="AD270" s="135"/>
    </row>
    <row r="271" spans="27:30" x14ac:dyDescent="0.25">
      <c r="AA271" s="116">
        <f t="shared" si="4"/>
        <v>0</v>
      </c>
      <c r="AB271" s="135"/>
      <c r="AC271" s="135"/>
      <c r="AD271" s="135"/>
    </row>
    <row r="272" spans="27:30" x14ac:dyDescent="0.25">
      <c r="AA272" s="116">
        <f t="shared" si="4"/>
        <v>0</v>
      </c>
      <c r="AB272" s="135"/>
      <c r="AC272" s="135"/>
      <c r="AD272" s="135"/>
    </row>
    <row r="273" spans="27:30" x14ac:dyDescent="0.25">
      <c r="AA273" s="116">
        <f t="shared" si="4"/>
        <v>0</v>
      </c>
      <c r="AB273" s="135"/>
      <c r="AC273" s="135"/>
      <c r="AD273" s="135"/>
    </row>
    <row r="274" spans="27:30" x14ac:dyDescent="0.25">
      <c r="AA274" s="116">
        <f t="shared" si="4"/>
        <v>0</v>
      </c>
      <c r="AB274" s="135"/>
      <c r="AC274" s="135"/>
      <c r="AD274" s="135"/>
    </row>
    <row r="275" spans="27:30" x14ac:dyDescent="0.25">
      <c r="AA275" s="116">
        <f t="shared" si="4"/>
        <v>0</v>
      </c>
      <c r="AB275" s="135"/>
      <c r="AC275" s="135"/>
      <c r="AD275" s="135"/>
    </row>
    <row r="276" spans="27:30" x14ac:dyDescent="0.25">
      <c r="AA276" s="116">
        <f t="shared" si="4"/>
        <v>0</v>
      </c>
      <c r="AB276" s="135"/>
      <c r="AC276" s="135"/>
      <c r="AD276" s="135"/>
    </row>
    <row r="277" spans="27:30" x14ac:dyDescent="0.25">
      <c r="AA277" s="116">
        <f t="shared" si="4"/>
        <v>0</v>
      </c>
      <c r="AB277" s="135"/>
      <c r="AC277" s="135"/>
      <c r="AD277" s="135"/>
    </row>
    <row r="278" spans="27:30" x14ac:dyDescent="0.25">
      <c r="AA278" s="116">
        <f t="shared" si="4"/>
        <v>0</v>
      </c>
      <c r="AB278" s="135"/>
      <c r="AC278" s="135"/>
      <c r="AD278" s="135"/>
    </row>
    <row r="279" spans="27:30" x14ac:dyDescent="0.25">
      <c r="AA279" s="116">
        <f t="shared" si="4"/>
        <v>0</v>
      </c>
      <c r="AB279" s="135"/>
      <c r="AC279" s="135"/>
      <c r="AD279" s="135"/>
    </row>
    <row r="280" spans="27:30" x14ac:dyDescent="0.25">
      <c r="AA280" s="116">
        <f t="shared" si="4"/>
        <v>0</v>
      </c>
      <c r="AB280" s="135"/>
      <c r="AC280" s="135"/>
      <c r="AD280" s="135"/>
    </row>
    <row r="281" spans="27:30" x14ac:dyDescent="0.25">
      <c r="AA281" s="116">
        <f t="shared" si="4"/>
        <v>0</v>
      </c>
      <c r="AB281" s="135"/>
      <c r="AC281" s="135"/>
      <c r="AD281" s="135"/>
    </row>
    <row r="282" spans="27:30" x14ac:dyDescent="0.25">
      <c r="AA282" s="116">
        <f t="shared" si="4"/>
        <v>0</v>
      </c>
      <c r="AB282" s="135"/>
      <c r="AC282" s="135"/>
      <c r="AD282" s="135"/>
    </row>
    <row r="283" spans="27:30" x14ac:dyDescent="0.25">
      <c r="AA283" s="116">
        <f t="shared" si="4"/>
        <v>0</v>
      </c>
      <c r="AB283" s="135"/>
      <c r="AC283" s="135"/>
      <c r="AD283" s="135"/>
    </row>
    <row r="284" spans="27:30" x14ac:dyDescent="0.25">
      <c r="AA284" s="116">
        <f t="shared" si="4"/>
        <v>0</v>
      </c>
      <c r="AB284" s="135"/>
      <c r="AC284" s="135"/>
      <c r="AD284" s="135"/>
    </row>
    <row r="285" spans="27:30" x14ac:dyDescent="0.25">
      <c r="AA285" s="116">
        <f t="shared" si="4"/>
        <v>0</v>
      </c>
      <c r="AB285" s="135"/>
      <c r="AC285" s="135"/>
      <c r="AD285" s="135"/>
    </row>
    <row r="286" spans="27:30" x14ac:dyDescent="0.25">
      <c r="AA286" s="116">
        <f t="shared" si="4"/>
        <v>0</v>
      </c>
      <c r="AB286" s="135"/>
      <c r="AC286" s="135"/>
      <c r="AD286" s="135"/>
    </row>
    <row r="287" spans="27:30" x14ac:dyDescent="0.25">
      <c r="AA287" s="116">
        <f t="shared" si="4"/>
        <v>0</v>
      </c>
      <c r="AB287" s="135"/>
      <c r="AC287" s="135"/>
      <c r="AD287" s="135"/>
    </row>
    <row r="288" spans="27:30" x14ac:dyDescent="0.25">
      <c r="AA288" s="116">
        <f t="shared" si="4"/>
        <v>0</v>
      </c>
      <c r="AB288" s="135"/>
      <c r="AC288" s="135"/>
      <c r="AD288" s="135"/>
    </row>
    <row r="289" spans="27:30" x14ac:dyDescent="0.25">
      <c r="AA289" s="116">
        <f t="shared" si="4"/>
        <v>0</v>
      </c>
      <c r="AB289" s="135"/>
      <c r="AC289" s="135"/>
      <c r="AD289" s="135"/>
    </row>
    <row r="290" spans="27:30" x14ac:dyDescent="0.25">
      <c r="AA290" s="116">
        <f t="shared" si="4"/>
        <v>0</v>
      </c>
      <c r="AB290" s="135"/>
      <c r="AC290" s="135"/>
      <c r="AD290" s="135"/>
    </row>
    <row r="291" spans="27:30" x14ac:dyDescent="0.25">
      <c r="AA291" s="116">
        <f t="shared" si="4"/>
        <v>0</v>
      </c>
      <c r="AB291" s="135"/>
      <c r="AC291" s="135"/>
      <c r="AD291" s="135"/>
    </row>
    <row r="292" spans="27:30" x14ac:dyDescent="0.25">
      <c r="AA292" s="116">
        <f t="shared" si="4"/>
        <v>0</v>
      </c>
      <c r="AB292" s="135"/>
      <c r="AC292" s="135"/>
      <c r="AD292" s="135"/>
    </row>
    <row r="293" spans="27:30" x14ac:dyDescent="0.25">
      <c r="AA293" s="116">
        <f t="shared" si="4"/>
        <v>0</v>
      </c>
      <c r="AB293" s="135"/>
      <c r="AC293" s="135"/>
      <c r="AD293" s="135"/>
    </row>
    <row r="294" spans="27:30" x14ac:dyDescent="0.25">
      <c r="AA294" s="116">
        <f t="shared" si="4"/>
        <v>0</v>
      </c>
      <c r="AB294" s="135"/>
      <c r="AC294" s="135"/>
      <c r="AD294" s="135"/>
    </row>
    <row r="295" spans="27:30" x14ac:dyDescent="0.25">
      <c r="AA295" s="116">
        <f t="shared" si="4"/>
        <v>0</v>
      </c>
      <c r="AB295" s="135"/>
      <c r="AC295" s="135"/>
      <c r="AD295" s="135"/>
    </row>
    <row r="296" spans="27:30" x14ac:dyDescent="0.25">
      <c r="AA296" s="116">
        <f t="shared" si="4"/>
        <v>0</v>
      </c>
      <c r="AB296" s="135"/>
      <c r="AC296" s="135"/>
      <c r="AD296" s="135"/>
    </row>
    <row r="297" spans="27:30" x14ac:dyDescent="0.25">
      <c r="AA297" s="116">
        <f t="shared" si="4"/>
        <v>0</v>
      </c>
      <c r="AB297" s="135"/>
      <c r="AC297" s="135"/>
      <c r="AD297" s="135"/>
    </row>
    <row r="298" spans="27:30" x14ac:dyDescent="0.25">
      <c r="AA298" s="116">
        <f t="shared" si="4"/>
        <v>0</v>
      </c>
      <c r="AB298" s="135"/>
      <c r="AC298" s="135"/>
      <c r="AD298" s="135"/>
    </row>
    <row r="299" spans="27:30" x14ac:dyDescent="0.25">
      <c r="AA299" s="116">
        <f t="shared" si="4"/>
        <v>0</v>
      </c>
      <c r="AB299" s="135"/>
      <c r="AC299" s="135"/>
      <c r="AD299" s="135"/>
    </row>
    <row r="300" spans="27:30" x14ac:dyDescent="0.25">
      <c r="AA300" s="116">
        <f t="shared" si="4"/>
        <v>0</v>
      </c>
      <c r="AB300" s="135"/>
      <c r="AC300" s="135"/>
      <c r="AD300" s="135"/>
    </row>
    <row r="301" spans="27:30" x14ac:dyDescent="0.25">
      <c r="AA301" s="116">
        <f t="shared" si="4"/>
        <v>0</v>
      </c>
      <c r="AB301" s="135"/>
      <c r="AC301" s="135"/>
      <c r="AD301" s="135"/>
    </row>
    <row r="302" spans="27:30" x14ac:dyDescent="0.25">
      <c r="AA302" s="116">
        <f t="shared" si="4"/>
        <v>0</v>
      </c>
      <c r="AB302" s="135"/>
      <c r="AC302" s="135"/>
      <c r="AD302" s="135"/>
    </row>
    <row r="303" spans="27:30" x14ac:dyDescent="0.25">
      <c r="AA303" s="116">
        <f t="shared" si="4"/>
        <v>0</v>
      </c>
      <c r="AB303" s="135"/>
      <c r="AC303" s="135"/>
      <c r="AD303" s="135"/>
    </row>
    <row r="304" spans="27:30" x14ac:dyDescent="0.25">
      <c r="AA304" s="116">
        <f t="shared" si="4"/>
        <v>0</v>
      </c>
      <c r="AB304" s="135"/>
      <c r="AC304" s="135"/>
      <c r="AD304" s="135"/>
    </row>
    <row r="305" spans="27:30" x14ac:dyDescent="0.25">
      <c r="AA305" s="116">
        <f t="shared" si="4"/>
        <v>0</v>
      </c>
      <c r="AB305" s="135"/>
      <c r="AC305" s="135"/>
      <c r="AD305" s="135"/>
    </row>
    <row r="306" spans="27:30" x14ac:dyDescent="0.25">
      <c r="AA306" s="116">
        <f t="shared" si="4"/>
        <v>0</v>
      </c>
      <c r="AB306" s="135"/>
      <c r="AC306" s="135"/>
      <c r="AD306" s="135"/>
    </row>
    <row r="307" spans="27:30" x14ac:dyDescent="0.25">
      <c r="AA307" s="116">
        <f t="shared" si="4"/>
        <v>0</v>
      </c>
      <c r="AB307" s="135"/>
      <c r="AC307" s="135"/>
      <c r="AD307" s="135"/>
    </row>
    <row r="308" spans="27:30" x14ac:dyDescent="0.25">
      <c r="AA308" s="116">
        <f t="shared" si="4"/>
        <v>0</v>
      </c>
      <c r="AB308" s="135"/>
      <c r="AC308" s="135"/>
      <c r="AD308" s="135"/>
    </row>
    <row r="309" spans="27:30" x14ac:dyDescent="0.25">
      <c r="AA309" s="116">
        <f t="shared" si="4"/>
        <v>0</v>
      </c>
      <c r="AB309" s="135"/>
      <c r="AC309" s="135"/>
      <c r="AD309" s="135"/>
    </row>
    <row r="310" spans="27:30" x14ac:dyDescent="0.25">
      <c r="AA310" s="116">
        <f t="shared" si="4"/>
        <v>0</v>
      </c>
      <c r="AB310" s="135"/>
      <c r="AC310" s="135"/>
      <c r="AD310" s="135"/>
    </row>
    <row r="311" spans="27:30" x14ac:dyDescent="0.25">
      <c r="AA311" s="116">
        <f t="shared" si="4"/>
        <v>0</v>
      </c>
      <c r="AB311" s="135"/>
      <c r="AC311" s="135"/>
      <c r="AD311" s="135"/>
    </row>
    <row r="312" spans="27:30" x14ac:dyDescent="0.25">
      <c r="AA312" s="116">
        <f t="shared" si="4"/>
        <v>0</v>
      </c>
      <c r="AB312" s="135"/>
      <c r="AC312" s="135"/>
      <c r="AD312" s="135"/>
    </row>
    <row r="313" spans="27:30" x14ac:dyDescent="0.25">
      <c r="AA313" s="116">
        <f t="shared" si="4"/>
        <v>0</v>
      </c>
      <c r="AB313" s="135"/>
      <c r="AC313" s="135"/>
      <c r="AD313" s="135"/>
    </row>
    <row r="314" spans="27:30" x14ac:dyDescent="0.25">
      <c r="AA314" s="116">
        <f t="shared" si="4"/>
        <v>0</v>
      </c>
      <c r="AB314" s="135"/>
      <c r="AC314" s="135"/>
      <c r="AD314" s="135"/>
    </row>
    <row r="315" spans="27:30" x14ac:dyDescent="0.25">
      <c r="AA315" s="116">
        <f t="shared" si="4"/>
        <v>0</v>
      </c>
      <c r="AB315" s="135"/>
      <c r="AC315" s="135"/>
      <c r="AD315" s="135"/>
    </row>
    <row r="316" spans="27:30" x14ac:dyDescent="0.25">
      <c r="AA316" s="116">
        <f t="shared" si="4"/>
        <v>0</v>
      </c>
      <c r="AB316" s="135"/>
      <c r="AC316" s="135"/>
      <c r="AD316" s="135"/>
    </row>
    <row r="317" spans="27:30" x14ac:dyDescent="0.25">
      <c r="AA317" s="116">
        <f t="shared" si="4"/>
        <v>0</v>
      </c>
      <c r="AB317" s="135"/>
      <c r="AC317" s="135"/>
      <c r="AD317" s="135"/>
    </row>
    <row r="318" spans="27:30" x14ac:dyDescent="0.25">
      <c r="AA318" s="116">
        <f t="shared" si="4"/>
        <v>0</v>
      </c>
      <c r="AB318" s="135"/>
      <c r="AC318" s="135"/>
      <c r="AD318" s="135"/>
    </row>
    <row r="319" spans="27:30" x14ac:dyDescent="0.25">
      <c r="AA319" s="116">
        <f t="shared" si="4"/>
        <v>0</v>
      </c>
      <c r="AB319" s="135"/>
      <c r="AC319" s="135"/>
      <c r="AD319" s="135"/>
    </row>
    <row r="320" spans="27:30" x14ac:dyDescent="0.25">
      <c r="AA320" s="116">
        <f t="shared" si="4"/>
        <v>0</v>
      </c>
      <c r="AB320" s="135"/>
      <c r="AC320" s="135"/>
      <c r="AD320" s="135"/>
    </row>
    <row r="321" spans="27:30" x14ac:dyDescent="0.25">
      <c r="AA321" s="116">
        <f t="shared" si="4"/>
        <v>0</v>
      </c>
      <c r="AB321" s="135"/>
      <c r="AC321" s="135"/>
      <c r="AD321" s="135"/>
    </row>
    <row r="322" spans="27:30" x14ac:dyDescent="0.25">
      <c r="AA322" s="116">
        <f t="shared" ref="AA322:AA385" si="5">SUM(N322:Z322)</f>
        <v>0</v>
      </c>
      <c r="AB322" s="135"/>
      <c r="AC322" s="135"/>
      <c r="AD322" s="135"/>
    </row>
    <row r="323" spans="27:30" x14ac:dyDescent="0.25">
      <c r="AA323" s="116">
        <f t="shared" si="5"/>
        <v>0</v>
      </c>
      <c r="AB323" s="135"/>
      <c r="AC323" s="135"/>
      <c r="AD323" s="135"/>
    </row>
    <row r="324" spans="27:30" x14ac:dyDescent="0.25">
      <c r="AA324" s="116">
        <f t="shared" si="5"/>
        <v>0</v>
      </c>
      <c r="AB324" s="135"/>
      <c r="AC324" s="135"/>
      <c r="AD324" s="135"/>
    </row>
    <row r="325" spans="27:30" x14ac:dyDescent="0.25">
      <c r="AA325" s="116">
        <f t="shared" si="5"/>
        <v>0</v>
      </c>
      <c r="AB325" s="135"/>
      <c r="AC325" s="135"/>
      <c r="AD325" s="135"/>
    </row>
    <row r="326" spans="27:30" x14ac:dyDescent="0.25">
      <c r="AA326" s="116">
        <f t="shared" si="5"/>
        <v>0</v>
      </c>
      <c r="AB326" s="135"/>
      <c r="AC326" s="135"/>
      <c r="AD326" s="135"/>
    </row>
    <row r="327" spans="27:30" x14ac:dyDescent="0.25">
      <c r="AA327" s="116">
        <f t="shared" si="5"/>
        <v>0</v>
      </c>
      <c r="AB327" s="135"/>
      <c r="AC327" s="135"/>
      <c r="AD327" s="135"/>
    </row>
    <row r="328" spans="27:30" x14ac:dyDescent="0.25">
      <c r="AA328" s="116">
        <f t="shared" si="5"/>
        <v>0</v>
      </c>
      <c r="AB328" s="135"/>
      <c r="AC328" s="135"/>
      <c r="AD328" s="135"/>
    </row>
    <row r="329" spans="27:30" x14ac:dyDescent="0.25">
      <c r="AA329" s="116">
        <f t="shared" si="5"/>
        <v>0</v>
      </c>
      <c r="AB329" s="135"/>
      <c r="AC329" s="135"/>
      <c r="AD329" s="135"/>
    </row>
    <row r="330" spans="27:30" x14ac:dyDescent="0.25">
      <c r="AA330" s="116">
        <f t="shared" si="5"/>
        <v>0</v>
      </c>
      <c r="AB330" s="135"/>
      <c r="AC330" s="135"/>
      <c r="AD330" s="135"/>
    </row>
    <row r="331" spans="27:30" x14ac:dyDescent="0.25">
      <c r="AA331" s="116">
        <f t="shared" si="5"/>
        <v>0</v>
      </c>
      <c r="AB331" s="135"/>
      <c r="AC331" s="135"/>
      <c r="AD331" s="135"/>
    </row>
    <row r="332" spans="27:30" x14ac:dyDescent="0.25">
      <c r="AA332" s="116">
        <f t="shared" si="5"/>
        <v>0</v>
      </c>
      <c r="AB332" s="135"/>
      <c r="AC332" s="135"/>
      <c r="AD332" s="135"/>
    </row>
    <row r="333" spans="27:30" x14ac:dyDescent="0.25">
      <c r="AA333" s="116">
        <f t="shared" si="5"/>
        <v>0</v>
      </c>
      <c r="AB333" s="135"/>
      <c r="AC333" s="135"/>
      <c r="AD333" s="135"/>
    </row>
    <row r="334" spans="27:30" x14ac:dyDescent="0.25">
      <c r="AA334" s="116">
        <f t="shared" si="5"/>
        <v>0</v>
      </c>
      <c r="AB334" s="135"/>
      <c r="AC334" s="135"/>
      <c r="AD334" s="135"/>
    </row>
    <row r="335" spans="27:30" x14ac:dyDescent="0.25">
      <c r="AA335" s="116">
        <f t="shared" si="5"/>
        <v>0</v>
      </c>
      <c r="AB335" s="135"/>
      <c r="AC335" s="135"/>
      <c r="AD335" s="135"/>
    </row>
    <row r="336" spans="27:30" x14ac:dyDescent="0.25">
      <c r="AA336" s="116">
        <f t="shared" si="5"/>
        <v>0</v>
      </c>
      <c r="AB336" s="135"/>
      <c r="AC336" s="135"/>
      <c r="AD336" s="135"/>
    </row>
    <row r="337" spans="27:30" x14ac:dyDescent="0.25">
      <c r="AA337" s="116">
        <f t="shared" si="5"/>
        <v>0</v>
      </c>
      <c r="AB337" s="135"/>
      <c r="AC337" s="135"/>
      <c r="AD337" s="135"/>
    </row>
    <row r="338" spans="27:30" x14ac:dyDescent="0.25">
      <c r="AA338" s="116">
        <f t="shared" si="5"/>
        <v>0</v>
      </c>
      <c r="AB338" s="135"/>
      <c r="AC338" s="135"/>
      <c r="AD338" s="135"/>
    </row>
    <row r="339" spans="27:30" x14ac:dyDescent="0.25">
      <c r="AA339" s="116">
        <f t="shared" si="5"/>
        <v>0</v>
      </c>
      <c r="AB339" s="135"/>
      <c r="AC339" s="135"/>
      <c r="AD339" s="135"/>
    </row>
    <row r="340" spans="27:30" x14ac:dyDescent="0.25">
      <c r="AA340" s="116">
        <f t="shared" si="5"/>
        <v>0</v>
      </c>
      <c r="AB340" s="135"/>
      <c r="AC340" s="135"/>
      <c r="AD340" s="135"/>
    </row>
    <row r="341" spans="27:30" x14ac:dyDescent="0.25">
      <c r="AA341" s="116">
        <f t="shared" si="5"/>
        <v>0</v>
      </c>
      <c r="AB341" s="135"/>
      <c r="AC341" s="135"/>
      <c r="AD341" s="135"/>
    </row>
    <row r="342" spans="27:30" x14ac:dyDescent="0.25">
      <c r="AA342" s="116">
        <f t="shared" si="5"/>
        <v>0</v>
      </c>
      <c r="AB342" s="135"/>
      <c r="AC342" s="135"/>
      <c r="AD342" s="135"/>
    </row>
    <row r="343" spans="27:30" x14ac:dyDescent="0.25">
      <c r="AA343" s="116">
        <f t="shared" si="5"/>
        <v>0</v>
      </c>
      <c r="AB343" s="135"/>
      <c r="AC343" s="135"/>
      <c r="AD343" s="135"/>
    </row>
    <row r="344" spans="27:30" x14ac:dyDescent="0.25">
      <c r="AA344" s="116">
        <f t="shared" si="5"/>
        <v>0</v>
      </c>
      <c r="AB344" s="135"/>
      <c r="AC344" s="135"/>
      <c r="AD344" s="135"/>
    </row>
    <row r="345" spans="27:30" x14ac:dyDescent="0.25">
      <c r="AA345" s="116">
        <f t="shared" si="5"/>
        <v>0</v>
      </c>
      <c r="AB345" s="135"/>
      <c r="AC345" s="135"/>
      <c r="AD345" s="135"/>
    </row>
    <row r="346" spans="27:30" x14ac:dyDescent="0.25">
      <c r="AA346" s="116">
        <f t="shared" si="5"/>
        <v>0</v>
      </c>
      <c r="AB346" s="135"/>
      <c r="AC346" s="135"/>
      <c r="AD346" s="135"/>
    </row>
    <row r="347" spans="27:30" x14ac:dyDescent="0.25">
      <c r="AA347" s="116">
        <f t="shared" si="5"/>
        <v>0</v>
      </c>
      <c r="AB347" s="135"/>
      <c r="AC347" s="135"/>
      <c r="AD347" s="135"/>
    </row>
    <row r="348" spans="27:30" x14ac:dyDescent="0.25">
      <c r="AA348" s="116">
        <f t="shared" si="5"/>
        <v>0</v>
      </c>
      <c r="AB348" s="135"/>
      <c r="AC348" s="135"/>
      <c r="AD348" s="135"/>
    </row>
    <row r="349" spans="27:30" x14ac:dyDescent="0.25">
      <c r="AA349" s="116">
        <f t="shared" si="5"/>
        <v>0</v>
      </c>
      <c r="AB349" s="135"/>
      <c r="AC349" s="135"/>
      <c r="AD349" s="135"/>
    </row>
    <row r="350" spans="27:30" x14ac:dyDescent="0.25">
      <c r="AA350" s="116">
        <f t="shared" si="5"/>
        <v>0</v>
      </c>
      <c r="AB350" s="135"/>
      <c r="AC350" s="135"/>
      <c r="AD350" s="135"/>
    </row>
    <row r="351" spans="27:30" x14ac:dyDescent="0.25">
      <c r="AA351" s="116">
        <f t="shared" si="5"/>
        <v>0</v>
      </c>
      <c r="AB351" s="135"/>
      <c r="AC351" s="135"/>
      <c r="AD351" s="135"/>
    </row>
    <row r="352" spans="27:30" x14ac:dyDescent="0.25">
      <c r="AA352" s="116">
        <f t="shared" si="5"/>
        <v>0</v>
      </c>
      <c r="AB352" s="135"/>
      <c r="AC352" s="135"/>
      <c r="AD352" s="135"/>
    </row>
    <row r="353" spans="27:30" x14ac:dyDescent="0.25">
      <c r="AA353" s="116">
        <f t="shared" si="5"/>
        <v>0</v>
      </c>
      <c r="AB353" s="135"/>
      <c r="AC353" s="135"/>
      <c r="AD353" s="135"/>
    </row>
    <row r="354" spans="27:30" x14ac:dyDescent="0.25">
      <c r="AA354" s="116">
        <f t="shared" si="5"/>
        <v>0</v>
      </c>
      <c r="AB354" s="135"/>
      <c r="AC354" s="135"/>
      <c r="AD354" s="135"/>
    </row>
    <row r="355" spans="27:30" x14ac:dyDescent="0.25">
      <c r="AA355" s="116">
        <f t="shared" si="5"/>
        <v>0</v>
      </c>
      <c r="AB355" s="135"/>
      <c r="AC355" s="135"/>
      <c r="AD355" s="135"/>
    </row>
    <row r="356" spans="27:30" x14ac:dyDescent="0.25">
      <c r="AA356" s="116">
        <f t="shared" si="5"/>
        <v>0</v>
      </c>
      <c r="AB356" s="135"/>
      <c r="AC356" s="135"/>
      <c r="AD356" s="135"/>
    </row>
    <row r="357" spans="27:30" x14ac:dyDescent="0.25">
      <c r="AA357" s="116">
        <f t="shared" si="5"/>
        <v>0</v>
      </c>
      <c r="AB357" s="135"/>
      <c r="AC357" s="135"/>
      <c r="AD357" s="135"/>
    </row>
    <row r="358" spans="27:30" x14ac:dyDescent="0.25">
      <c r="AA358" s="116">
        <f t="shared" si="5"/>
        <v>0</v>
      </c>
      <c r="AB358" s="135"/>
      <c r="AC358" s="135"/>
      <c r="AD358" s="135"/>
    </row>
    <row r="359" spans="27:30" x14ac:dyDescent="0.25">
      <c r="AA359" s="116">
        <f t="shared" si="5"/>
        <v>0</v>
      </c>
      <c r="AB359" s="135"/>
      <c r="AC359" s="135"/>
      <c r="AD359" s="135"/>
    </row>
    <row r="360" spans="27:30" x14ac:dyDescent="0.25">
      <c r="AA360" s="116">
        <f t="shared" si="5"/>
        <v>0</v>
      </c>
      <c r="AB360" s="135"/>
      <c r="AC360" s="135"/>
      <c r="AD360" s="135"/>
    </row>
    <row r="361" spans="27:30" x14ac:dyDescent="0.25">
      <c r="AA361" s="116">
        <f t="shared" si="5"/>
        <v>0</v>
      </c>
      <c r="AB361" s="135"/>
      <c r="AC361" s="135"/>
      <c r="AD361" s="135"/>
    </row>
    <row r="362" spans="27:30" x14ac:dyDescent="0.25">
      <c r="AA362" s="116">
        <f t="shared" si="5"/>
        <v>0</v>
      </c>
      <c r="AB362" s="135"/>
      <c r="AC362" s="135"/>
      <c r="AD362" s="135"/>
    </row>
    <row r="363" spans="27:30" x14ac:dyDescent="0.25">
      <c r="AA363" s="116">
        <f t="shared" si="5"/>
        <v>0</v>
      </c>
      <c r="AB363" s="135"/>
      <c r="AC363" s="135"/>
      <c r="AD363" s="135"/>
    </row>
    <row r="364" spans="27:30" x14ac:dyDescent="0.25">
      <c r="AA364" s="116">
        <f t="shared" si="5"/>
        <v>0</v>
      </c>
      <c r="AB364" s="135"/>
      <c r="AC364" s="135"/>
      <c r="AD364" s="135"/>
    </row>
    <row r="365" spans="27:30" x14ac:dyDescent="0.25">
      <c r="AA365" s="116">
        <f t="shared" si="5"/>
        <v>0</v>
      </c>
      <c r="AB365" s="135"/>
      <c r="AC365" s="135"/>
      <c r="AD365" s="135"/>
    </row>
    <row r="366" spans="27:30" x14ac:dyDescent="0.25">
      <c r="AA366" s="116">
        <f t="shared" si="5"/>
        <v>0</v>
      </c>
      <c r="AB366" s="135"/>
      <c r="AC366" s="135"/>
      <c r="AD366" s="135"/>
    </row>
    <row r="367" spans="27:30" x14ac:dyDescent="0.25">
      <c r="AA367" s="116">
        <f t="shared" si="5"/>
        <v>0</v>
      </c>
      <c r="AB367" s="135"/>
      <c r="AC367" s="135"/>
      <c r="AD367" s="135"/>
    </row>
    <row r="368" spans="27:30" x14ac:dyDescent="0.25">
      <c r="AA368" s="116">
        <f t="shared" si="5"/>
        <v>0</v>
      </c>
      <c r="AB368" s="135"/>
      <c r="AC368" s="135"/>
      <c r="AD368" s="135"/>
    </row>
    <row r="369" spans="27:30" x14ac:dyDescent="0.25">
      <c r="AA369" s="116">
        <f t="shared" si="5"/>
        <v>0</v>
      </c>
      <c r="AB369" s="135"/>
      <c r="AC369" s="135"/>
      <c r="AD369" s="135"/>
    </row>
    <row r="370" spans="27:30" x14ac:dyDescent="0.25">
      <c r="AA370" s="116">
        <f t="shared" si="5"/>
        <v>0</v>
      </c>
      <c r="AB370" s="135"/>
      <c r="AC370" s="135"/>
      <c r="AD370" s="135"/>
    </row>
    <row r="371" spans="27:30" x14ac:dyDescent="0.25">
      <c r="AA371" s="116">
        <f t="shared" si="5"/>
        <v>0</v>
      </c>
      <c r="AB371" s="135"/>
      <c r="AC371" s="135"/>
      <c r="AD371" s="135"/>
    </row>
    <row r="372" spans="27:30" x14ac:dyDescent="0.25">
      <c r="AA372" s="116">
        <f t="shared" si="5"/>
        <v>0</v>
      </c>
      <c r="AB372" s="135"/>
      <c r="AC372" s="135"/>
      <c r="AD372" s="135"/>
    </row>
    <row r="373" spans="27:30" x14ac:dyDescent="0.25">
      <c r="AA373" s="116">
        <f t="shared" si="5"/>
        <v>0</v>
      </c>
      <c r="AB373" s="135"/>
      <c r="AC373" s="135"/>
      <c r="AD373" s="135"/>
    </row>
    <row r="374" spans="27:30" x14ac:dyDescent="0.25">
      <c r="AA374" s="116">
        <f t="shared" si="5"/>
        <v>0</v>
      </c>
      <c r="AB374" s="135"/>
      <c r="AC374" s="135"/>
      <c r="AD374" s="135"/>
    </row>
    <row r="375" spans="27:30" x14ac:dyDescent="0.25">
      <c r="AA375" s="116">
        <f t="shared" si="5"/>
        <v>0</v>
      </c>
      <c r="AB375" s="135"/>
      <c r="AC375" s="135"/>
      <c r="AD375" s="135"/>
    </row>
    <row r="376" spans="27:30" x14ac:dyDescent="0.25">
      <c r="AA376" s="116">
        <f t="shared" si="5"/>
        <v>0</v>
      </c>
      <c r="AB376" s="135"/>
      <c r="AC376" s="135"/>
      <c r="AD376" s="135"/>
    </row>
    <row r="377" spans="27:30" x14ac:dyDescent="0.25">
      <c r="AA377" s="116">
        <f t="shared" si="5"/>
        <v>0</v>
      </c>
      <c r="AB377" s="135"/>
      <c r="AC377" s="135"/>
      <c r="AD377" s="135"/>
    </row>
    <row r="378" spans="27:30" x14ac:dyDescent="0.25">
      <c r="AA378" s="116">
        <f t="shared" si="5"/>
        <v>0</v>
      </c>
      <c r="AB378" s="135"/>
      <c r="AC378" s="135"/>
      <c r="AD378" s="135"/>
    </row>
    <row r="379" spans="27:30" x14ac:dyDescent="0.25">
      <c r="AA379" s="116">
        <f t="shared" si="5"/>
        <v>0</v>
      </c>
      <c r="AB379" s="135"/>
      <c r="AC379" s="135"/>
      <c r="AD379" s="135"/>
    </row>
    <row r="380" spans="27:30" x14ac:dyDescent="0.25">
      <c r="AA380" s="116">
        <f t="shared" si="5"/>
        <v>0</v>
      </c>
      <c r="AB380" s="135"/>
      <c r="AC380" s="135"/>
      <c r="AD380" s="135"/>
    </row>
    <row r="381" spans="27:30" x14ac:dyDescent="0.25">
      <c r="AA381" s="116">
        <f t="shared" si="5"/>
        <v>0</v>
      </c>
      <c r="AB381" s="135"/>
      <c r="AC381" s="135"/>
      <c r="AD381" s="135"/>
    </row>
    <row r="382" spans="27:30" x14ac:dyDescent="0.25">
      <c r="AA382" s="116">
        <f t="shared" si="5"/>
        <v>0</v>
      </c>
      <c r="AB382" s="135"/>
      <c r="AC382" s="135"/>
      <c r="AD382" s="135"/>
    </row>
    <row r="383" spans="27:30" x14ac:dyDescent="0.25">
      <c r="AA383" s="116">
        <f t="shared" si="5"/>
        <v>0</v>
      </c>
      <c r="AB383" s="135"/>
      <c r="AC383" s="135"/>
      <c r="AD383" s="135"/>
    </row>
    <row r="384" spans="27:30" x14ac:dyDescent="0.25">
      <c r="AA384" s="116">
        <f t="shared" si="5"/>
        <v>0</v>
      </c>
      <c r="AB384" s="135"/>
      <c r="AC384" s="135"/>
      <c r="AD384" s="135"/>
    </row>
    <row r="385" spans="27:30" x14ac:dyDescent="0.25">
      <c r="AA385" s="116">
        <f t="shared" si="5"/>
        <v>0</v>
      </c>
      <c r="AB385" s="135"/>
      <c r="AC385" s="135"/>
      <c r="AD385" s="135"/>
    </row>
    <row r="386" spans="27:30" x14ac:dyDescent="0.25">
      <c r="AA386" s="116">
        <f t="shared" ref="AA386:AA449" si="6">SUM(N386:Z386)</f>
        <v>0</v>
      </c>
      <c r="AB386" s="135"/>
      <c r="AC386" s="135"/>
      <c r="AD386" s="135"/>
    </row>
    <row r="387" spans="27:30" x14ac:dyDescent="0.25">
      <c r="AA387" s="116">
        <f t="shared" si="6"/>
        <v>0</v>
      </c>
      <c r="AB387" s="135"/>
      <c r="AC387" s="135"/>
      <c r="AD387" s="135"/>
    </row>
    <row r="388" spans="27:30" x14ac:dyDescent="0.25">
      <c r="AA388" s="116">
        <f t="shared" si="6"/>
        <v>0</v>
      </c>
      <c r="AB388" s="135"/>
      <c r="AC388" s="135"/>
      <c r="AD388" s="135"/>
    </row>
    <row r="389" spans="27:30" x14ac:dyDescent="0.25">
      <c r="AA389" s="116">
        <f t="shared" si="6"/>
        <v>0</v>
      </c>
      <c r="AB389" s="135"/>
      <c r="AC389" s="135"/>
      <c r="AD389" s="135"/>
    </row>
    <row r="390" spans="27:30" x14ac:dyDescent="0.25">
      <c r="AA390" s="116">
        <f t="shared" si="6"/>
        <v>0</v>
      </c>
      <c r="AB390" s="135"/>
      <c r="AC390" s="135"/>
      <c r="AD390" s="135"/>
    </row>
    <row r="391" spans="27:30" x14ac:dyDescent="0.25">
      <c r="AA391" s="116">
        <f t="shared" si="6"/>
        <v>0</v>
      </c>
      <c r="AB391" s="135"/>
      <c r="AC391" s="135"/>
      <c r="AD391" s="135"/>
    </row>
    <row r="392" spans="27:30" x14ac:dyDescent="0.25">
      <c r="AA392" s="116">
        <f t="shared" si="6"/>
        <v>0</v>
      </c>
      <c r="AB392" s="135"/>
      <c r="AC392" s="135"/>
      <c r="AD392" s="135"/>
    </row>
    <row r="393" spans="27:30" x14ac:dyDescent="0.25">
      <c r="AA393" s="116">
        <f t="shared" si="6"/>
        <v>0</v>
      </c>
      <c r="AB393" s="135"/>
      <c r="AC393" s="135"/>
      <c r="AD393" s="135"/>
    </row>
    <row r="394" spans="27:30" x14ac:dyDescent="0.25">
      <c r="AA394" s="116">
        <f t="shared" si="6"/>
        <v>0</v>
      </c>
      <c r="AB394" s="135"/>
      <c r="AC394" s="135"/>
      <c r="AD394" s="135"/>
    </row>
    <row r="395" spans="27:30" x14ac:dyDescent="0.25">
      <c r="AA395" s="116">
        <f t="shared" si="6"/>
        <v>0</v>
      </c>
      <c r="AB395" s="135"/>
      <c r="AC395" s="135"/>
      <c r="AD395" s="135"/>
    </row>
    <row r="396" spans="27:30" x14ac:dyDescent="0.25">
      <c r="AA396" s="116">
        <f t="shared" si="6"/>
        <v>0</v>
      </c>
      <c r="AB396" s="135"/>
      <c r="AC396" s="135"/>
      <c r="AD396" s="135"/>
    </row>
    <row r="397" spans="27:30" x14ac:dyDescent="0.25">
      <c r="AA397" s="116">
        <f t="shared" si="6"/>
        <v>0</v>
      </c>
      <c r="AB397" s="135"/>
      <c r="AC397" s="135"/>
      <c r="AD397" s="135"/>
    </row>
    <row r="398" spans="27:30" x14ac:dyDescent="0.25">
      <c r="AA398" s="116">
        <f t="shared" si="6"/>
        <v>0</v>
      </c>
      <c r="AB398" s="135"/>
      <c r="AC398" s="135"/>
      <c r="AD398" s="135"/>
    </row>
    <row r="399" spans="27:30" x14ac:dyDescent="0.25">
      <c r="AA399" s="116">
        <f t="shared" si="6"/>
        <v>0</v>
      </c>
      <c r="AB399" s="135"/>
      <c r="AC399" s="135"/>
      <c r="AD399" s="135"/>
    </row>
    <row r="400" spans="27:30" x14ac:dyDescent="0.25">
      <c r="AA400" s="116">
        <f t="shared" si="6"/>
        <v>0</v>
      </c>
      <c r="AB400" s="135"/>
      <c r="AC400" s="135"/>
      <c r="AD400" s="135"/>
    </row>
    <row r="401" spans="27:30" x14ac:dyDescent="0.25">
      <c r="AA401" s="116">
        <f t="shared" si="6"/>
        <v>0</v>
      </c>
      <c r="AB401" s="135"/>
      <c r="AC401" s="135"/>
      <c r="AD401" s="135"/>
    </row>
    <row r="402" spans="27:30" x14ac:dyDescent="0.25">
      <c r="AA402" s="116">
        <f t="shared" si="6"/>
        <v>0</v>
      </c>
      <c r="AB402" s="135"/>
      <c r="AC402" s="135"/>
      <c r="AD402" s="135"/>
    </row>
    <row r="403" spans="27:30" x14ac:dyDescent="0.25">
      <c r="AA403" s="116">
        <f t="shared" si="6"/>
        <v>0</v>
      </c>
      <c r="AB403" s="135"/>
      <c r="AC403" s="135"/>
      <c r="AD403" s="135"/>
    </row>
    <row r="404" spans="27:30" x14ac:dyDescent="0.25">
      <c r="AA404" s="116">
        <f t="shared" si="6"/>
        <v>0</v>
      </c>
      <c r="AB404" s="135"/>
      <c r="AC404" s="135"/>
      <c r="AD404" s="135"/>
    </row>
    <row r="405" spans="27:30" x14ac:dyDescent="0.25">
      <c r="AA405" s="116">
        <f t="shared" si="6"/>
        <v>0</v>
      </c>
      <c r="AB405" s="135"/>
      <c r="AC405" s="135"/>
      <c r="AD405" s="135"/>
    </row>
    <row r="406" spans="27:30" x14ac:dyDescent="0.25">
      <c r="AA406" s="116">
        <f t="shared" si="6"/>
        <v>0</v>
      </c>
      <c r="AB406" s="135"/>
      <c r="AC406" s="135"/>
      <c r="AD406" s="135"/>
    </row>
    <row r="407" spans="27:30" x14ac:dyDescent="0.25">
      <c r="AA407" s="116">
        <f t="shared" si="6"/>
        <v>0</v>
      </c>
      <c r="AB407" s="135"/>
      <c r="AC407" s="135"/>
      <c r="AD407" s="135"/>
    </row>
    <row r="408" spans="27:30" x14ac:dyDescent="0.25">
      <c r="AA408" s="116">
        <f t="shared" si="6"/>
        <v>0</v>
      </c>
      <c r="AB408" s="135"/>
      <c r="AC408" s="135"/>
      <c r="AD408" s="135"/>
    </row>
    <row r="409" spans="27:30" x14ac:dyDescent="0.25">
      <c r="AA409" s="116">
        <f t="shared" si="6"/>
        <v>0</v>
      </c>
      <c r="AB409" s="135"/>
      <c r="AC409" s="135"/>
      <c r="AD409" s="135"/>
    </row>
    <row r="410" spans="27:30" x14ac:dyDescent="0.25">
      <c r="AA410" s="116">
        <f t="shared" si="6"/>
        <v>0</v>
      </c>
      <c r="AB410" s="135"/>
      <c r="AC410" s="135"/>
      <c r="AD410" s="135"/>
    </row>
    <row r="411" spans="27:30" x14ac:dyDescent="0.25">
      <c r="AA411" s="116">
        <f t="shared" si="6"/>
        <v>0</v>
      </c>
      <c r="AB411" s="135"/>
      <c r="AC411" s="135"/>
      <c r="AD411" s="135"/>
    </row>
    <row r="412" spans="27:30" x14ac:dyDescent="0.25">
      <c r="AA412" s="116">
        <f t="shared" si="6"/>
        <v>0</v>
      </c>
      <c r="AB412" s="135"/>
      <c r="AC412" s="135"/>
      <c r="AD412" s="135"/>
    </row>
    <row r="413" spans="27:30" x14ac:dyDescent="0.25">
      <c r="AA413" s="116">
        <f t="shared" si="6"/>
        <v>0</v>
      </c>
      <c r="AB413" s="135"/>
      <c r="AC413" s="135"/>
      <c r="AD413" s="135"/>
    </row>
    <row r="414" spans="27:30" x14ac:dyDescent="0.25">
      <c r="AA414" s="116">
        <f t="shared" si="6"/>
        <v>0</v>
      </c>
      <c r="AB414" s="135"/>
      <c r="AC414" s="135"/>
      <c r="AD414" s="135"/>
    </row>
    <row r="415" spans="27:30" x14ac:dyDescent="0.25">
      <c r="AA415" s="116">
        <f t="shared" si="6"/>
        <v>0</v>
      </c>
      <c r="AB415" s="135"/>
      <c r="AC415" s="135"/>
      <c r="AD415" s="135"/>
    </row>
    <row r="416" spans="27:30" x14ac:dyDescent="0.25">
      <c r="AA416" s="116">
        <f t="shared" si="6"/>
        <v>0</v>
      </c>
      <c r="AB416" s="135"/>
      <c r="AC416" s="135"/>
      <c r="AD416" s="135"/>
    </row>
    <row r="417" spans="27:30" x14ac:dyDescent="0.25">
      <c r="AA417" s="116">
        <f t="shared" si="6"/>
        <v>0</v>
      </c>
      <c r="AB417" s="135"/>
      <c r="AC417" s="135"/>
      <c r="AD417" s="135"/>
    </row>
    <row r="418" spans="27:30" x14ac:dyDescent="0.25">
      <c r="AA418" s="116">
        <f t="shared" si="6"/>
        <v>0</v>
      </c>
      <c r="AB418" s="135"/>
      <c r="AC418" s="135"/>
      <c r="AD418" s="135"/>
    </row>
    <row r="419" spans="27:30" x14ac:dyDescent="0.25">
      <c r="AA419" s="116">
        <f t="shared" si="6"/>
        <v>0</v>
      </c>
      <c r="AB419" s="135"/>
      <c r="AC419" s="135"/>
      <c r="AD419" s="135"/>
    </row>
    <row r="420" spans="27:30" x14ac:dyDescent="0.25">
      <c r="AA420" s="116">
        <f t="shared" si="6"/>
        <v>0</v>
      </c>
      <c r="AB420" s="135"/>
      <c r="AC420" s="135"/>
      <c r="AD420" s="135"/>
    </row>
    <row r="421" spans="27:30" x14ac:dyDescent="0.25">
      <c r="AA421" s="116">
        <f t="shared" si="6"/>
        <v>0</v>
      </c>
      <c r="AB421" s="135"/>
      <c r="AC421" s="135"/>
      <c r="AD421" s="135"/>
    </row>
    <row r="422" spans="27:30" x14ac:dyDescent="0.25">
      <c r="AA422" s="116">
        <f t="shared" si="6"/>
        <v>0</v>
      </c>
      <c r="AB422" s="135"/>
      <c r="AC422" s="135"/>
      <c r="AD422" s="135"/>
    </row>
    <row r="423" spans="27:30" x14ac:dyDescent="0.25">
      <c r="AA423" s="116">
        <f t="shared" si="6"/>
        <v>0</v>
      </c>
      <c r="AB423" s="135"/>
      <c r="AC423" s="135"/>
      <c r="AD423" s="135"/>
    </row>
    <row r="424" spans="27:30" x14ac:dyDescent="0.25">
      <c r="AA424" s="116">
        <f t="shared" si="6"/>
        <v>0</v>
      </c>
      <c r="AB424" s="135"/>
      <c r="AC424" s="135"/>
      <c r="AD424" s="135"/>
    </row>
    <row r="425" spans="27:30" x14ac:dyDescent="0.25">
      <c r="AA425" s="116">
        <f t="shared" si="6"/>
        <v>0</v>
      </c>
      <c r="AB425" s="135"/>
      <c r="AC425" s="135"/>
      <c r="AD425" s="135"/>
    </row>
    <row r="426" spans="27:30" x14ac:dyDescent="0.25">
      <c r="AA426" s="116">
        <f t="shared" si="6"/>
        <v>0</v>
      </c>
      <c r="AB426" s="135"/>
      <c r="AC426" s="135"/>
      <c r="AD426" s="135"/>
    </row>
    <row r="427" spans="27:30" x14ac:dyDescent="0.25">
      <c r="AA427" s="116">
        <f t="shared" si="6"/>
        <v>0</v>
      </c>
      <c r="AB427" s="135"/>
      <c r="AC427" s="135"/>
      <c r="AD427" s="135"/>
    </row>
    <row r="428" spans="27:30" x14ac:dyDescent="0.25">
      <c r="AA428" s="116">
        <f t="shared" si="6"/>
        <v>0</v>
      </c>
      <c r="AB428" s="135"/>
      <c r="AC428" s="135"/>
      <c r="AD428" s="135"/>
    </row>
    <row r="429" spans="27:30" x14ac:dyDescent="0.25">
      <c r="AA429" s="116">
        <f t="shared" si="6"/>
        <v>0</v>
      </c>
      <c r="AB429" s="135"/>
      <c r="AC429" s="135"/>
      <c r="AD429" s="135"/>
    </row>
    <row r="430" spans="27:30" x14ac:dyDescent="0.25">
      <c r="AA430" s="116">
        <f t="shared" si="6"/>
        <v>0</v>
      </c>
      <c r="AB430" s="135"/>
      <c r="AC430" s="135"/>
      <c r="AD430" s="135"/>
    </row>
    <row r="431" spans="27:30" x14ac:dyDescent="0.25">
      <c r="AA431" s="116">
        <f t="shared" si="6"/>
        <v>0</v>
      </c>
      <c r="AB431" s="135"/>
      <c r="AC431" s="135"/>
      <c r="AD431" s="135"/>
    </row>
    <row r="432" spans="27:30" x14ac:dyDescent="0.25">
      <c r="AA432" s="116">
        <f t="shared" si="6"/>
        <v>0</v>
      </c>
      <c r="AB432" s="135"/>
      <c r="AC432" s="135"/>
      <c r="AD432" s="135"/>
    </row>
    <row r="433" spans="27:30" x14ac:dyDescent="0.25">
      <c r="AA433" s="116">
        <f t="shared" si="6"/>
        <v>0</v>
      </c>
      <c r="AB433" s="135"/>
      <c r="AC433" s="135"/>
      <c r="AD433" s="135"/>
    </row>
    <row r="434" spans="27:30" x14ac:dyDescent="0.25">
      <c r="AA434" s="116">
        <f t="shared" si="6"/>
        <v>0</v>
      </c>
      <c r="AB434" s="135"/>
      <c r="AC434" s="135"/>
      <c r="AD434" s="135"/>
    </row>
    <row r="435" spans="27:30" x14ac:dyDescent="0.25">
      <c r="AA435" s="116">
        <f t="shared" si="6"/>
        <v>0</v>
      </c>
      <c r="AB435" s="135"/>
      <c r="AC435" s="135"/>
      <c r="AD435" s="135"/>
    </row>
    <row r="436" spans="27:30" x14ac:dyDescent="0.25">
      <c r="AA436" s="116">
        <f t="shared" si="6"/>
        <v>0</v>
      </c>
      <c r="AB436" s="135"/>
      <c r="AC436" s="135"/>
      <c r="AD436" s="135"/>
    </row>
    <row r="437" spans="27:30" x14ac:dyDescent="0.25">
      <c r="AA437" s="116">
        <f t="shared" si="6"/>
        <v>0</v>
      </c>
      <c r="AB437" s="135"/>
      <c r="AC437" s="135"/>
      <c r="AD437" s="135"/>
    </row>
    <row r="438" spans="27:30" x14ac:dyDescent="0.25">
      <c r="AA438" s="116">
        <f t="shared" si="6"/>
        <v>0</v>
      </c>
      <c r="AB438" s="135"/>
      <c r="AC438" s="135"/>
      <c r="AD438" s="135"/>
    </row>
    <row r="439" spans="27:30" x14ac:dyDescent="0.25">
      <c r="AA439" s="116">
        <f t="shared" si="6"/>
        <v>0</v>
      </c>
      <c r="AB439" s="135"/>
      <c r="AC439" s="135"/>
      <c r="AD439" s="135"/>
    </row>
    <row r="440" spans="27:30" x14ac:dyDescent="0.25">
      <c r="AA440" s="116">
        <f t="shared" si="6"/>
        <v>0</v>
      </c>
      <c r="AB440" s="135"/>
      <c r="AC440" s="135"/>
      <c r="AD440" s="135"/>
    </row>
    <row r="441" spans="27:30" x14ac:dyDescent="0.25">
      <c r="AA441" s="116">
        <f t="shared" si="6"/>
        <v>0</v>
      </c>
      <c r="AB441" s="135"/>
      <c r="AC441" s="135"/>
      <c r="AD441" s="135"/>
    </row>
    <row r="442" spans="27:30" x14ac:dyDescent="0.25">
      <c r="AA442" s="116">
        <f t="shared" si="6"/>
        <v>0</v>
      </c>
      <c r="AB442" s="135"/>
      <c r="AC442" s="135"/>
      <c r="AD442" s="135"/>
    </row>
    <row r="443" spans="27:30" x14ac:dyDescent="0.25">
      <c r="AA443" s="116">
        <f t="shared" si="6"/>
        <v>0</v>
      </c>
      <c r="AB443" s="135"/>
      <c r="AC443" s="135"/>
      <c r="AD443" s="135"/>
    </row>
    <row r="444" spans="27:30" x14ac:dyDescent="0.25">
      <c r="AA444" s="116">
        <f t="shared" si="6"/>
        <v>0</v>
      </c>
      <c r="AB444" s="135"/>
      <c r="AC444" s="135"/>
      <c r="AD444" s="135"/>
    </row>
    <row r="445" spans="27:30" x14ac:dyDescent="0.25">
      <c r="AA445" s="116">
        <f t="shared" si="6"/>
        <v>0</v>
      </c>
      <c r="AB445" s="135"/>
      <c r="AC445" s="135"/>
      <c r="AD445" s="135"/>
    </row>
    <row r="446" spans="27:30" x14ac:dyDescent="0.25">
      <c r="AA446" s="116">
        <f t="shared" si="6"/>
        <v>0</v>
      </c>
      <c r="AB446" s="135"/>
      <c r="AC446" s="135"/>
      <c r="AD446" s="135"/>
    </row>
    <row r="447" spans="27:30" x14ac:dyDescent="0.25">
      <c r="AA447" s="116">
        <f t="shared" si="6"/>
        <v>0</v>
      </c>
      <c r="AB447" s="135"/>
      <c r="AC447" s="135"/>
      <c r="AD447" s="135"/>
    </row>
    <row r="448" spans="27:30" x14ac:dyDescent="0.25">
      <c r="AA448" s="116">
        <f t="shared" si="6"/>
        <v>0</v>
      </c>
      <c r="AB448" s="135"/>
      <c r="AC448" s="135"/>
      <c r="AD448" s="135"/>
    </row>
    <row r="449" spans="27:30" x14ac:dyDescent="0.25">
      <c r="AA449" s="116">
        <f t="shared" si="6"/>
        <v>0</v>
      </c>
      <c r="AB449" s="135"/>
      <c r="AC449" s="135"/>
      <c r="AD449" s="135"/>
    </row>
    <row r="450" spans="27:30" x14ac:dyDescent="0.25">
      <c r="AA450" s="116">
        <f t="shared" ref="AA450:AA513" si="7">SUM(N450:Z450)</f>
        <v>0</v>
      </c>
      <c r="AB450" s="135"/>
      <c r="AC450" s="135"/>
      <c r="AD450" s="135"/>
    </row>
    <row r="451" spans="27:30" x14ac:dyDescent="0.25">
      <c r="AA451" s="116">
        <f t="shared" si="7"/>
        <v>0</v>
      </c>
      <c r="AB451" s="135"/>
      <c r="AC451" s="135"/>
      <c r="AD451" s="135"/>
    </row>
    <row r="452" spans="27:30" x14ac:dyDescent="0.25">
      <c r="AA452" s="116">
        <f t="shared" si="7"/>
        <v>0</v>
      </c>
      <c r="AB452" s="135"/>
      <c r="AC452" s="135"/>
      <c r="AD452" s="135"/>
    </row>
    <row r="453" spans="27:30" x14ac:dyDescent="0.25">
      <c r="AA453" s="116">
        <f t="shared" si="7"/>
        <v>0</v>
      </c>
      <c r="AB453" s="135"/>
      <c r="AC453" s="135"/>
      <c r="AD453" s="135"/>
    </row>
    <row r="454" spans="27:30" x14ac:dyDescent="0.25">
      <c r="AA454" s="116">
        <f t="shared" si="7"/>
        <v>0</v>
      </c>
      <c r="AB454" s="135"/>
      <c r="AC454" s="135"/>
      <c r="AD454" s="135"/>
    </row>
    <row r="455" spans="27:30" x14ac:dyDescent="0.25">
      <c r="AA455" s="116">
        <f t="shared" si="7"/>
        <v>0</v>
      </c>
      <c r="AB455" s="135"/>
      <c r="AC455" s="135"/>
      <c r="AD455" s="135"/>
    </row>
    <row r="456" spans="27:30" x14ac:dyDescent="0.25">
      <c r="AA456" s="116">
        <f t="shared" si="7"/>
        <v>0</v>
      </c>
      <c r="AB456" s="135"/>
      <c r="AC456" s="135"/>
      <c r="AD456" s="135"/>
    </row>
    <row r="457" spans="27:30" x14ac:dyDescent="0.25">
      <c r="AA457" s="116">
        <f t="shared" si="7"/>
        <v>0</v>
      </c>
      <c r="AB457" s="135"/>
      <c r="AC457" s="135"/>
      <c r="AD457" s="135"/>
    </row>
    <row r="458" spans="27:30" x14ac:dyDescent="0.25">
      <c r="AA458" s="116">
        <f t="shared" si="7"/>
        <v>0</v>
      </c>
      <c r="AB458" s="135"/>
      <c r="AC458" s="135"/>
      <c r="AD458" s="135"/>
    </row>
    <row r="459" spans="27:30" x14ac:dyDescent="0.25">
      <c r="AA459" s="116">
        <f t="shared" si="7"/>
        <v>0</v>
      </c>
      <c r="AB459" s="135"/>
      <c r="AC459" s="135"/>
      <c r="AD459" s="135"/>
    </row>
    <row r="460" spans="27:30" x14ac:dyDescent="0.25">
      <c r="AA460" s="116">
        <f t="shared" si="7"/>
        <v>0</v>
      </c>
      <c r="AB460" s="135"/>
      <c r="AC460" s="135"/>
      <c r="AD460" s="135"/>
    </row>
    <row r="461" spans="27:30" x14ac:dyDescent="0.25">
      <c r="AA461" s="116">
        <f t="shared" si="7"/>
        <v>0</v>
      </c>
      <c r="AB461" s="135"/>
      <c r="AC461" s="135"/>
      <c r="AD461" s="135"/>
    </row>
    <row r="462" spans="27:30" x14ac:dyDescent="0.25">
      <c r="AA462" s="116">
        <f t="shared" si="7"/>
        <v>0</v>
      </c>
      <c r="AB462" s="135"/>
      <c r="AC462" s="135"/>
      <c r="AD462" s="135"/>
    </row>
    <row r="463" spans="27:30" x14ac:dyDescent="0.25">
      <c r="AA463" s="116">
        <f t="shared" si="7"/>
        <v>0</v>
      </c>
      <c r="AB463" s="135"/>
      <c r="AC463" s="135"/>
      <c r="AD463" s="135"/>
    </row>
    <row r="464" spans="27:30" x14ac:dyDescent="0.25">
      <c r="AA464" s="116">
        <f t="shared" si="7"/>
        <v>0</v>
      </c>
      <c r="AB464" s="135"/>
      <c r="AC464" s="135"/>
      <c r="AD464" s="135"/>
    </row>
    <row r="465" spans="27:30" x14ac:dyDescent="0.25">
      <c r="AA465" s="116">
        <f t="shared" si="7"/>
        <v>0</v>
      </c>
      <c r="AB465" s="135"/>
      <c r="AC465" s="135"/>
      <c r="AD465" s="135"/>
    </row>
    <row r="466" spans="27:30" x14ac:dyDescent="0.25">
      <c r="AA466" s="116">
        <f t="shared" si="7"/>
        <v>0</v>
      </c>
      <c r="AB466" s="135"/>
      <c r="AC466" s="135"/>
      <c r="AD466" s="135"/>
    </row>
    <row r="467" spans="27:30" x14ac:dyDescent="0.25">
      <c r="AA467" s="116">
        <f t="shared" si="7"/>
        <v>0</v>
      </c>
      <c r="AB467" s="135"/>
      <c r="AC467" s="135"/>
      <c r="AD467" s="135"/>
    </row>
    <row r="468" spans="27:30" x14ac:dyDescent="0.25">
      <c r="AA468" s="116">
        <f t="shared" si="7"/>
        <v>0</v>
      </c>
      <c r="AB468" s="135"/>
      <c r="AC468" s="135"/>
      <c r="AD468" s="135"/>
    </row>
    <row r="469" spans="27:30" x14ac:dyDescent="0.25">
      <c r="AA469" s="116">
        <f t="shared" si="7"/>
        <v>0</v>
      </c>
      <c r="AB469" s="135"/>
      <c r="AC469" s="135"/>
      <c r="AD469" s="135"/>
    </row>
    <row r="470" spans="27:30" x14ac:dyDescent="0.25">
      <c r="AA470" s="116">
        <f t="shared" si="7"/>
        <v>0</v>
      </c>
      <c r="AB470" s="135"/>
      <c r="AC470" s="135"/>
      <c r="AD470" s="135"/>
    </row>
    <row r="471" spans="27:30" x14ac:dyDescent="0.25">
      <c r="AA471" s="116">
        <f t="shared" si="7"/>
        <v>0</v>
      </c>
      <c r="AB471" s="135"/>
      <c r="AC471" s="135"/>
      <c r="AD471" s="135"/>
    </row>
    <row r="472" spans="27:30" x14ac:dyDescent="0.25">
      <c r="AA472" s="116">
        <f t="shared" si="7"/>
        <v>0</v>
      </c>
      <c r="AB472" s="135"/>
      <c r="AC472" s="135"/>
      <c r="AD472" s="135"/>
    </row>
    <row r="473" spans="27:30" x14ac:dyDescent="0.25">
      <c r="AA473" s="116">
        <f t="shared" si="7"/>
        <v>0</v>
      </c>
      <c r="AB473" s="135"/>
      <c r="AC473" s="135"/>
      <c r="AD473" s="135"/>
    </row>
    <row r="474" spans="27:30" x14ac:dyDescent="0.25">
      <c r="AA474" s="116">
        <f t="shared" si="7"/>
        <v>0</v>
      </c>
      <c r="AB474" s="135"/>
      <c r="AC474" s="135"/>
      <c r="AD474" s="135"/>
    </row>
    <row r="475" spans="27:30" x14ac:dyDescent="0.25">
      <c r="AA475" s="116">
        <f t="shared" si="7"/>
        <v>0</v>
      </c>
      <c r="AB475" s="135"/>
      <c r="AC475" s="135"/>
      <c r="AD475" s="135"/>
    </row>
    <row r="476" spans="27:30" x14ac:dyDescent="0.25">
      <c r="AA476" s="116">
        <f t="shared" si="7"/>
        <v>0</v>
      </c>
      <c r="AB476" s="135"/>
      <c r="AC476" s="135"/>
      <c r="AD476" s="135"/>
    </row>
    <row r="477" spans="27:30" x14ac:dyDescent="0.25">
      <c r="AA477" s="116">
        <f t="shared" si="7"/>
        <v>0</v>
      </c>
      <c r="AB477" s="135"/>
      <c r="AC477" s="135"/>
      <c r="AD477" s="135"/>
    </row>
    <row r="478" spans="27:30" x14ac:dyDescent="0.25">
      <c r="AA478" s="116">
        <f t="shared" si="7"/>
        <v>0</v>
      </c>
      <c r="AB478" s="135"/>
      <c r="AC478" s="135"/>
      <c r="AD478" s="135"/>
    </row>
    <row r="479" spans="27:30" x14ac:dyDescent="0.25">
      <c r="AA479" s="116">
        <f t="shared" si="7"/>
        <v>0</v>
      </c>
      <c r="AB479" s="135"/>
      <c r="AC479" s="135"/>
      <c r="AD479" s="135"/>
    </row>
    <row r="480" spans="27:30" x14ac:dyDescent="0.25">
      <c r="AA480" s="116">
        <f t="shared" si="7"/>
        <v>0</v>
      </c>
      <c r="AB480" s="135"/>
      <c r="AC480" s="135"/>
      <c r="AD480" s="135"/>
    </row>
    <row r="481" spans="27:30" x14ac:dyDescent="0.25">
      <c r="AA481" s="116">
        <f t="shared" si="7"/>
        <v>0</v>
      </c>
      <c r="AB481" s="135"/>
      <c r="AC481" s="135"/>
      <c r="AD481" s="135"/>
    </row>
    <row r="482" spans="27:30" x14ac:dyDescent="0.25">
      <c r="AA482" s="116">
        <f t="shared" si="7"/>
        <v>0</v>
      </c>
      <c r="AB482" s="135"/>
      <c r="AC482" s="135"/>
      <c r="AD482" s="135"/>
    </row>
    <row r="483" spans="27:30" x14ac:dyDescent="0.25">
      <c r="AA483" s="116">
        <f t="shared" si="7"/>
        <v>0</v>
      </c>
      <c r="AB483" s="135"/>
      <c r="AC483" s="135"/>
      <c r="AD483" s="135"/>
    </row>
    <row r="484" spans="27:30" x14ac:dyDescent="0.25">
      <c r="AA484" s="116">
        <f t="shared" si="7"/>
        <v>0</v>
      </c>
      <c r="AB484" s="135"/>
      <c r="AC484" s="135"/>
      <c r="AD484" s="135"/>
    </row>
    <row r="485" spans="27:30" x14ac:dyDescent="0.25">
      <c r="AA485" s="116">
        <f t="shared" si="7"/>
        <v>0</v>
      </c>
      <c r="AB485" s="135"/>
      <c r="AC485" s="135"/>
      <c r="AD485" s="135"/>
    </row>
    <row r="486" spans="27:30" x14ac:dyDescent="0.25">
      <c r="AA486" s="116">
        <f t="shared" si="7"/>
        <v>0</v>
      </c>
      <c r="AB486" s="135"/>
      <c r="AC486" s="135"/>
      <c r="AD486" s="135"/>
    </row>
    <row r="487" spans="27:30" x14ac:dyDescent="0.25">
      <c r="AA487" s="116">
        <f t="shared" si="7"/>
        <v>0</v>
      </c>
      <c r="AB487" s="135"/>
      <c r="AC487" s="135"/>
      <c r="AD487" s="135"/>
    </row>
    <row r="488" spans="27:30" x14ac:dyDescent="0.25">
      <c r="AA488" s="116">
        <f t="shared" si="7"/>
        <v>0</v>
      </c>
      <c r="AB488" s="135"/>
      <c r="AC488" s="135"/>
      <c r="AD488" s="135"/>
    </row>
    <row r="489" spans="27:30" x14ac:dyDescent="0.25">
      <c r="AA489" s="116">
        <f t="shared" si="7"/>
        <v>0</v>
      </c>
      <c r="AB489" s="135"/>
      <c r="AC489" s="135"/>
      <c r="AD489" s="135"/>
    </row>
    <row r="490" spans="27:30" x14ac:dyDescent="0.25">
      <c r="AA490" s="116">
        <f t="shared" si="7"/>
        <v>0</v>
      </c>
      <c r="AB490" s="135"/>
      <c r="AC490" s="135"/>
      <c r="AD490" s="135"/>
    </row>
    <row r="491" spans="27:30" x14ac:dyDescent="0.25">
      <c r="AA491" s="116">
        <f t="shared" si="7"/>
        <v>0</v>
      </c>
      <c r="AB491" s="135"/>
      <c r="AC491" s="135"/>
      <c r="AD491" s="135"/>
    </row>
    <row r="492" spans="27:30" x14ac:dyDescent="0.25">
      <c r="AA492" s="116">
        <f t="shared" si="7"/>
        <v>0</v>
      </c>
      <c r="AB492" s="135"/>
      <c r="AC492" s="135"/>
      <c r="AD492" s="135"/>
    </row>
    <row r="493" spans="27:30" x14ac:dyDescent="0.25">
      <c r="AA493" s="116">
        <f t="shared" si="7"/>
        <v>0</v>
      </c>
      <c r="AB493" s="135"/>
      <c r="AC493" s="135"/>
      <c r="AD493" s="135"/>
    </row>
    <row r="494" spans="27:30" x14ac:dyDescent="0.25">
      <c r="AA494" s="116">
        <f t="shared" si="7"/>
        <v>0</v>
      </c>
      <c r="AB494" s="135"/>
      <c r="AC494" s="135"/>
      <c r="AD494" s="135"/>
    </row>
    <row r="495" spans="27:30" x14ac:dyDescent="0.25">
      <c r="AA495" s="116">
        <f t="shared" si="7"/>
        <v>0</v>
      </c>
      <c r="AB495" s="135"/>
      <c r="AC495" s="135"/>
      <c r="AD495" s="135"/>
    </row>
    <row r="496" spans="27:30" x14ac:dyDescent="0.25">
      <c r="AA496" s="116">
        <f t="shared" si="7"/>
        <v>0</v>
      </c>
      <c r="AB496" s="135"/>
      <c r="AC496" s="135"/>
      <c r="AD496" s="135"/>
    </row>
    <row r="497" spans="27:30" x14ac:dyDescent="0.25">
      <c r="AA497" s="116">
        <f t="shared" si="7"/>
        <v>0</v>
      </c>
      <c r="AB497" s="135"/>
      <c r="AC497" s="135"/>
      <c r="AD497" s="135"/>
    </row>
    <row r="498" spans="27:30" x14ac:dyDescent="0.25">
      <c r="AA498" s="116">
        <f t="shared" si="7"/>
        <v>0</v>
      </c>
      <c r="AB498" s="135"/>
      <c r="AC498" s="135"/>
      <c r="AD498" s="135"/>
    </row>
    <row r="499" spans="27:30" x14ac:dyDescent="0.25">
      <c r="AA499" s="116">
        <f t="shared" si="7"/>
        <v>0</v>
      </c>
      <c r="AB499" s="135"/>
      <c r="AC499" s="135"/>
      <c r="AD499" s="135"/>
    </row>
    <row r="500" spans="27:30" x14ac:dyDescent="0.25">
      <c r="AA500" s="116">
        <f t="shared" si="7"/>
        <v>0</v>
      </c>
      <c r="AB500" s="135"/>
      <c r="AC500" s="135"/>
      <c r="AD500" s="135"/>
    </row>
    <row r="501" spans="27:30" x14ac:dyDescent="0.25">
      <c r="AA501" s="116">
        <f t="shared" si="7"/>
        <v>0</v>
      </c>
      <c r="AB501" s="135"/>
      <c r="AC501" s="135"/>
      <c r="AD501" s="135"/>
    </row>
    <row r="502" spans="27:30" x14ac:dyDescent="0.25">
      <c r="AA502" s="116">
        <f t="shared" si="7"/>
        <v>0</v>
      </c>
      <c r="AB502" s="135"/>
      <c r="AC502" s="135"/>
      <c r="AD502" s="135"/>
    </row>
    <row r="503" spans="27:30" x14ac:dyDescent="0.25">
      <c r="AA503" s="116">
        <f t="shared" si="7"/>
        <v>0</v>
      </c>
      <c r="AB503" s="135"/>
      <c r="AC503" s="135"/>
      <c r="AD503" s="135"/>
    </row>
    <row r="504" spans="27:30" x14ac:dyDescent="0.25">
      <c r="AA504" s="116">
        <f t="shared" si="7"/>
        <v>0</v>
      </c>
      <c r="AB504" s="135"/>
      <c r="AC504" s="135"/>
      <c r="AD504" s="135"/>
    </row>
    <row r="505" spans="27:30" x14ac:dyDescent="0.25">
      <c r="AA505" s="116">
        <f t="shared" si="7"/>
        <v>0</v>
      </c>
      <c r="AB505" s="135"/>
      <c r="AC505" s="135"/>
      <c r="AD505" s="135"/>
    </row>
    <row r="506" spans="27:30" x14ac:dyDescent="0.25">
      <c r="AA506" s="116">
        <f t="shared" si="7"/>
        <v>0</v>
      </c>
      <c r="AB506" s="135"/>
      <c r="AC506" s="135"/>
      <c r="AD506" s="135"/>
    </row>
    <row r="507" spans="27:30" x14ac:dyDescent="0.25">
      <c r="AA507" s="116">
        <f t="shared" si="7"/>
        <v>0</v>
      </c>
      <c r="AB507" s="135"/>
      <c r="AC507" s="135"/>
      <c r="AD507" s="135"/>
    </row>
    <row r="508" spans="27:30" x14ac:dyDescent="0.25">
      <c r="AA508" s="116">
        <f t="shared" si="7"/>
        <v>0</v>
      </c>
      <c r="AB508" s="135"/>
      <c r="AC508" s="135"/>
      <c r="AD508" s="135"/>
    </row>
    <row r="509" spans="27:30" x14ac:dyDescent="0.25">
      <c r="AA509" s="116">
        <f t="shared" si="7"/>
        <v>0</v>
      </c>
      <c r="AB509" s="135"/>
      <c r="AC509" s="135"/>
      <c r="AD509" s="135"/>
    </row>
    <row r="510" spans="27:30" x14ac:dyDescent="0.25">
      <c r="AA510" s="116">
        <f t="shared" si="7"/>
        <v>0</v>
      </c>
      <c r="AB510" s="135"/>
      <c r="AC510" s="135"/>
      <c r="AD510" s="135"/>
    </row>
    <row r="511" spans="27:30" x14ac:dyDescent="0.25">
      <c r="AA511" s="116">
        <f t="shared" si="7"/>
        <v>0</v>
      </c>
      <c r="AB511" s="135"/>
      <c r="AC511" s="135"/>
      <c r="AD511" s="135"/>
    </row>
    <row r="512" spans="27:30" x14ac:dyDescent="0.25">
      <c r="AA512" s="116">
        <f t="shared" si="7"/>
        <v>0</v>
      </c>
      <c r="AB512" s="135"/>
      <c r="AC512" s="135"/>
      <c r="AD512" s="135"/>
    </row>
    <row r="513" spans="27:30" x14ac:dyDescent="0.25">
      <c r="AA513" s="116">
        <f t="shared" si="7"/>
        <v>0</v>
      </c>
      <c r="AB513" s="135"/>
      <c r="AC513" s="135"/>
      <c r="AD513" s="135"/>
    </row>
    <row r="514" spans="27:30" x14ac:dyDescent="0.25">
      <c r="AA514" s="116">
        <f t="shared" ref="AA514:AA577" si="8">SUM(N514:Z514)</f>
        <v>0</v>
      </c>
      <c r="AB514" s="135"/>
      <c r="AC514" s="135"/>
      <c r="AD514" s="135"/>
    </row>
    <row r="515" spans="27:30" x14ac:dyDescent="0.25">
      <c r="AA515" s="116">
        <f t="shared" si="8"/>
        <v>0</v>
      </c>
      <c r="AB515" s="135"/>
      <c r="AC515" s="135"/>
      <c r="AD515" s="135"/>
    </row>
    <row r="516" spans="27:30" x14ac:dyDescent="0.25">
      <c r="AA516" s="116">
        <f t="shared" si="8"/>
        <v>0</v>
      </c>
      <c r="AB516" s="135"/>
      <c r="AC516" s="135"/>
      <c r="AD516" s="135"/>
    </row>
    <row r="517" spans="27:30" x14ac:dyDescent="0.25">
      <c r="AA517" s="116">
        <f t="shared" si="8"/>
        <v>0</v>
      </c>
      <c r="AB517" s="135"/>
      <c r="AC517" s="135"/>
      <c r="AD517" s="135"/>
    </row>
    <row r="518" spans="27:30" x14ac:dyDescent="0.25">
      <c r="AA518" s="116">
        <f t="shared" si="8"/>
        <v>0</v>
      </c>
      <c r="AB518" s="135"/>
      <c r="AC518" s="135"/>
      <c r="AD518" s="135"/>
    </row>
    <row r="519" spans="27:30" x14ac:dyDescent="0.25">
      <c r="AA519" s="116">
        <f t="shared" si="8"/>
        <v>0</v>
      </c>
      <c r="AB519" s="135"/>
      <c r="AC519" s="135"/>
      <c r="AD519" s="135"/>
    </row>
    <row r="520" spans="27:30" x14ac:dyDescent="0.25">
      <c r="AA520" s="116">
        <f t="shared" si="8"/>
        <v>0</v>
      </c>
      <c r="AB520" s="135"/>
      <c r="AC520" s="135"/>
      <c r="AD520" s="135"/>
    </row>
    <row r="521" spans="27:30" x14ac:dyDescent="0.25">
      <c r="AA521" s="116">
        <f t="shared" si="8"/>
        <v>0</v>
      </c>
      <c r="AB521" s="135"/>
      <c r="AC521" s="135"/>
      <c r="AD521" s="135"/>
    </row>
    <row r="522" spans="27:30" x14ac:dyDescent="0.25">
      <c r="AA522" s="116">
        <f t="shared" si="8"/>
        <v>0</v>
      </c>
      <c r="AB522" s="135"/>
      <c r="AC522" s="135"/>
      <c r="AD522" s="135"/>
    </row>
    <row r="523" spans="27:30" x14ac:dyDescent="0.25">
      <c r="AA523" s="116">
        <f t="shared" si="8"/>
        <v>0</v>
      </c>
      <c r="AB523" s="135"/>
      <c r="AC523" s="135"/>
      <c r="AD523" s="135"/>
    </row>
    <row r="524" spans="27:30" x14ac:dyDescent="0.25">
      <c r="AA524" s="116">
        <f t="shared" si="8"/>
        <v>0</v>
      </c>
      <c r="AB524" s="135"/>
      <c r="AC524" s="135"/>
      <c r="AD524" s="135"/>
    </row>
    <row r="525" spans="27:30" x14ac:dyDescent="0.25">
      <c r="AA525" s="116">
        <f t="shared" si="8"/>
        <v>0</v>
      </c>
      <c r="AB525" s="135"/>
      <c r="AC525" s="135"/>
      <c r="AD525" s="135"/>
    </row>
    <row r="526" spans="27:30" x14ac:dyDescent="0.25">
      <c r="AA526" s="116">
        <f t="shared" si="8"/>
        <v>0</v>
      </c>
      <c r="AB526" s="135"/>
      <c r="AC526" s="135"/>
      <c r="AD526" s="135"/>
    </row>
    <row r="527" spans="27:30" x14ac:dyDescent="0.25">
      <c r="AA527" s="116">
        <f t="shared" si="8"/>
        <v>0</v>
      </c>
      <c r="AB527" s="135"/>
      <c r="AC527" s="135"/>
      <c r="AD527" s="135"/>
    </row>
    <row r="528" spans="27:30" x14ac:dyDescent="0.25">
      <c r="AA528" s="116">
        <f t="shared" si="8"/>
        <v>0</v>
      </c>
      <c r="AB528" s="135"/>
      <c r="AC528" s="135"/>
      <c r="AD528" s="135"/>
    </row>
    <row r="529" spans="27:30" x14ac:dyDescent="0.25">
      <c r="AA529" s="116">
        <f t="shared" si="8"/>
        <v>0</v>
      </c>
      <c r="AB529" s="135"/>
      <c r="AC529" s="135"/>
      <c r="AD529" s="135"/>
    </row>
    <row r="530" spans="27:30" x14ac:dyDescent="0.25">
      <c r="AA530" s="116">
        <f t="shared" si="8"/>
        <v>0</v>
      </c>
      <c r="AB530" s="135"/>
      <c r="AC530" s="135"/>
      <c r="AD530" s="135"/>
    </row>
    <row r="531" spans="27:30" x14ac:dyDescent="0.25">
      <c r="AA531" s="116">
        <f t="shared" si="8"/>
        <v>0</v>
      </c>
      <c r="AB531" s="135"/>
      <c r="AC531" s="135"/>
      <c r="AD531" s="135"/>
    </row>
    <row r="532" spans="27:30" x14ac:dyDescent="0.25">
      <c r="AA532" s="116">
        <f t="shared" si="8"/>
        <v>0</v>
      </c>
      <c r="AB532" s="135"/>
      <c r="AC532" s="135"/>
      <c r="AD532" s="135"/>
    </row>
    <row r="533" spans="27:30" x14ac:dyDescent="0.25">
      <c r="AA533" s="116">
        <f t="shared" si="8"/>
        <v>0</v>
      </c>
      <c r="AB533" s="135"/>
      <c r="AC533" s="135"/>
      <c r="AD533" s="135"/>
    </row>
    <row r="534" spans="27:30" x14ac:dyDescent="0.25">
      <c r="AA534" s="116">
        <f t="shared" si="8"/>
        <v>0</v>
      </c>
      <c r="AB534" s="135"/>
      <c r="AC534" s="135"/>
      <c r="AD534" s="135"/>
    </row>
    <row r="535" spans="27:30" x14ac:dyDescent="0.25">
      <c r="AA535" s="116">
        <f t="shared" si="8"/>
        <v>0</v>
      </c>
      <c r="AB535" s="135"/>
      <c r="AC535" s="135"/>
      <c r="AD535" s="135"/>
    </row>
    <row r="536" spans="27:30" x14ac:dyDescent="0.25">
      <c r="AA536" s="116">
        <f t="shared" si="8"/>
        <v>0</v>
      </c>
      <c r="AB536" s="135"/>
      <c r="AC536" s="135"/>
      <c r="AD536" s="135"/>
    </row>
    <row r="537" spans="27:30" x14ac:dyDescent="0.25">
      <c r="AA537" s="116">
        <f t="shared" si="8"/>
        <v>0</v>
      </c>
      <c r="AB537" s="135"/>
      <c r="AC537" s="135"/>
      <c r="AD537" s="135"/>
    </row>
    <row r="538" spans="27:30" x14ac:dyDescent="0.25">
      <c r="AA538" s="116">
        <f t="shared" si="8"/>
        <v>0</v>
      </c>
      <c r="AB538" s="135"/>
      <c r="AC538" s="135"/>
      <c r="AD538" s="135"/>
    </row>
    <row r="539" spans="27:30" x14ac:dyDescent="0.25">
      <c r="AA539" s="116">
        <f t="shared" si="8"/>
        <v>0</v>
      </c>
      <c r="AB539" s="135"/>
      <c r="AC539" s="135"/>
      <c r="AD539" s="135"/>
    </row>
    <row r="540" spans="27:30" x14ac:dyDescent="0.25">
      <c r="AA540" s="116">
        <f t="shared" si="8"/>
        <v>0</v>
      </c>
      <c r="AB540" s="135"/>
      <c r="AC540" s="135"/>
      <c r="AD540" s="135"/>
    </row>
    <row r="541" spans="27:30" x14ac:dyDescent="0.25">
      <c r="AA541" s="116">
        <f t="shared" si="8"/>
        <v>0</v>
      </c>
      <c r="AB541" s="135"/>
      <c r="AC541" s="135"/>
      <c r="AD541" s="135"/>
    </row>
    <row r="542" spans="27:30" x14ac:dyDescent="0.25">
      <c r="AA542" s="116">
        <f t="shared" si="8"/>
        <v>0</v>
      </c>
      <c r="AB542" s="135"/>
      <c r="AC542" s="135"/>
      <c r="AD542" s="135"/>
    </row>
    <row r="543" spans="27:30" x14ac:dyDescent="0.25">
      <c r="AA543" s="116">
        <f t="shared" si="8"/>
        <v>0</v>
      </c>
      <c r="AB543" s="135"/>
      <c r="AC543" s="135"/>
      <c r="AD543" s="135"/>
    </row>
    <row r="544" spans="27:30" x14ac:dyDescent="0.25">
      <c r="AA544" s="116">
        <f t="shared" si="8"/>
        <v>0</v>
      </c>
      <c r="AB544" s="135"/>
      <c r="AC544" s="135"/>
      <c r="AD544" s="135"/>
    </row>
    <row r="545" spans="27:30" x14ac:dyDescent="0.25">
      <c r="AA545" s="116">
        <f t="shared" si="8"/>
        <v>0</v>
      </c>
      <c r="AB545" s="135"/>
      <c r="AC545" s="135"/>
      <c r="AD545" s="135"/>
    </row>
    <row r="546" spans="27:30" x14ac:dyDescent="0.25">
      <c r="AA546" s="116">
        <f t="shared" si="8"/>
        <v>0</v>
      </c>
      <c r="AB546" s="135"/>
      <c r="AC546" s="135"/>
      <c r="AD546" s="135"/>
    </row>
    <row r="547" spans="27:30" x14ac:dyDescent="0.25">
      <c r="AA547" s="116">
        <f t="shared" si="8"/>
        <v>0</v>
      </c>
      <c r="AB547" s="135"/>
      <c r="AC547" s="135"/>
      <c r="AD547" s="135"/>
    </row>
    <row r="548" spans="27:30" x14ac:dyDescent="0.25">
      <c r="AA548" s="116">
        <f t="shared" si="8"/>
        <v>0</v>
      </c>
      <c r="AB548" s="135"/>
      <c r="AC548" s="135"/>
      <c r="AD548" s="135"/>
    </row>
    <row r="549" spans="27:30" x14ac:dyDescent="0.25">
      <c r="AA549" s="116">
        <f t="shared" si="8"/>
        <v>0</v>
      </c>
      <c r="AB549" s="135"/>
      <c r="AC549" s="135"/>
      <c r="AD549" s="135"/>
    </row>
    <row r="550" spans="27:30" x14ac:dyDescent="0.25">
      <c r="AA550" s="116">
        <f t="shared" si="8"/>
        <v>0</v>
      </c>
      <c r="AB550" s="135"/>
      <c r="AC550" s="135"/>
      <c r="AD550" s="135"/>
    </row>
    <row r="551" spans="27:30" x14ac:dyDescent="0.25">
      <c r="AA551" s="116">
        <f t="shared" si="8"/>
        <v>0</v>
      </c>
      <c r="AB551" s="135"/>
      <c r="AC551" s="135"/>
      <c r="AD551" s="135"/>
    </row>
    <row r="552" spans="27:30" x14ac:dyDescent="0.25">
      <c r="AA552" s="116">
        <f t="shared" si="8"/>
        <v>0</v>
      </c>
      <c r="AB552" s="135"/>
      <c r="AC552" s="135"/>
      <c r="AD552" s="135"/>
    </row>
    <row r="553" spans="27:30" x14ac:dyDescent="0.25">
      <c r="AA553" s="116">
        <f t="shared" si="8"/>
        <v>0</v>
      </c>
      <c r="AB553" s="135"/>
      <c r="AC553" s="135"/>
      <c r="AD553" s="135"/>
    </row>
    <row r="554" spans="27:30" x14ac:dyDescent="0.25">
      <c r="AA554" s="116">
        <f t="shared" si="8"/>
        <v>0</v>
      </c>
      <c r="AB554" s="135"/>
      <c r="AC554" s="135"/>
      <c r="AD554" s="135"/>
    </row>
    <row r="555" spans="27:30" x14ac:dyDescent="0.25">
      <c r="AA555" s="116">
        <f t="shared" si="8"/>
        <v>0</v>
      </c>
      <c r="AB555" s="135"/>
      <c r="AC555" s="135"/>
      <c r="AD555" s="135"/>
    </row>
    <row r="556" spans="27:30" x14ac:dyDescent="0.25">
      <c r="AA556" s="116">
        <f t="shared" si="8"/>
        <v>0</v>
      </c>
      <c r="AB556" s="135"/>
      <c r="AC556" s="135"/>
      <c r="AD556" s="135"/>
    </row>
    <row r="557" spans="27:30" x14ac:dyDescent="0.25">
      <c r="AA557" s="116">
        <f t="shared" si="8"/>
        <v>0</v>
      </c>
      <c r="AB557" s="135"/>
      <c r="AC557" s="135"/>
      <c r="AD557" s="135"/>
    </row>
    <row r="558" spans="27:30" x14ac:dyDescent="0.25">
      <c r="AA558" s="116">
        <f t="shared" si="8"/>
        <v>0</v>
      </c>
      <c r="AB558" s="135"/>
      <c r="AC558" s="135"/>
      <c r="AD558" s="135"/>
    </row>
    <row r="559" spans="27:30" x14ac:dyDescent="0.25">
      <c r="AA559" s="116">
        <f t="shared" si="8"/>
        <v>0</v>
      </c>
      <c r="AB559" s="135"/>
      <c r="AC559" s="135"/>
      <c r="AD559" s="135"/>
    </row>
    <row r="560" spans="27:30" x14ac:dyDescent="0.25">
      <c r="AA560" s="116">
        <f t="shared" si="8"/>
        <v>0</v>
      </c>
      <c r="AB560" s="135"/>
      <c r="AC560" s="135"/>
      <c r="AD560" s="135"/>
    </row>
    <row r="561" spans="27:30" x14ac:dyDescent="0.25">
      <c r="AA561" s="116">
        <f t="shared" si="8"/>
        <v>0</v>
      </c>
      <c r="AB561" s="135"/>
      <c r="AC561" s="135"/>
      <c r="AD561" s="135"/>
    </row>
    <row r="562" spans="27:30" x14ac:dyDescent="0.25">
      <c r="AA562" s="116">
        <f t="shared" si="8"/>
        <v>0</v>
      </c>
      <c r="AB562" s="135"/>
      <c r="AC562" s="135"/>
      <c r="AD562" s="135"/>
    </row>
    <row r="563" spans="27:30" x14ac:dyDescent="0.25">
      <c r="AA563" s="116">
        <f t="shared" si="8"/>
        <v>0</v>
      </c>
      <c r="AB563" s="135"/>
      <c r="AC563" s="135"/>
      <c r="AD563" s="135"/>
    </row>
    <row r="564" spans="27:30" x14ac:dyDescent="0.25">
      <c r="AA564" s="116">
        <f t="shared" si="8"/>
        <v>0</v>
      </c>
      <c r="AB564" s="135"/>
      <c r="AC564" s="135"/>
      <c r="AD564" s="135"/>
    </row>
    <row r="565" spans="27:30" x14ac:dyDescent="0.25">
      <c r="AA565" s="116">
        <f t="shared" si="8"/>
        <v>0</v>
      </c>
      <c r="AB565" s="135"/>
      <c r="AC565" s="135"/>
      <c r="AD565" s="135"/>
    </row>
    <row r="566" spans="27:30" x14ac:dyDescent="0.25">
      <c r="AA566" s="116">
        <f t="shared" si="8"/>
        <v>0</v>
      </c>
      <c r="AB566" s="135"/>
      <c r="AC566" s="135"/>
      <c r="AD566" s="135"/>
    </row>
    <row r="567" spans="27:30" x14ac:dyDescent="0.25">
      <c r="AA567" s="116">
        <f t="shared" si="8"/>
        <v>0</v>
      </c>
      <c r="AB567" s="135"/>
      <c r="AC567" s="135"/>
      <c r="AD567" s="135"/>
    </row>
    <row r="568" spans="27:30" x14ac:dyDescent="0.25">
      <c r="AA568" s="116">
        <f t="shared" si="8"/>
        <v>0</v>
      </c>
      <c r="AB568" s="135"/>
      <c r="AC568" s="135"/>
      <c r="AD568" s="135"/>
    </row>
    <row r="569" spans="27:30" x14ac:dyDescent="0.25">
      <c r="AA569" s="116">
        <f t="shared" si="8"/>
        <v>0</v>
      </c>
      <c r="AB569" s="135"/>
      <c r="AC569" s="135"/>
      <c r="AD569" s="135"/>
    </row>
    <row r="570" spans="27:30" x14ac:dyDescent="0.25">
      <c r="AA570" s="116">
        <f t="shared" si="8"/>
        <v>0</v>
      </c>
      <c r="AB570" s="135"/>
      <c r="AC570" s="135"/>
      <c r="AD570" s="135"/>
    </row>
    <row r="571" spans="27:30" x14ac:dyDescent="0.25">
      <c r="AA571" s="116">
        <f t="shared" si="8"/>
        <v>0</v>
      </c>
      <c r="AB571" s="135"/>
      <c r="AC571" s="135"/>
      <c r="AD571" s="135"/>
    </row>
    <row r="572" spans="27:30" x14ac:dyDescent="0.25">
      <c r="AA572" s="116">
        <f t="shared" si="8"/>
        <v>0</v>
      </c>
      <c r="AB572" s="135"/>
      <c r="AC572" s="135"/>
      <c r="AD572" s="135"/>
    </row>
    <row r="573" spans="27:30" x14ac:dyDescent="0.25">
      <c r="AA573" s="116">
        <f t="shared" si="8"/>
        <v>0</v>
      </c>
      <c r="AB573" s="135"/>
      <c r="AC573" s="135"/>
      <c r="AD573" s="135"/>
    </row>
    <row r="574" spans="27:30" x14ac:dyDescent="0.25">
      <c r="AA574" s="116">
        <f t="shared" si="8"/>
        <v>0</v>
      </c>
      <c r="AB574" s="135"/>
      <c r="AC574" s="135"/>
      <c r="AD574" s="135"/>
    </row>
    <row r="575" spans="27:30" x14ac:dyDescent="0.25">
      <c r="AA575" s="116">
        <f t="shared" si="8"/>
        <v>0</v>
      </c>
      <c r="AB575" s="135"/>
      <c r="AC575" s="135"/>
      <c r="AD575" s="135"/>
    </row>
    <row r="576" spans="27:30" x14ac:dyDescent="0.25">
      <c r="AA576" s="116">
        <f t="shared" si="8"/>
        <v>0</v>
      </c>
      <c r="AB576" s="135"/>
      <c r="AC576" s="135"/>
      <c r="AD576" s="135"/>
    </row>
    <row r="577" spans="27:30" x14ac:dyDescent="0.25">
      <c r="AA577" s="116">
        <f t="shared" si="8"/>
        <v>0</v>
      </c>
      <c r="AB577" s="135"/>
      <c r="AC577" s="135"/>
      <c r="AD577" s="135"/>
    </row>
    <row r="578" spans="27:30" x14ac:dyDescent="0.25">
      <c r="AA578" s="116">
        <f t="shared" ref="AA578:AA641" si="9">SUM(N578:Z578)</f>
        <v>0</v>
      </c>
      <c r="AB578" s="135"/>
      <c r="AC578" s="135"/>
      <c r="AD578" s="135"/>
    </row>
    <row r="579" spans="27:30" x14ac:dyDescent="0.25">
      <c r="AA579" s="116">
        <f t="shared" si="9"/>
        <v>0</v>
      </c>
      <c r="AB579" s="135"/>
      <c r="AC579" s="135"/>
      <c r="AD579" s="135"/>
    </row>
    <row r="580" spans="27:30" x14ac:dyDescent="0.25">
      <c r="AA580" s="116">
        <f t="shared" si="9"/>
        <v>0</v>
      </c>
      <c r="AB580" s="135"/>
      <c r="AC580" s="135"/>
      <c r="AD580" s="135"/>
    </row>
    <row r="581" spans="27:30" x14ac:dyDescent="0.25">
      <c r="AA581" s="116">
        <f t="shared" si="9"/>
        <v>0</v>
      </c>
      <c r="AB581" s="135"/>
      <c r="AC581" s="135"/>
      <c r="AD581" s="135"/>
    </row>
    <row r="582" spans="27:30" x14ac:dyDescent="0.25">
      <c r="AA582" s="116">
        <f t="shared" si="9"/>
        <v>0</v>
      </c>
      <c r="AB582" s="135"/>
      <c r="AC582" s="135"/>
      <c r="AD582" s="135"/>
    </row>
    <row r="583" spans="27:30" x14ac:dyDescent="0.25">
      <c r="AA583" s="116">
        <f t="shared" si="9"/>
        <v>0</v>
      </c>
      <c r="AB583" s="135"/>
      <c r="AC583" s="135"/>
      <c r="AD583" s="135"/>
    </row>
    <row r="584" spans="27:30" x14ac:dyDescent="0.25">
      <c r="AA584" s="116">
        <f t="shared" si="9"/>
        <v>0</v>
      </c>
      <c r="AB584" s="135"/>
      <c r="AC584" s="135"/>
      <c r="AD584" s="135"/>
    </row>
    <row r="585" spans="27:30" x14ac:dyDescent="0.25">
      <c r="AA585" s="116">
        <f t="shared" si="9"/>
        <v>0</v>
      </c>
      <c r="AB585" s="135"/>
      <c r="AC585" s="135"/>
      <c r="AD585" s="135"/>
    </row>
    <row r="586" spans="27:30" x14ac:dyDescent="0.25">
      <c r="AA586" s="116">
        <f t="shared" si="9"/>
        <v>0</v>
      </c>
      <c r="AB586" s="135"/>
      <c r="AC586" s="135"/>
      <c r="AD586" s="135"/>
    </row>
    <row r="587" spans="27:30" x14ac:dyDescent="0.25">
      <c r="AA587" s="116">
        <f t="shared" si="9"/>
        <v>0</v>
      </c>
      <c r="AB587" s="135"/>
      <c r="AC587" s="135"/>
      <c r="AD587" s="135"/>
    </row>
    <row r="588" spans="27:30" x14ac:dyDescent="0.25">
      <c r="AA588" s="116">
        <f t="shared" si="9"/>
        <v>0</v>
      </c>
      <c r="AB588" s="135"/>
      <c r="AC588" s="135"/>
      <c r="AD588" s="135"/>
    </row>
    <row r="589" spans="27:30" x14ac:dyDescent="0.25">
      <c r="AA589" s="116">
        <f t="shared" si="9"/>
        <v>0</v>
      </c>
      <c r="AB589" s="135"/>
      <c r="AC589" s="135"/>
      <c r="AD589" s="135"/>
    </row>
    <row r="590" spans="27:30" x14ac:dyDescent="0.25">
      <c r="AA590" s="116">
        <f t="shared" si="9"/>
        <v>0</v>
      </c>
      <c r="AB590" s="135"/>
      <c r="AC590" s="135"/>
      <c r="AD590" s="135"/>
    </row>
    <row r="591" spans="27:30" x14ac:dyDescent="0.25">
      <c r="AA591" s="116">
        <f t="shared" si="9"/>
        <v>0</v>
      </c>
      <c r="AB591" s="135"/>
      <c r="AC591" s="135"/>
      <c r="AD591" s="135"/>
    </row>
    <row r="592" spans="27:30" x14ac:dyDescent="0.25">
      <c r="AA592" s="116">
        <f t="shared" si="9"/>
        <v>0</v>
      </c>
      <c r="AB592" s="135"/>
      <c r="AC592" s="135"/>
      <c r="AD592" s="135"/>
    </row>
    <row r="593" spans="27:30" x14ac:dyDescent="0.25">
      <c r="AA593" s="116">
        <f t="shared" si="9"/>
        <v>0</v>
      </c>
      <c r="AB593" s="135"/>
      <c r="AC593" s="135"/>
      <c r="AD593" s="135"/>
    </row>
    <row r="594" spans="27:30" x14ac:dyDescent="0.25">
      <c r="AA594" s="116">
        <f t="shared" si="9"/>
        <v>0</v>
      </c>
      <c r="AB594" s="135"/>
      <c r="AC594" s="135"/>
      <c r="AD594" s="135"/>
    </row>
    <row r="595" spans="27:30" x14ac:dyDescent="0.25">
      <c r="AA595" s="116">
        <f t="shared" si="9"/>
        <v>0</v>
      </c>
      <c r="AB595" s="135"/>
      <c r="AC595" s="135"/>
      <c r="AD595" s="135"/>
    </row>
    <row r="596" spans="27:30" x14ac:dyDescent="0.25">
      <c r="AA596" s="116">
        <f t="shared" si="9"/>
        <v>0</v>
      </c>
      <c r="AB596" s="135"/>
      <c r="AC596" s="135"/>
      <c r="AD596" s="135"/>
    </row>
    <row r="597" spans="27:30" x14ac:dyDescent="0.25">
      <c r="AA597" s="116">
        <f t="shared" si="9"/>
        <v>0</v>
      </c>
      <c r="AB597" s="135"/>
      <c r="AC597" s="135"/>
      <c r="AD597" s="135"/>
    </row>
    <row r="598" spans="27:30" x14ac:dyDescent="0.25">
      <c r="AA598" s="116">
        <f t="shared" si="9"/>
        <v>0</v>
      </c>
      <c r="AB598" s="135"/>
      <c r="AC598" s="135"/>
      <c r="AD598" s="135"/>
    </row>
    <row r="599" spans="27:30" x14ac:dyDescent="0.25">
      <c r="AA599" s="116">
        <f t="shared" si="9"/>
        <v>0</v>
      </c>
      <c r="AB599" s="135"/>
      <c r="AC599" s="135"/>
      <c r="AD599" s="135"/>
    </row>
    <row r="600" spans="27:30" x14ac:dyDescent="0.25">
      <c r="AA600" s="116">
        <f t="shared" si="9"/>
        <v>0</v>
      </c>
      <c r="AB600" s="135"/>
      <c r="AC600" s="135"/>
      <c r="AD600" s="135"/>
    </row>
    <row r="601" spans="27:30" x14ac:dyDescent="0.25">
      <c r="AA601" s="116">
        <f t="shared" si="9"/>
        <v>0</v>
      </c>
      <c r="AB601" s="135"/>
      <c r="AC601" s="135"/>
      <c r="AD601" s="135"/>
    </row>
    <row r="602" spans="27:30" x14ac:dyDescent="0.25">
      <c r="AA602" s="116">
        <f t="shared" si="9"/>
        <v>0</v>
      </c>
      <c r="AB602" s="135"/>
      <c r="AC602" s="135"/>
      <c r="AD602" s="135"/>
    </row>
    <row r="603" spans="27:30" x14ac:dyDescent="0.25">
      <c r="AA603" s="116">
        <f t="shared" si="9"/>
        <v>0</v>
      </c>
      <c r="AB603" s="135"/>
      <c r="AC603" s="135"/>
      <c r="AD603" s="135"/>
    </row>
    <row r="604" spans="27:30" x14ac:dyDescent="0.25">
      <c r="AA604" s="116">
        <f t="shared" si="9"/>
        <v>0</v>
      </c>
      <c r="AB604" s="135"/>
      <c r="AC604" s="135"/>
      <c r="AD604" s="135"/>
    </row>
    <row r="605" spans="27:30" x14ac:dyDescent="0.25">
      <c r="AA605" s="116">
        <f t="shared" si="9"/>
        <v>0</v>
      </c>
      <c r="AB605" s="135"/>
      <c r="AC605" s="135"/>
      <c r="AD605" s="135"/>
    </row>
    <row r="606" spans="27:30" x14ac:dyDescent="0.25">
      <c r="AA606" s="116">
        <f t="shared" si="9"/>
        <v>0</v>
      </c>
      <c r="AB606" s="135"/>
      <c r="AC606" s="135"/>
      <c r="AD606" s="135"/>
    </row>
    <row r="607" spans="27:30" x14ac:dyDescent="0.25">
      <c r="AA607" s="116">
        <f t="shared" si="9"/>
        <v>0</v>
      </c>
      <c r="AB607" s="135"/>
      <c r="AC607" s="135"/>
      <c r="AD607" s="135"/>
    </row>
    <row r="608" spans="27:30" x14ac:dyDescent="0.25">
      <c r="AA608" s="116">
        <f t="shared" si="9"/>
        <v>0</v>
      </c>
      <c r="AB608" s="135"/>
      <c r="AC608" s="135"/>
      <c r="AD608" s="135"/>
    </row>
    <row r="609" spans="27:30" x14ac:dyDescent="0.25">
      <c r="AA609" s="116">
        <f t="shared" si="9"/>
        <v>0</v>
      </c>
      <c r="AB609" s="135"/>
      <c r="AC609" s="135"/>
      <c r="AD609" s="135"/>
    </row>
    <row r="610" spans="27:30" x14ac:dyDescent="0.25">
      <c r="AA610" s="116">
        <f t="shared" si="9"/>
        <v>0</v>
      </c>
      <c r="AB610" s="135"/>
      <c r="AC610" s="135"/>
      <c r="AD610" s="135"/>
    </row>
    <row r="611" spans="27:30" x14ac:dyDescent="0.25">
      <c r="AA611" s="116">
        <f t="shared" si="9"/>
        <v>0</v>
      </c>
      <c r="AB611" s="135"/>
      <c r="AC611" s="135"/>
      <c r="AD611" s="135"/>
    </row>
    <row r="612" spans="27:30" x14ac:dyDescent="0.25">
      <c r="AA612" s="116">
        <f t="shared" si="9"/>
        <v>0</v>
      </c>
      <c r="AB612" s="135"/>
      <c r="AC612" s="135"/>
      <c r="AD612" s="135"/>
    </row>
    <row r="613" spans="27:30" x14ac:dyDescent="0.25">
      <c r="AA613" s="116">
        <f t="shared" si="9"/>
        <v>0</v>
      </c>
      <c r="AB613" s="135"/>
      <c r="AC613" s="135"/>
      <c r="AD613" s="135"/>
    </row>
    <row r="614" spans="27:30" x14ac:dyDescent="0.25">
      <c r="AA614" s="116">
        <f t="shared" si="9"/>
        <v>0</v>
      </c>
      <c r="AB614" s="135"/>
      <c r="AC614" s="135"/>
      <c r="AD614" s="135"/>
    </row>
    <row r="615" spans="27:30" x14ac:dyDescent="0.25">
      <c r="AA615" s="116">
        <f t="shared" si="9"/>
        <v>0</v>
      </c>
      <c r="AB615" s="135"/>
      <c r="AC615" s="135"/>
      <c r="AD615" s="135"/>
    </row>
    <row r="616" spans="27:30" x14ac:dyDescent="0.25">
      <c r="AA616" s="116">
        <f t="shared" si="9"/>
        <v>0</v>
      </c>
      <c r="AB616" s="135"/>
      <c r="AC616" s="135"/>
      <c r="AD616" s="135"/>
    </row>
    <row r="617" spans="27:30" x14ac:dyDescent="0.25">
      <c r="AA617" s="116">
        <f t="shared" si="9"/>
        <v>0</v>
      </c>
      <c r="AB617" s="135"/>
      <c r="AC617" s="135"/>
      <c r="AD617" s="135"/>
    </row>
    <row r="618" spans="27:30" x14ac:dyDescent="0.25">
      <c r="AA618" s="116">
        <f t="shared" si="9"/>
        <v>0</v>
      </c>
      <c r="AB618" s="135"/>
      <c r="AC618" s="135"/>
      <c r="AD618" s="135"/>
    </row>
    <row r="619" spans="27:30" x14ac:dyDescent="0.25">
      <c r="AA619" s="116">
        <f t="shared" si="9"/>
        <v>0</v>
      </c>
      <c r="AB619" s="135"/>
      <c r="AC619" s="135"/>
      <c r="AD619" s="135"/>
    </row>
    <row r="620" spans="27:30" x14ac:dyDescent="0.25">
      <c r="AA620" s="116">
        <f t="shared" si="9"/>
        <v>0</v>
      </c>
      <c r="AB620" s="135"/>
      <c r="AC620" s="135"/>
      <c r="AD620" s="135"/>
    </row>
    <row r="621" spans="27:30" x14ac:dyDescent="0.25">
      <c r="AA621" s="116">
        <f t="shared" si="9"/>
        <v>0</v>
      </c>
      <c r="AB621" s="135"/>
      <c r="AC621" s="135"/>
      <c r="AD621" s="135"/>
    </row>
    <row r="622" spans="27:30" x14ac:dyDescent="0.25">
      <c r="AA622" s="116">
        <f t="shared" si="9"/>
        <v>0</v>
      </c>
      <c r="AB622" s="135"/>
      <c r="AC622" s="135"/>
      <c r="AD622" s="135"/>
    </row>
    <row r="623" spans="27:30" x14ac:dyDescent="0.25">
      <c r="AA623" s="116">
        <f t="shared" si="9"/>
        <v>0</v>
      </c>
      <c r="AB623" s="135"/>
      <c r="AC623" s="135"/>
      <c r="AD623" s="135"/>
    </row>
    <row r="624" spans="27:30" x14ac:dyDescent="0.25">
      <c r="AA624" s="116">
        <f t="shared" si="9"/>
        <v>0</v>
      </c>
      <c r="AB624" s="135"/>
      <c r="AC624" s="135"/>
      <c r="AD624" s="135"/>
    </row>
    <row r="625" spans="27:30" x14ac:dyDescent="0.25">
      <c r="AA625" s="116">
        <f t="shared" si="9"/>
        <v>0</v>
      </c>
      <c r="AB625" s="135"/>
      <c r="AC625" s="135"/>
      <c r="AD625" s="135"/>
    </row>
    <row r="626" spans="27:30" x14ac:dyDescent="0.25">
      <c r="AA626" s="116">
        <f t="shared" si="9"/>
        <v>0</v>
      </c>
      <c r="AB626" s="135"/>
      <c r="AC626" s="135"/>
      <c r="AD626" s="135"/>
    </row>
    <row r="627" spans="27:30" x14ac:dyDescent="0.25">
      <c r="AA627" s="116">
        <f t="shared" si="9"/>
        <v>0</v>
      </c>
      <c r="AB627" s="135"/>
      <c r="AC627" s="135"/>
      <c r="AD627" s="135"/>
    </row>
    <row r="628" spans="27:30" x14ac:dyDescent="0.25">
      <c r="AA628" s="116">
        <f t="shared" si="9"/>
        <v>0</v>
      </c>
      <c r="AB628" s="135"/>
      <c r="AC628" s="135"/>
      <c r="AD628" s="135"/>
    </row>
    <row r="629" spans="27:30" x14ac:dyDescent="0.25">
      <c r="AA629" s="116">
        <f t="shared" si="9"/>
        <v>0</v>
      </c>
      <c r="AB629" s="135"/>
      <c r="AC629" s="135"/>
      <c r="AD629" s="135"/>
    </row>
    <row r="630" spans="27:30" x14ac:dyDescent="0.25">
      <c r="AA630" s="116">
        <f t="shared" si="9"/>
        <v>0</v>
      </c>
      <c r="AB630" s="135"/>
      <c r="AC630" s="135"/>
      <c r="AD630" s="135"/>
    </row>
    <row r="631" spans="27:30" x14ac:dyDescent="0.25">
      <c r="AA631" s="116">
        <f t="shared" si="9"/>
        <v>0</v>
      </c>
      <c r="AB631" s="135"/>
      <c r="AC631" s="135"/>
      <c r="AD631" s="135"/>
    </row>
    <row r="632" spans="27:30" x14ac:dyDescent="0.25">
      <c r="AA632" s="116">
        <f t="shared" si="9"/>
        <v>0</v>
      </c>
      <c r="AB632" s="135"/>
      <c r="AC632" s="135"/>
      <c r="AD632" s="135"/>
    </row>
    <row r="633" spans="27:30" x14ac:dyDescent="0.25">
      <c r="AA633" s="116">
        <f t="shared" si="9"/>
        <v>0</v>
      </c>
      <c r="AB633" s="135"/>
      <c r="AC633" s="135"/>
      <c r="AD633" s="135"/>
    </row>
    <row r="634" spans="27:30" x14ac:dyDescent="0.25">
      <c r="AA634" s="116">
        <f t="shared" si="9"/>
        <v>0</v>
      </c>
      <c r="AB634" s="135"/>
      <c r="AC634" s="135"/>
      <c r="AD634" s="135"/>
    </row>
    <row r="635" spans="27:30" x14ac:dyDescent="0.25">
      <c r="AA635" s="116">
        <f t="shared" si="9"/>
        <v>0</v>
      </c>
      <c r="AB635" s="135"/>
      <c r="AC635" s="135"/>
      <c r="AD635" s="135"/>
    </row>
    <row r="636" spans="27:30" x14ac:dyDescent="0.25">
      <c r="AA636" s="116">
        <f t="shared" si="9"/>
        <v>0</v>
      </c>
      <c r="AB636" s="135"/>
      <c r="AC636" s="135"/>
      <c r="AD636" s="135"/>
    </row>
    <row r="637" spans="27:30" x14ac:dyDescent="0.25">
      <c r="AA637" s="116">
        <f t="shared" si="9"/>
        <v>0</v>
      </c>
      <c r="AB637" s="135"/>
      <c r="AC637" s="135"/>
      <c r="AD637" s="135"/>
    </row>
    <row r="638" spans="27:30" x14ac:dyDescent="0.25">
      <c r="AA638" s="116">
        <f t="shared" si="9"/>
        <v>0</v>
      </c>
      <c r="AB638" s="135"/>
      <c r="AC638" s="135"/>
      <c r="AD638" s="135"/>
    </row>
    <row r="639" spans="27:30" x14ac:dyDescent="0.25">
      <c r="AA639" s="116">
        <f t="shared" si="9"/>
        <v>0</v>
      </c>
      <c r="AB639" s="135"/>
      <c r="AC639" s="135"/>
      <c r="AD639" s="135"/>
    </row>
    <row r="640" spans="27:30" x14ac:dyDescent="0.25">
      <c r="AA640" s="116">
        <f t="shared" si="9"/>
        <v>0</v>
      </c>
      <c r="AB640" s="135"/>
      <c r="AC640" s="135"/>
      <c r="AD640" s="135"/>
    </row>
    <row r="641" spans="27:30" x14ac:dyDescent="0.25">
      <c r="AA641" s="116">
        <f t="shared" si="9"/>
        <v>0</v>
      </c>
      <c r="AB641" s="135"/>
      <c r="AC641" s="135"/>
      <c r="AD641" s="135"/>
    </row>
    <row r="642" spans="27:30" x14ac:dyDescent="0.25">
      <c r="AA642" s="116">
        <f t="shared" ref="AA642:AA705" si="10">SUM(N642:Z642)</f>
        <v>0</v>
      </c>
      <c r="AB642" s="135"/>
      <c r="AC642" s="135"/>
      <c r="AD642" s="135"/>
    </row>
    <row r="643" spans="27:30" x14ac:dyDescent="0.25">
      <c r="AA643" s="116">
        <f t="shared" si="10"/>
        <v>0</v>
      </c>
      <c r="AB643" s="135"/>
      <c r="AC643" s="135"/>
      <c r="AD643" s="135"/>
    </row>
    <row r="644" spans="27:30" x14ac:dyDescent="0.25">
      <c r="AA644" s="116">
        <f t="shared" si="10"/>
        <v>0</v>
      </c>
      <c r="AB644" s="135"/>
      <c r="AC644" s="135"/>
      <c r="AD644" s="135"/>
    </row>
    <row r="645" spans="27:30" x14ac:dyDescent="0.25">
      <c r="AA645" s="116">
        <f t="shared" si="10"/>
        <v>0</v>
      </c>
      <c r="AB645" s="135"/>
      <c r="AC645" s="135"/>
      <c r="AD645" s="135"/>
    </row>
    <row r="646" spans="27:30" x14ac:dyDescent="0.25">
      <c r="AA646" s="116">
        <f t="shared" si="10"/>
        <v>0</v>
      </c>
      <c r="AB646" s="135"/>
      <c r="AC646" s="135"/>
      <c r="AD646" s="135"/>
    </row>
    <row r="647" spans="27:30" x14ac:dyDescent="0.25">
      <c r="AA647" s="116">
        <f t="shared" si="10"/>
        <v>0</v>
      </c>
      <c r="AB647" s="135"/>
      <c r="AC647" s="135"/>
      <c r="AD647" s="135"/>
    </row>
    <row r="648" spans="27:30" x14ac:dyDescent="0.25">
      <c r="AA648" s="116">
        <f t="shared" si="10"/>
        <v>0</v>
      </c>
      <c r="AB648" s="135"/>
      <c r="AC648" s="135"/>
      <c r="AD648" s="135"/>
    </row>
    <row r="649" spans="27:30" x14ac:dyDescent="0.25">
      <c r="AA649" s="116">
        <f t="shared" si="10"/>
        <v>0</v>
      </c>
      <c r="AB649" s="135"/>
      <c r="AC649" s="135"/>
      <c r="AD649" s="135"/>
    </row>
    <row r="650" spans="27:30" x14ac:dyDescent="0.25">
      <c r="AA650" s="116">
        <f t="shared" si="10"/>
        <v>0</v>
      </c>
      <c r="AB650" s="135"/>
      <c r="AC650" s="135"/>
      <c r="AD650" s="135"/>
    </row>
    <row r="651" spans="27:30" x14ac:dyDescent="0.25">
      <c r="AA651" s="116">
        <f t="shared" si="10"/>
        <v>0</v>
      </c>
      <c r="AB651" s="135"/>
      <c r="AC651" s="135"/>
      <c r="AD651" s="135"/>
    </row>
    <row r="652" spans="27:30" x14ac:dyDescent="0.25">
      <c r="AA652" s="116">
        <f t="shared" si="10"/>
        <v>0</v>
      </c>
      <c r="AB652" s="135"/>
      <c r="AC652" s="135"/>
      <c r="AD652" s="135"/>
    </row>
    <row r="653" spans="27:30" x14ac:dyDescent="0.25">
      <c r="AA653" s="116">
        <f t="shared" si="10"/>
        <v>0</v>
      </c>
      <c r="AB653" s="135"/>
      <c r="AC653" s="135"/>
      <c r="AD653" s="135"/>
    </row>
    <row r="654" spans="27:30" x14ac:dyDescent="0.25">
      <c r="AA654" s="116">
        <f t="shared" si="10"/>
        <v>0</v>
      </c>
      <c r="AB654" s="135"/>
      <c r="AC654" s="135"/>
      <c r="AD654" s="135"/>
    </row>
    <row r="655" spans="27:30" x14ac:dyDescent="0.25">
      <c r="AA655" s="116">
        <f t="shared" si="10"/>
        <v>0</v>
      </c>
      <c r="AB655" s="135"/>
      <c r="AC655" s="135"/>
      <c r="AD655" s="135"/>
    </row>
    <row r="656" spans="27:30" x14ac:dyDescent="0.25">
      <c r="AA656" s="116">
        <f t="shared" si="10"/>
        <v>0</v>
      </c>
      <c r="AB656" s="135"/>
      <c r="AC656" s="135"/>
      <c r="AD656" s="135"/>
    </row>
    <row r="657" spans="27:30" x14ac:dyDescent="0.25">
      <c r="AA657" s="116">
        <f t="shared" si="10"/>
        <v>0</v>
      </c>
      <c r="AB657" s="135"/>
      <c r="AC657" s="135"/>
      <c r="AD657" s="135"/>
    </row>
    <row r="658" spans="27:30" x14ac:dyDescent="0.25">
      <c r="AA658" s="116">
        <f t="shared" si="10"/>
        <v>0</v>
      </c>
      <c r="AB658" s="135"/>
      <c r="AC658" s="135"/>
      <c r="AD658" s="135"/>
    </row>
    <row r="659" spans="27:30" x14ac:dyDescent="0.25">
      <c r="AA659" s="116">
        <f t="shared" si="10"/>
        <v>0</v>
      </c>
      <c r="AB659" s="135"/>
      <c r="AC659" s="135"/>
      <c r="AD659" s="135"/>
    </row>
    <row r="660" spans="27:30" x14ac:dyDescent="0.25">
      <c r="AA660" s="116">
        <f t="shared" si="10"/>
        <v>0</v>
      </c>
      <c r="AB660" s="135"/>
      <c r="AC660" s="135"/>
      <c r="AD660" s="135"/>
    </row>
    <row r="661" spans="27:30" x14ac:dyDescent="0.25">
      <c r="AA661" s="116">
        <f t="shared" si="10"/>
        <v>0</v>
      </c>
      <c r="AB661" s="135"/>
      <c r="AC661" s="135"/>
      <c r="AD661" s="135"/>
    </row>
    <row r="662" spans="27:30" x14ac:dyDescent="0.25">
      <c r="AA662" s="116">
        <f t="shared" si="10"/>
        <v>0</v>
      </c>
      <c r="AB662" s="135"/>
      <c r="AC662" s="135"/>
      <c r="AD662" s="135"/>
    </row>
    <row r="663" spans="27:30" x14ac:dyDescent="0.25">
      <c r="AA663" s="116">
        <f t="shared" si="10"/>
        <v>0</v>
      </c>
      <c r="AB663" s="135"/>
      <c r="AC663" s="135"/>
      <c r="AD663" s="135"/>
    </row>
    <row r="664" spans="27:30" x14ac:dyDescent="0.25">
      <c r="AA664" s="116">
        <f t="shared" si="10"/>
        <v>0</v>
      </c>
      <c r="AB664" s="135"/>
      <c r="AC664" s="135"/>
      <c r="AD664" s="135"/>
    </row>
    <row r="665" spans="27:30" x14ac:dyDescent="0.25">
      <c r="AA665" s="116">
        <f t="shared" si="10"/>
        <v>0</v>
      </c>
      <c r="AB665" s="135"/>
      <c r="AC665" s="135"/>
      <c r="AD665" s="135"/>
    </row>
    <row r="666" spans="27:30" x14ac:dyDescent="0.25">
      <c r="AA666" s="116">
        <f t="shared" si="10"/>
        <v>0</v>
      </c>
      <c r="AB666" s="135"/>
      <c r="AC666" s="135"/>
      <c r="AD666" s="135"/>
    </row>
    <row r="667" spans="27:30" x14ac:dyDescent="0.25">
      <c r="AA667" s="116">
        <f t="shared" si="10"/>
        <v>0</v>
      </c>
      <c r="AB667" s="135"/>
      <c r="AC667" s="135"/>
      <c r="AD667" s="135"/>
    </row>
    <row r="668" spans="27:30" x14ac:dyDescent="0.25">
      <c r="AA668" s="116">
        <f t="shared" si="10"/>
        <v>0</v>
      </c>
      <c r="AB668" s="135"/>
      <c r="AC668" s="135"/>
      <c r="AD668" s="135"/>
    </row>
    <row r="669" spans="27:30" x14ac:dyDescent="0.25">
      <c r="AA669" s="116">
        <f t="shared" si="10"/>
        <v>0</v>
      </c>
      <c r="AB669" s="135"/>
      <c r="AC669" s="135"/>
      <c r="AD669" s="135"/>
    </row>
    <row r="670" spans="27:30" x14ac:dyDescent="0.25">
      <c r="AA670" s="116">
        <f t="shared" si="10"/>
        <v>0</v>
      </c>
      <c r="AB670" s="135"/>
      <c r="AC670" s="135"/>
      <c r="AD670" s="135"/>
    </row>
    <row r="671" spans="27:30" x14ac:dyDescent="0.25">
      <c r="AA671" s="116">
        <f t="shared" si="10"/>
        <v>0</v>
      </c>
      <c r="AB671" s="135"/>
      <c r="AC671" s="135"/>
      <c r="AD671" s="135"/>
    </row>
    <row r="672" spans="27:30" x14ac:dyDescent="0.25">
      <c r="AA672" s="116">
        <f t="shared" si="10"/>
        <v>0</v>
      </c>
      <c r="AB672" s="135"/>
      <c r="AC672" s="135"/>
      <c r="AD672" s="135"/>
    </row>
    <row r="673" spans="27:30" x14ac:dyDescent="0.25">
      <c r="AA673" s="116">
        <f t="shared" si="10"/>
        <v>0</v>
      </c>
      <c r="AB673" s="135"/>
      <c r="AC673" s="135"/>
      <c r="AD673" s="135"/>
    </row>
    <row r="674" spans="27:30" x14ac:dyDescent="0.25">
      <c r="AA674" s="116">
        <f t="shared" si="10"/>
        <v>0</v>
      </c>
      <c r="AB674" s="135"/>
      <c r="AC674" s="135"/>
      <c r="AD674" s="135"/>
    </row>
    <row r="675" spans="27:30" x14ac:dyDescent="0.25">
      <c r="AA675" s="116">
        <f t="shared" si="10"/>
        <v>0</v>
      </c>
      <c r="AB675" s="135"/>
      <c r="AC675" s="135"/>
      <c r="AD675" s="135"/>
    </row>
    <row r="676" spans="27:30" x14ac:dyDescent="0.25">
      <c r="AA676" s="116">
        <f t="shared" si="10"/>
        <v>0</v>
      </c>
      <c r="AB676" s="135"/>
      <c r="AC676" s="135"/>
      <c r="AD676" s="135"/>
    </row>
    <row r="677" spans="27:30" x14ac:dyDescent="0.25">
      <c r="AA677" s="116">
        <f t="shared" si="10"/>
        <v>0</v>
      </c>
      <c r="AB677" s="135"/>
      <c r="AC677" s="135"/>
      <c r="AD677" s="135"/>
    </row>
    <row r="678" spans="27:30" x14ac:dyDescent="0.25">
      <c r="AA678" s="116">
        <f t="shared" si="10"/>
        <v>0</v>
      </c>
      <c r="AB678" s="135"/>
      <c r="AC678" s="135"/>
      <c r="AD678" s="135"/>
    </row>
    <row r="679" spans="27:30" x14ac:dyDescent="0.25">
      <c r="AA679" s="116">
        <f t="shared" si="10"/>
        <v>0</v>
      </c>
      <c r="AB679" s="135"/>
      <c r="AC679" s="135"/>
      <c r="AD679" s="135"/>
    </row>
    <row r="680" spans="27:30" x14ac:dyDescent="0.25">
      <c r="AA680" s="116">
        <f t="shared" si="10"/>
        <v>0</v>
      </c>
      <c r="AB680" s="135"/>
      <c r="AC680" s="135"/>
      <c r="AD680" s="135"/>
    </row>
    <row r="681" spans="27:30" x14ac:dyDescent="0.25">
      <c r="AA681" s="116">
        <f t="shared" si="10"/>
        <v>0</v>
      </c>
      <c r="AB681" s="135"/>
      <c r="AC681" s="135"/>
      <c r="AD681" s="135"/>
    </row>
    <row r="682" spans="27:30" x14ac:dyDescent="0.25">
      <c r="AA682" s="116">
        <f t="shared" si="10"/>
        <v>0</v>
      </c>
      <c r="AB682" s="135"/>
      <c r="AC682" s="135"/>
      <c r="AD682" s="135"/>
    </row>
    <row r="683" spans="27:30" x14ac:dyDescent="0.25">
      <c r="AA683" s="116">
        <f t="shared" si="10"/>
        <v>0</v>
      </c>
      <c r="AB683" s="135"/>
      <c r="AC683" s="135"/>
      <c r="AD683" s="135"/>
    </row>
    <row r="684" spans="27:30" x14ac:dyDescent="0.25">
      <c r="AA684" s="116">
        <f t="shared" si="10"/>
        <v>0</v>
      </c>
      <c r="AB684" s="135"/>
      <c r="AC684" s="135"/>
      <c r="AD684" s="135"/>
    </row>
    <row r="685" spans="27:30" x14ac:dyDescent="0.25">
      <c r="AA685" s="116">
        <f t="shared" si="10"/>
        <v>0</v>
      </c>
      <c r="AB685" s="135"/>
      <c r="AC685" s="135"/>
      <c r="AD685" s="135"/>
    </row>
    <row r="686" spans="27:30" x14ac:dyDescent="0.25">
      <c r="AA686" s="116">
        <f t="shared" si="10"/>
        <v>0</v>
      </c>
      <c r="AB686" s="135"/>
      <c r="AC686" s="135"/>
      <c r="AD686" s="135"/>
    </row>
    <row r="687" spans="27:30" x14ac:dyDescent="0.25">
      <c r="AA687" s="116">
        <f t="shared" si="10"/>
        <v>0</v>
      </c>
      <c r="AB687" s="135"/>
      <c r="AC687" s="135"/>
      <c r="AD687" s="135"/>
    </row>
    <row r="688" spans="27:30" x14ac:dyDescent="0.25">
      <c r="AA688" s="116">
        <f t="shared" si="10"/>
        <v>0</v>
      </c>
      <c r="AB688" s="135"/>
      <c r="AC688" s="135"/>
      <c r="AD688" s="135"/>
    </row>
    <row r="689" spans="27:30" x14ac:dyDescent="0.25">
      <c r="AA689" s="116">
        <f t="shared" si="10"/>
        <v>0</v>
      </c>
      <c r="AB689" s="135"/>
      <c r="AC689" s="135"/>
      <c r="AD689" s="135"/>
    </row>
    <row r="690" spans="27:30" x14ac:dyDescent="0.25">
      <c r="AA690" s="116">
        <f t="shared" si="10"/>
        <v>0</v>
      </c>
      <c r="AB690" s="135"/>
      <c r="AC690" s="135"/>
      <c r="AD690" s="135"/>
    </row>
    <row r="691" spans="27:30" x14ac:dyDescent="0.25">
      <c r="AA691" s="116">
        <f t="shared" si="10"/>
        <v>0</v>
      </c>
      <c r="AB691" s="135"/>
      <c r="AC691" s="135"/>
      <c r="AD691" s="135"/>
    </row>
    <row r="692" spans="27:30" x14ac:dyDescent="0.25">
      <c r="AA692" s="116">
        <f t="shared" si="10"/>
        <v>0</v>
      </c>
      <c r="AB692" s="135"/>
      <c r="AC692" s="135"/>
      <c r="AD692" s="135"/>
    </row>
    <row r="693" spans="27:30" x14ac:dyDescent="0.25">
      <c r="AA693" s="116">
        <f t="shared" si="10"/>
        <v>0</v>
      </c>
      <c r="AB693" s="135"/>
      <c r="AC693" s="135"/>
      <c r="AD693" s="135"/>
    </row>
    <row r="694" spans="27:30" x14ac:dyDescent="0.25">
      <c r="AA694" s="116">
        <f t="shared" si="10"/>
        <v>0</v>
      </c>
      <c r="AB694" s="135"/>
      <c r="AC694" s="135"/>
      <c r="AD694" s="135"/>
    </row>
    <row r="695" spans="27:30" x14ac:dyDescent="0.25">
      <c r="AA695" s="116">
        <f t="shared" si="10"/>
        <v>0</v>
      </c>
      <c r="AB695" s="135"/>
      <c r="AC695" s="135"/>
      <c r="AD695" s="135"/>
    </row>
    <row r="696" spans="27:30" x14ac:dyDescent="0.25">
      <c r="AA696" s="116">
        <f t="shared" si="10"/>
        <v>0</v>
      </c>
      <c r="AB696" s="135"/>
      <c r="AC696" s="135"/>
      <c r="AD696" s="135"/>
    </row>
    <row r="697" spans="27:30" x14ac:dyDescent="0.25">
      <c r="AA697" s="116">
        <f t="shared" si="10"/>
        <v>0</v>
      </c>
      <c r="AB697" s="135"/>
      <c r="AC697" s="135"/>
      <c r="AD697" s="135"/>
    </row>
    <row r="698" spans="27:30" x14ac:dyDescent="0.25">
      <c r="AA698" s="116">
        <f t="shared" si="10"/>
        <v>0</v>
      </c>
      <c r="AB698" s="135"/>
      <c r="AC698" s="135"/>
      <c r="AD698" s="135"/>
    </row>
    <row r="699" spans="27:30" x14ac:dyDescent="0.25">
      <c r="AA699" s="116">
        <f t="shared" si="10"/>
        <v>0</v>
      </c>
      <c r="AB699" s="135"/>
      <c r="AC699" s="135"/>
      <c r="AD699" s="135"/>
    </row>
    <row r="700" spans="27:30" x14ac:dyDescent="0.25">
      <c r="AA700" s="116">
        <f t="shared" si="10"/>
        <v>0</v>
      </c>
      <c r="AB700" s="135"/>
      <c r="AC700" s="135"/>
      <c r="AD700" s="135"/>
    </row>
    <row r="701" spans="27:30" x14ac:dyDescent="0.25">
      <c r="AA701" s="116">
        <f t="shared" si="10"/>
        <v>0</v>
      </c>
      <c r="AB701" s="135"/>
      <c r="AC701" s="135"/>
      <c r="AD701" s="135"/>
    </row>
    <row r="702" spans="27:30" x14ac:dyDescent="0.25">
      <c r="AA702" s="116">
        <f t="shared" si="10"/>
        <v>0</v>
      </c>
      <c r="AB702" s="135"/>
      <c r="AC702" s="135"/>
      <c r="AD702" s="135"/>
    </row>
    <row r="703" spans="27:30" x14ac:dyDescent="0.25">
      <c r="AA703" s="116">
        <f t="shared" si="10"/>
        <v>0</v>
      </c>
      <c r="AB703" s="135"/>
      <c r="AC703" s="135"/>
      <c r="AD703" s="135"/>
    </row>
    <row r="704" spans="27:30" x14ac:dyDescent="0.25">
      <c r="AA704" s="116">
        <f t="shared" si="10"/>
        <v>0</v>
      </c>
      <c r="AB704" s="135"/>
      <c r="AC704" s="135"/>
      <c r="AD704" s="135"/>
    </row>
    <row r="705" spans="27:30" x14ac:dyDescent="0.25">
      <c r="AA705" s="116">
        <f t="shared" si="10"/>
        <v>0</v>
      </c>
      <c r="AB705" s="135"/>
      <c r="AC705" s="135"/>
      <c r="AD705" s="135"/>
    </row>
    <row r="706" spans="27:30" x14ac:dyDescent="0.25">
      <c r="AA706" s="116">
        <f t="shared" ref="AA706:AA769" si="11">SUM(N706:Z706)</f>
        <v>0</v>
      </c>
      <c r="AB706" s="135"/>
      <c r="AC706" s="135"/>
      <c r="AD706" s="135"/>
    </row>
    <row r="707" spans="27:30" x14ac:dyDescent="0.25">
      <c r="AA707" s="116">
        <f t="shared" si="11"/>
        <v>0</v>
      </c>
      <c r="AB707" s="135"/>
      <c r="AC707" s="135"/>
      <c r="AD707" s="135"/>
    </row>
    <row r="708" spans="27:30" x14ac:dyDescent="0.25">
      <c r="AA708" s="116">
        <f t="shared" si="11"/>
        <v>0</v>
      </c>
      <c r="AB708" s="135"/>
      <c r="AC708" s="135"/>
      <c r="AD708" s="135"/>
    </row>
    <row r="709" spans="27:30" x14ac:dyDescent="0.25">
      <c r="AA709" s="116">
        <f t="shared" si="11"/>
        <v>0</v>
      </c>
      <c r="AB709" s="135"/>
      <c r="AC709" s="135"/>
      <c r="AD709" s="135"/>
    </row>
    <row r="710" spans="27:30" x14ac:dyDescent="0.25">
      <c r="AA710" s="116">
        <f t="shared" si="11"/>
        <v>0</v>
      </c>
      <c r="AB710" s="135"/>
      <c r="AC710" s="135"/>
      <c r="AD710" s="135"/>
    </row>
    <row r="711" spans="27:30" x14ac:dyDescent="0.25">
      <c r="AA711" s="116">
        <f t="shared" si="11"/>
        <v>0</v>
      </c>
      <c r="AB711" s="135"/>
      <c r="AC711" s="135"/>
      <c r="AD711" s="135"/>
    </row>
    <row r="712" spans="27:30" x14ac:dyDescent="0.25">
      <c r="AA712" s="116">
        <f t="shared" si="11"/>
        <v>0</v>
      </c>
      <c r="AB712" s="135"/>
      <c r="AC712" s="135"/>
      <c r="AD712" s="135"/>
    </row>
    <row r="713" spans="27:30" x14ac:dyDescent="0.25">
      <c r="AA713" s="116">
        <f t="shared" si="11"/>
        <v>0</v>
      </c>
      <c r="AB713" s="135"/>
      <c r="AC713" s="135"/>
      <c r="AD713" s="135"/>
    </row>
    <row r="714" spans="27:30" x14ac:dyDescent="0.25">
      <c r="AA714" s="116">
        <f t="shared" si="11"/>
        <v>0</v>
      </c>
      <c r="AB714" s="135"/>
      <c r="AC714" s="135"/>
      <c r="AD714" s="135"/>
    </row>
    <row r="715" spans="27:30" x14ac:dyDescent="0.25">
      <c r="AA715" s="116">
        <f t="shared" si="11"/>
        <v>0</v>
      </c>
      <c r="AB715" s="135"/>
      <c r="AC715" s="135"/>
      <c r="AD715" s="135"/>
    </row>
    <row r="716" spans="27:30" x14ac:dyDescent="0.25">
      <c r="AA716" s="116">
        <f t="shared" si="11"/>
        <v>0</v>
      </c>
      <c r="AB716" s="135"/>
      <c r="AC716" s="135"/>
      <c r="AD716" s="135"/>
    </row>
    <row r="717" spans="27:30" x14ac:dyDescent="0.25">
      <c r="AA717" s="116">
        <f t="shared" si="11"/>
        <v>0</v>
      </c>
      <c r="AB717" s="135"/>
      <c r="AC717" s="135"/>
      <c r="AD717" s="135"/>
    </row>
    <row r="718" spans="27:30" x14ac:dyDescent="0.25">
      <c r="AA718" s="116">
        <f t="shared" si="11"/>
        <v>0</v>
      </c>
      <c r="AB718" s="135"/>
      <c r="AC718" s="135"/>
      <c r="AD718" s="135"/>
    </row>
    <row r="719" spans="27:30" x14ac:dyDescent="0.25">
      <c r="AA719" s="116">
        <f t="shared" si="11"/>
        <v>0</v>
      </c>
      <c r="AB719" s="135"/>
      <c r="AC719" s="135"/>
      <c r="AD719" s="135"/>
    </row>
    <row r="720" spans="27:30" x14ac:dyDescent="0.25">
      <c r="AA720" s="116">
        <f t="shared" si="11"/>
        <v>0</v>
      </c>
      <c r="AB720" s="135"/>
      <c r="AC720" s="135"/>
      <c r="AD720" s="135"/>
    </row>
    <row r="721" spans="27:30" x14ac:dyDescent="0.25">
      <c r="AA721" s="116">
        <f t="shared" si="11"/>
        <v>0</v>
      </c>
      <c r="AB721" s="135"/>
      <c r="AC721" s="135"/>
      <c r="AD721" s="135"/>
    </row>
    <row r="722" spans="27:30" x14ac:dyDescent="0.25">
      <c r="AA722" s="116">
        <f t="shared" si="11"/>
        <v>0</v>
      </c>
      <c r="AB722" s="135"/>
      <c r="AC722" s="135"/>
      <c r="AD722" s="135"/>
    </row>
    <row r="723" spans="27:30" x14ac:dyDescent="0.25">
      <c r="AA723" s="116">
        <f t="shared" si="11"/>
        <v>0</v>
      </c>
      <c r="AB723" s="135"/>
      <c r="AC723" s="135"/>
      <c r="AD723" s="135"/>
    </row>
    <row r="724" spans="27:30" x14ac:dyDescent="0.25">
      <c r="AA724" s="116">
        <f t="shared" si="11"/>
        <v>0</v>
      </c>
      <c r="AB724" s="135"/>
      <c r="AC724" s="135"/>
      <c r="AD724" s="135"/>
    </row>
    <row r="725" spans="27:30" x14ac:dyDescent="0.25">
      <c r="AA725" s="116">
        <f t="shared" si="11"/>
        <v>0</v>
      </c>
      <c r="AB725" s="135"/>
      <c r="AC725" s="135"/>
      <c r="AD725" s="135"/>
    </row>
    <row r="726" spans="27:30" x14ac:dyDescent="0.25">
      <c r="AA726" s="116">
        <f t="shared" si="11"/>
        <v>0</v>
      </c>
      <c r="AB726" s="135"/>
      <c r="AC726" s="135"/>
      <c r="AD726" s="135"/>
    </row>
    <row r="727" spans="27:30" x14ac:dyDescent="0.25">
      <c r="AA727" s="116">
        <f t="shared" si="11"/>
        <v>0</v>
      </c>
      <c r="AB727" s="135"/>
      <c r="AC727" s="135"/>
      <c r="AD727" s="135"/>
    </row>
    <row r="728" spans="27:30" x14ac:dyDescent="0.25">
      <c r="AA728" s="116">
        <f t="shared" si="11"/>
        <v>0</v>
      </c>
      <c r="AB728" s="135"/>
      <c r="AC728" s="135"/>
      <c r="AD728" s="135"/>
    </row>
    <row r="729" spans="27:30" x14ac:dyDescent="0.25">
      <c r="AA729" s="116">
        <f t="shared" si="11"/>
        <v>0</v>
      </c>
      <c r="AB729" s="135"/>
      <c r="AC729" s="135"/>
      <c r="AD729" s="135"/>
    </row>
    <row r="730" spans="27:30" x14ac:dyDescent="0.25">
      <c r="AA730" s="116">
        <f t="shared" si="11"/>
        <v>0</v>
      </c>
      <c r="AB730" s="135"/>
      <c r="AC730" s="135"/>
      <c r="AD730" s="135"/>
    </row>
    <row r="731" spans="27:30" x14ac:dyDescent="0.25">
      <c r="AA731" s="116">
        <f t="shared" si="11"/>
        <v>0</v>
      </c>
      <c r="AB731" s="135"/>
      <c r="AC731" s="135"/>
      <c r="AD731" s="135"/>
    </row>
    <row r="732" spans="27:30" x14ac:dyDescent="0.25">
      <c r="AA732" s="116">
        <f t="shared" si="11"/>
        <v>0</v>
      </c>
      <c r="AB732" s="135"/>
      <c r="AC732" s="135"/>
      <c r="AD732" s="135"/>
    </row>
    <row r="733" spans="27:30" x14ac:dyDescent="0.25">
      <c r="AA733" s="116">
        <f t="shared" si="11"/>
        <v>0</v>
      </c>
      <c r="AB733" s="135"/>
      <c r="AC733" s="135"/>
      <c r="AD733" s="135"/>
    </row>
    <row r="734" spans="27:30" x14ac:dyDescent="0.25">
      <c r="AA734" s="116">
        <f t="shared" si="11"/>
        <v>0</v>
      </c>
      <c r="AB734" s="135"/>
      <c r="AC734" s="135"/>
      <c r="AD734" s="135"/>
    </row>
    <row r="735" spans="27:30" x14ac:dyDescent="0.25">
      <c r="AA735" s="116">
        <f t="shared" si="11"/>
        <v>0</v>
      </c>
      <c r="AB735" s="135"/>
      <c r="AC735" s="135"/>
      <c r="AD735" s="135"/>
    </row>
    <row r="736" spans="27:30" x14ac:dyDescent="0.25">
      <c r="AA736" s="116">
        <f t="shared" si="11"/>
        <v>0</v>
      </c>
      <c r="AB736" s="135"/>
      <c r="AC736" s="135"/>
      <c r="AD736" s="135"/>
    </row>
    <row r="737" spans="27:30" x14ac:dyDescent="0.25">
      <c r="AA737" s="116">
        <f t="shared" si="11"/>
        <v>0</v>
      </c>
      <c r="AB737" s="135"/>
      <c r="AC737" s="135"/>
      <c r="AD737" s="135"/>
    </row>
    <row r="738" spans="27:30" x14ac:dyDescent="0.25">
      <c r="AA738" s="116">
        <f t="shared" si="11"/>
        <v>0</v>
      </c>
      <c r="AB738" s="135"/>
      <c r="AC738" s="135"/>
      <c r="AD738" s="135"/>
    </row>
    <row r="739" spans="27:30" x14ac:dyDescent="0.25">
      <c r="AA739" s="116">
        <f t="shared" si="11"/>
        <v>0</v>
      </c>
      <c r="AB739" s="135"/>
      <c r="AC739" s="135"/>
      <c r="AD739" s="135"/>
    </row>
    <row r="740" spans="27:30" x14ac:dyDescent="0.25">
      <c r="AA740" s="116">
        <f t="shared" si="11"/>
        <v>0</v>
      </c>
      <c r="AB740" s="135"/>
      <c r="AC740" s="135"/>
      <c r="AD740" s="135"/>
    </row>
    <row r="741" spans="27:30" x14ac:dyDescent="0.25">
      <c r="AA741" s="116">
        <f t="shared" si="11"/>
        <v>0</v>
      </c>
      <c r="AB741" s="135"/>
      <c r="AC741" s="135"/>
      <c r="AD741" s="135"/>
    </row>
    <row r="742" spans="27:30" x14ac:dyDescent="0.25">
      <c r="AA742" s="116">
        <f t="shared" si="11"/>
        <v>0</v>
      </c>
      <c r="AB742" s="135"/>
      <c r="AC742" s="135"/>
      <c r="AD742" s="135"/>
    </row>
    <row r="743" spans="27:30" x14ac:dyDescent="0.25">
      <c r="AA743" s="116">
        <f t="shared" si="11"/>
        <v>0</v>
      </c>
      <c r="AB743" s="135"/>
      <c r="AC743" s="135"/>
      <c r="AD743" s="135"/>
    </row>
    <row r="744" spans="27:30" x14ac:dyDescent="0.25">
      <c r="AA744" s="116">
        <f t="shared" si="11"/>
        <v>0</v>
      </c>
      <c r="AB744" s="135"/>
      <c r="AC744" s="135"/>
      <c r="AD744" s="135"/>
    </row>
    <row r="745" spans="27:30" x14ac:dyDescent="0.25">
      <c r="AA745" s="116">
        <f t="shared" si="11"/>
        <v>0</v>
      </c>
      <c r="AB745" s="135"/>
      <c r="AC745" s="135"/>
      <c r="AD745" s="135"/>
    </row>
    <row r="746" spans="27:30" x14ac:dyDescent="0.25">
      <c r="AA746" s="116">
        <f t="shared" si="11"/>
        <v>0</v>
      </c>
      <c r="AB746" s="135"/>
      <c r="AC746" s="135"/>
      <c r="AD746" s="135"/>
    </row>
    <row r="747" spans="27:30" x14ac:dyDescent="0.25">
      <c r="AA747" s="116">
        <f t="shared" si="11"/>
        <v>0</v>
      </c>
      <c r="AB747" s="135"/>
      <c r="AC747" s="135"/>
      <c r="AD747" s="135"/>
    </row>
    <row r="748" spans="27:30" x14ac:dyDescent="0.25">
      <c r="AA748" s="116">
        <f t="shared" si="11"/>
        <v>0</v>
      </c>
      <c r="AB748" s="135"/>
      <c r="AC748" s="135"/>
      <c r="AD748" s="135"/>
    </row>
    <row r="749" spans="27:30" x14ac:dyDescent="0.25">
      <c r="AA749" s="116">
        <f t="shared" si="11"/>
        <v>0</v>
      </c>
      <c r="AB749" s="135"/>
      <c r="AC749" s="135"/>
      <c r="AD749" s="135"/>
    </row>
    <row r="750" spans="27:30" x14ac:dyDescent="0.25">
      <c r="AA750" s="116">
        <f t="shared" si="11"/>
        <v>0</v>
      </c>
      <c r="AB750" s="135"/>
      <c r="AC750" s="135"/>
      <c r="AD750" s="135"/>
    </row>
    <row r="751" spans="27:30" x14ac:dyDescent="0.25">
      <c r="AA751" s="116">
        <f t="shared" si="11"/>
        <v>0</v>
      </c>
      <c r="AB751" s="135"/>
      <c r="AC751" s="135"/>
      <c r="AD751" s="135"/>
    </row>
    <row r="752" spans="27:30" x14ac:dyDescent="0.25">
      <c r="AA752" s="116">
        <f t="shared" si="11"/>
        <v>0</v>
      </c>
      <c r="AB752" s="135"/>
      <c r="AC752" s="135"/>
      <c r="AD752" s="135"/>
    </row>
    <row r="753" spans="27:30" x14ac:dyDescent="0.25">
      <c r="AA753" s="116">
        <f t="shared" si="11"/>
        <v>0</v>
      </c>
      <c r="AB753" s="135"/>
      <c r="AC753" s="135"/>
      <c r="AD753" s="135"/>
    </row>
    <row r="754" spans="27:30" x14ac:dyDescent="0.25">
      <c r="AA754" s="116">
        <f t="shared" si="11"/>
        <v>0</v>
      </c>
      <c r="AB754" s="135"/>
      <c r="AC754" s="135"/>
      <c r="AD754" s="135"/>
    </row>
    <row r="755" spans="27:30" x14ac:dyDescent="0.25">
      <c r="AA755" s="116">
        <f t="shared" si="11"/>
        <v>0</v>
      </c>
      <c r="AB755" s="135"/>
      <c r="AC755" s="135"/>
      <c r="AD755" s="135"/>
    </row>
    <row r="756" spans="27:30" x14ac:dyDescent="0.25">
      <c r="AA756" s="116">
        <f t="shared" si="11"/>
        <v>0</v>
      </c>
      <c r="AB756" s="135"/>
      <c r="AC756" s="135"/>
      <c r="AD756" s="135"/>
    </row>
    <row r="757" spans="27:30" x14ac:dyDescent="0.25">
      <c r="AA757" s="116">
        <f t="shared" si="11"/>
        <v>0</v>
      </c>
      <c r="AB757" s="135"/>
      <c r="AC757" s="135"/>
      <c r="AD757" s="135"/>
    </row>
    <row r="758" spans="27:30" x14ac:dyDescent="0.25">
      <c r="AA758" s="116">
        <f t="shared" si="11"/>
        <v>0</v>
      </c>
      <c r="AB758" s="135"/>
      <c r="AC758" s="135"/>
      <c r="AD758" s="135"/>
    </row>
    <row r="759" spans="27:30" x14ac:dyDescent="0.25">
      <c r="AA759" s="116">
        <f t="shared" si="11"/>
        <v>0</v>
      </c>
      <c r="AB759" s="135"/>
      <c r="AC759" s="135"/>
      <c r="AD759" s="135"/>
    </row>
    <row r="760" spans="27:30" x14ac:dyDescent="0.25">
      <c r="AA760" s="116">
        <f t="shared" si="11"/>
        <v>0</v>
      </c>
      <c r="AB760" s="135"/>
      <c r="AC760" s="135"/>
      <c r="AD760" s="135"/>
    </row>
    <row r="761" spans="27:30" x14ac:dyDescent="0.25">
      <c r="AA761" s="116">
        <f t="shared" si="11"/>
        <v>0</v>
      </c>
      <c r="AB761" s="135"/>
      <c r="AC761" s="135"/>
      <c r="AD761" s="135"/>
    </row>
    <row r="762" spans="27:30" x14ac:dyDescent="0.25">
      <c r="AA762" s="116">
        <f t="shared" si="11"/>
        <v>0</v>
      </c>
      <c r="AB762" s="135"/>
      <c r="AC762" s="135"/>
      <c r="AD762" s="135"/>
    </row>
    <row r="763" spans="27:30" x14ac:dyDescent="0.25">
      <c r="AA763" s="116">
        <f t="shared" si="11"/>
        <v>0</v>
      </c>
      <c r="AB763" s="135"/>
      <c r="AC763" s="135"/>
      <c r="AD763" s="135"/>
    </row>
    <row r="764" spans="27:30" x14ac:dyDescent="0.25">
      <c r="AA764" s="116">
        <f t="shared" si="11"/>
        <v>0</v>
      </c>
      <c r="AB764" s="135"/>
      <c r="AC764" s="135"/>
      <c r="AD764" s="135"/>
    </row>
    <row r="765" spans="27:30" x14ac:dyDescent="0.25">
      <c r="AA765" s="116">
        <f t="shared" si="11"/>
        <v>0</v>
      </c>
      <c r="AB765" s="135"/>
      <c r="AC765" s="135"/>
      <c r="AD765" s="135"/>
    </row>
    <row r="766" spans="27:30" x14ac:dyDescent="0.25">
      <c r="AA766" s="116">
        <f t="shared" si="11"/>
        <v>0</v>
      </c>
      <c r="AB766" s="135"/>
      <c r="AC766" s="135"/>
      <c r="AD766" s="135"/>
    </row>
    <row r="767" spans="27:30" x14ac:dyDescent="0.25">
      <c r="AA767" s="116">
        <f t="shared" si="11"/>
        <v>0</v>
      </c>
      <c r="AB767" s="135"/>
      <c r="AC767" s="135"/>
      <c r="AD767" s="135"/>
    </row>
    <row r="768" spans="27:30" x14ac:dyDescent="0.25">
      <c r="AA768" s="116">
        <f t="shared" si="11"/>
        <v>0</v>
      </c>
      <c r="AB768" s="135"/>
      <c r="AC768" s="135"/>
      <c r="AD768" s="135"/>
    </row>
    <row r="769" spans="27:30" x14ac:dyDescent="0.25">
      <c r="AA769" s="116">
        <f t="shared" si="11"/>
        <v>0</v>
      </c>
      <c r="AB769" s="135"/>
      <c r="AC769" s="135"/>
      <c r="AD769" s="135"/>
    </row>
    <row r="770" spans="27:30" x14ac:dyDescent="0.25">
      <c r="AA770" s="116">
        <f t="shared" ref="AA770:AA833" si="12">SUM(N770:Z770)</f>
        <v>0</v>
      </c>
      <c r="AB770" s="135"/>
      <c r="AC770" s="135"/>
      <c r="AD770" s="135"/>
    </row>
    <row r="771" spans="27:30" x14ac:dyDescent="0.25">
      <c r="AA771" s="116">
        <f t="shared" si="12"/>
        <v>0</v>
      </c>
      <c r="AB771" s="135"/>
      <c r="AC771" s="135"/>
      <c r="AD771" s="135"/>
    </row>
    <row r="772" spans="27:30" x14ac:dyDescent="0.25">
      <c r="AA772" s="116">
        <f t="shared" si="12"/>
        <v>0</v>
      </c>
      <c r="AB772" s="135"/>
      <c r="AC772" s="135"/>
      <c r="AD772" s="135"/>
    </row>
    <row r="773" spans="27:30" x14ac:dyDescent="0.25">
      <c r="AA773" s="116">
        <f t="shared" si="12"/>
        <v>0</v>
      </c>
      <c r="AB773" s="135"/>
      <c r="AC773" s="135"/>
      <c r="AD773" s="135"/>
    </row>
    <row r="774" spans="27:30" x14ac:dyDescent="0.25">
      <c r="AA774" s="116">
        <f t="shared" si="12"/>
        <v>0</v>
      </c>
      <c r="AB774" s="135"/>
      <c r="AC774" s="135"/>
      <c r="AD774" s="135"/>
    </row>
    <row r="775" spans="27:30" x14ac:dyDescent="0.25">
      <c r="AA775" s="116">
        <f t="shared" si="12"/>
        <v>0</v>
      </c>
      <c r="AB775" s="135"/>
      <c r="AC775" s="135"/>
      <c r="AD775" s="135"/>
    </row>
    <row r="776" spans="27:30" x14ac:dyDescent="0.25">
      <c r="AA776" s="116">
        <f t="shared" si="12"/>
        <v>0</v>
      </c>
      <c r="AB776" s="135"/>
      <c r="AC776" s="135"/>
      <c r="AD776" s="135"/>
    </row>
    <row r="777" spans="27:30" x14ac:dyDescent="0.25">
      <c r="AA777" s="116">
        <f t="shared" si="12"/>
        <v>0</v>
      </c>
      <c r="AB777" s="135"/>
      <c r="AC777" s="135"/>
      <c r="AD777" s="135"/>
    </row>
    <row r="778" spans="27:30" x14ac:dyDescent="0.25">
      <c r="AA778" s="116">
        <f t="shared" si="12"/>
        <v>0</v>
      </c>
      <c r="AB778" s="135"/>
      <c r="AC778" s="135"/>
      <c r="AD778" s="135"/>
    </row>
    <row r="779" spans="27:30" x14ac:dyDescent="0.25">
      <c r="AA779" s="116">
        <f t="shared" si="12"/>
        <v>0</v>
      </c>
      <c r="AB779" s="135"/>
      <c r="AC779" s="135"/>
      <c r="AD779" s="135"/>
    </row>
    <row r="780" spans="27:30" x14ac:dyDescent="0.25">
      <c r="AA780" s="116">
        <f t="shared" si="12"/>
        <v>0</v>
      </c>
      <c r="AB780" s="135"/>
      <c r="AC780" s="135"/>
      <c r="AD780" s="135"/>
    </row>
    <row r="781" spans="27:30" x14ac:dyDescent="0.25">
      <c r="AA781" s="116">
        <f t="shared" si="12"/>
        <v>0</v>
      </c>
      <c r="AB781" s="135"/>
      <c r="AC781" s="135"/>
      <c r="AD781" s="135"/>
    </row>
    <row r="782" spans="27:30" x14ac:dyDescent="0.25">
      <c r="AA782" s="116">
        <f t="shared" si="12"/>
        <v>0</v>
      </c>
      <c r="AB782" s="135"/>
      <c r="AC782" s="135"/>
      <c r="AD782" s="135"/>
    </row>
    <row r="783" spans="27:30" x14ac:dyDescent="0.25">
      <c r="AA783" s="116">
        <f t="shared" si="12"/>
        <v>0</v>
      </c>
      <c r="AB783" s="135"/>
      <c r="AC783" s="135"/>
      <c r="AD783" s="135"/>
    </row>
    <row r="784" spans="27:30" x14ac:dyDescent="0.25">
      <c r="AA784" s="116">
        <f t="shared" si="12"/>
        <v>0</v>
      </c>
      <c r="AB784" s="135"/>
      <c r="AC784" s="135"/>
      <c r="AD784" s="135"/>
    </row>
    <row r="785" spans="27:30" x14ac:dyDescent="0.25">
      <c r="AA785" s="116">
        <f t="shared" si="12"/>
        <v>0</v>
      </c>
      <c r="AB785" s="135"/>
      <c r="AC785" s="135"/>
      <c r="AD785" s="135"/>
    </row>
    <row r="786" spans="27:30" x14ac:dyDescent="0.25">
      <c r="AA786" s="116">
        <f t="shared" si="12"/>
        <v>0</v>
      </c>
      <c r="AB786" s="135"/>
      <c r="AC786" s="135"/>
      <c r="AD786" s="135"/>
    </row>
    <row r="787" spans="27:30" x14ac:dyDescent="0.25">
      <c r="AA787" s="116">
        <f t="shared" si="12"/>
        <v>0</v>
      </c>
      <c r="AB787" s="135"/>
      <c r="AC787" s="135"/>
      <c r="AD787" s="135"/>
    </row>
    <row r="788" spans="27:30" x14ac:dyDescent="0.25">
      <c r="AA788" s="116">
        <f t="shared" si="12"/>
        <v>0</v>
      </c>
      <c r="AB788" s="135"/>
      <c r="AC788" s="135"/>
      <c r="AD788" s="135"/>
    </row>
    <row r="789" spans="27:30" x14ac:dyDescent="0.25">
      <c r="AA789" s="116">
        <f t="shared" si="12"/>
        <v>0</v>
      </c>
      <c r="AB789" s="135"/>
      <c r="AC789" s="135"/>
      <c r="AD789" s="135"/>
    </row>
    <row r="790" spans="27:30" x14ac:dyDescent="0.25">
      <c r="AA790" s="116">
        <f t="shared" si="12"/>
        <v>0</v>
      </c>
      <c r="AB790" s="135"/>
      <c r="AC790" s="135"/>
      <c r="AD790" s="135"/>
    </row>
    <row r="791" spans="27:30" x14ac:dyDescent="0.25">
      <c r="AA791" s="116">
        <f t="shared" si="12"/>
        <v>0</v>
      </c>
      <c r="AB791" s="135"/>
      <c r="AC791" s="135"/>
      <c r="AD791" s="135"/>
    </row>
    <row r="792" spans="27:30" x14ac:dyDescent="0.25">
      <c r="AA792" s="116">
        <f t="shared" si="12"/>
        <v>0</v>
      </c>
      <c r="AB792" s="135"/>
      <c r="AC792" s="135"/>
      <c r="AD792" s="135"/>
    </row>
    <row r="793" spans="27:30" x14ac:dyDescent="0.25">
      <c r="AA793" s="116">
        <f t="shared" si="12"/>
        <v>0</v>
      </c>
      <c r="AB793" s="135"/>
      <c r="AC793" s="135"/>
      <c r="AD793" s="135"/>
    </row>
    <row r="794" spans="27:30" x14ac:dyDescent="0.25">
      <c r="AA794" s="116">
        <f t="shared" si="12"/>
        <v>0</v>
      </c>
      <c r="AB794" s="135"/>
      <c r="AC794" s="135"/>
      <c r="AD794" s="135"/>
    </row>
    <row r="795" spans="27:30" x14ac:dyDescent="0.25">
      <c r="AA795" s="116">
        <f t="shared" si="12"/>
        <v>0</v>
      </c>
      <c r="AB795" s="135"/>
      <c r="AC795" s="135"/>
      <c r="AD795" s="135"/>
    </row>
    <row r="796" spans="27:30" x14ac:dyDescent="0.25">
      <c r="AA796" s="116">
        <f t="shared" si="12"/>
        <v>0</v>
      </c>
      <c r="AB796" s="135"/>
      <c r="AC796" s="135"/>
      <c r="AD796" s="135"/>
    </row>
    <row r="797" spans="27:30" x14ac:dyDescent="0.25">
      <c r="AA797" s="116">
        <f t="shared" si="12"/>
        <v>0</v>
      </c>
      <c r="AB797" s="135"/>
      <c r="AC797" s="135"/>
      <c r="AD797" s="135"/>
    </row>
    <row r="798" spans="27:30" x14ac:dyDescent="0.25">
      <c r="AA798" s="116">
        <f t="shared" si="12"/>
        <v>0</v>
      </c>
      <c r="AB798" s="135"/>
      <c r="AC798" s="135"/>
      <c r="AD798" s="135"/>
    </row>
    <row r="799" spans="27:30" x14ac:dyDescent="0.25">
      <c r="AA799" s="116">
        <f t="shared" si="12"/>
        <v>0</v>
      </c>
      <c r="AB799" s="135"/>
      <c r="AC799" s="135"/>
      <c r="AD799" s="135"/>
    </row>
    <row r="800" spans="27:30" x14ac:dyDescent="0.25">
      <c r="AA800" s="116">
        <f t="shared" si="12"/>
        <v>0</v>
      </c>
      <c r="AB800" s="135"/>
      <c r="AC800" s="135"/>
      <c r="AD800" s="135"/>
    </row>
    <row r="801" spans="27:30" x14ac:dyDescent="0.25">
      <c r="AA801" s="116">
        <f t="shared" si="12"/>
        <v>0</v>
      </c>
      <c r="AB801" s="135"/>
      <c r="AC801" s="135"/>
      <c r="AD801" s="135"/>
    </row>
    <row r="802" spans="27:30" x14ac:dyDescent="0.25">
      <c r="AA802" s="116">
        <f t="shared" si="12"/>
        <v>0</v>
      </c>
      <c r="AB802" s="135"/>
      <c r="AC802" s="135"/>
      <c r="AD802" s="135"/>
    </row>
    <row r="803" spans="27:30" x14ac:dyDescent="0.25">
      <c r="AA803" s="116">
        <f t="shared" si="12"/>
        <v>0</v>
      </c>
      <c r="AB803" s="135"/>
      <c r="AC803" s="135"/>
      <c r="AD803" s="135"/>
    </row>
    <row r="804" spans="27:30" x14ac:dyDescent="0.25">
      <c r="AA804" s="116">
        <f t="shared" si="12"/>
        <v>0</v>
      </c>
      <c r="AB804" s="135"/>
      <c r="AC804" s="135"/>
      <c r="AD804" s="135"/>
    </row>
    <row r="805" spans="27:30" x14ac:dyDescent="0.25">
      <c r="AA805" s="116">
        <f t="shared" si="12"/>
        <v>0</v>
      </c>
      <c r="AB805" s="135"/>
      <c r="AC805" s="135"/>
      <c r="AD805" s="135"/>
    </row>
    <row r="806" spans="27:30" x14ac:dyDescent="0.25">
      <c r="AA806" s="116">
        <f t="shared" si="12"/>
        <v>0</v>
      </c>
      <c r="AB806" s="135"/>
      <c r="AC806" s="135"/>
      <c r="AD806" s="135"/>
    </row>
    <row r="807" spans="27:30" x14ac:dyDescent="0.25">
      <c r="AA807" s="116">
        <f t="shared" si="12"/>
        <v>0</v>
      </c>
      <c r="AB807" s="135"/>
      <c r="AC807" s="135"/>
      <c r="AD807" s="135"/>
    </row>
    <row r="808" spans="27:30" x14ac:dyDescent="0.25">
      <c r="AA808" s="116">
        <f t="shared" si="12"/>
        <v>0</v>
      </c>
      <c r="AB808" s="135"/>
      <c r="AC808" s="135"/>
      <c r="AD808" s="135"/>
    </row>
    <row r="809" spans="27:30" x14ac:dyDescent="0.25">
      <c r="AA809" s="116">
        <f t="shared" si="12"/>
        <v>0</v>
      </c>
      <c r="AB809" s="135"/>
      <c r="AC809" s="135"/>
      <c r="AD809" s="135"/>
    </row>
    <row r="810" spans="27:30" x14ac:dyDescent="0.25">
      <c r="AA810" s="116">
        <f t="shared" si="12"/>
        <v>0</v>
      </c>
      <c r="AB810" s="135"/>
      <c r="AC810" s="135"/>
      <c r="AD810" s="135"/>
    </row>
    <row r="811" spans="27:30" x14ac:dyDescent="0.25">
      <c r="AA811" s="116">
        <f t="shared" si="12"/>
        <v>0</v>
      </c>
      <c r="AB811" s="135"/>
      <c r="AC811" s="135"/>
      <c r="AD811" s="135"/>
    </row>
    <row r="812" spans="27:30" x14ac:dyDescent="0.25">
      <c r="AA812" s="116">
        <f t="shared" si="12"/>
        <v>0</v>
      </c>
      <c r="AB812" s="135"/>
      <c r="AC812" s="135"/>
      <c r="AD812" s="135"/>
    </row>
    <row r="813" spans="27:30" x14ac:dyDescent="0.25">
      <c r="AA813" s="116">
        <f t="shared" si="12"/>
        <v>0</v>
      </c>
      <c r="AB813" s="135"/>
      <c r="AC813" s="135"/>
      <c r="AD813" s="135"/>
    </row>
    <row r="814" spans="27:30" x14ac:dyDescent="0.25">
      <c r="AA814" s="116">
        <f t="shared" si="12"/>
        <v>0</v>
      </c>
      <c r="AB814" s="135"/>
      <c r="AC814" s="135"/>
      <c r="AD814" s="135"/>
    </row>
    <row r="815" spans="27:30" x14ac:dyDescent="0.25">
      <c r="AA815" s="116">
        <f t="shared" si="12"/>
        <v>0</v>
      </c>
      <c r="AB815" s="135"/>
      <c r="AC815" s="135"/>
      <c r="AD815" s="135"/>
    </row>
    <row r="816" spans="27:30" x14ac:dyDescent="0.25">
      <c r="AA816" s="116">
        <f t="shared" si="12"/>
        <v>0</v>
      </c>
      <c r="AB816" s="135"/>
      <c r="AC816" s="135"/>
      <c r="AD816" s="135"/>
    </row>
    <row r="817" spans="27:30" x14ac:dyDescent="0.25">
      <c r="AA817" s="116">
        <f t="shared" si="12"/>
        <v>0</v>
      </c>
      <c r="AB817" s="135"/>
      <c r="AC817" s="135"/>
      <c r="AD817" s="135"/>
    </row>
    <row r="818" spans="27:30" x14ac:dyDescent="0.25">
      <c r="AA818" s="116">
        <f t="shared" si="12"/>
        <v>0</v>
      </c>
      <c r="AB818" s="135"/>
      <c r="AC818" s="135"/>
      <c r="AD818" s="135"/>
    </row>
    <row r="819" spans="27:30" x14ac:dyDescent="0.25">
      <c r="AA819" s="116">
        <f t="shared" si="12"/>
        <v>0</v>
      </c>
      <c r="AB819" s="135"/>
      <c r="AC819" s="135"/>
      <c r="AD819" s="135"/>
    </row>
    <row r="820" spans="27:30" x14ac:dyDescent="0.25">
      <c r="AA820" s="116">
        <f t="shared" si="12"/>
        <v>0</v>
      </c>
      <c r="AB820" s="135"/>
      <c r="AC820" s="135"/>
      <c r="AD820" s="135"/>
    </row>
    <row r="821" spans="27:30" x14ac:dyDescent="0.25">
      <c r="AA821" s="116">
        <f t="shared" si="12"/>
        <v>0</v>
      </c>
      <c r="AB821" s="135"/>
      <c r="AC821" s="135"/>
      <c r="AD821" s="135"/>
    </row>
    <row r="822" spans="27:30" x14ac:dyDescent="0.25">
      <c r="AA822" s="116">
        <f t="shared" si="12"/>
        <v>0</v>
      </c>
      <c r="AB822" s="135"/>
      <c r="AC822" s="135"/>
      <c r="AD822" s="135"/>
    </row>
    <row r="823" spans="27:30" x14ac:dyDescent="0.25">
      <c r="AA823" s="116">
        <f t="shared" si="12"/>
        <v>0</v>
      </c>
      <c r="AB823" s="135"/>
      <c r="AC823" s="135"/>
      <c r="AD823" s="135"/>
    </row>
    <row r="824" spans="27:30" x14ac:dyDescent="0.25">
      <c r="AA824" s="116">
        <f t="shared" si="12"/>
        <v>0</v>
      </c>
      <c r="AB824" s="135"/>
      <c r="AC824" s="135"/>
      <c r="AD824" s="135"/>
    </row>
    <row r="825" spans="27:30" x14ac:dyDescent="0.25">
      <c r="AA825" s="116">
        <f t="shared" si="12"/>
        <v>0</v>
      </c>
      <c r="AB825" s="135"/>
      <c r="AC825" s="135"/>
      <c r="AD825" s="135"/>
    </row>
    <row r="826" spans="27:30" x14ac:dyDescent="0.25">
      <c r="AA826" s="116">
        <f t="shared" si="12"/>
        <v>0</v>
      </c>
      <c r="AB826" s="135"/>
      <c r="AC826" s="135"/>
      <c r="AD826" s="135"/>
    </row>
    <row r="827" spans="27:30" x14ac:dyDescent="0.25">
      <c r="AA827" s="116">
        <f t="shared" si="12"/>
        <v>0</v>
      </c>
      <c r="AB827" s="135"/>
      <c r="AC827" s="135"/>
      <c r="AD827" s="135"/>
    </row>
    <row r="828" spans="27:30" x14ac:dyDescent="0.25">
      <c r="AA828" s="116">
        <f t="shared" si="12"/>
        <v>0</v>
      </c>
      <c r="AB828" s="135"/>
      <c r="AC828" s="135"/>
      <c r="AD828" s="135"/>
    </row>
    <row r="829" spans="27:30" x14ac:dyDescent="0.25">
      <c r="AA829" s="116">
        <f t="shared" si="12"/>
        <v>0</v>
      </c>
      <c r="AB829" s="135"/>
      <c r="AC829" s="135"/>
      <c r="AD829" s="135"/>
    </row>
    <row r="830" spans="27:30" x14ac:dyDescent="0.25">
      <c r="AA830" s="116">
        <f t="shared" si="12"/>
        <v>0</v>
      </c>
      <c r="AB830" s="135"/>
      <c r="AC830" s="135"/>
      <c r="AD830" s="135"/>
    </row>
    <row r="831" spans="27:30" x14ac:dyDescent="0.25">
      <c r="AA831" s="116">
        <f t="shared" si="12"/>
        <v>0</v>
      </c>
      <c r="AB831" s="135"/>
      <c r="AC831" s="135"/>
      <c r="AD831" s="135"/>
    </row>
    <row r="832" spans="27:30" x14ac:dyDescent="0.25">
      <c r="AA832" s="116">
        <f t="shared" si="12"/>
        <v>0</v>
      </c>
      <c r="AB832" s="135"/>
      <c r="AC832" s="135"/>
      <c r="AD832" s="135"/>
    </row>
    <row r="833" spans="27:30" x14ac:dyDescent="0.25">
      <c r="AA833" s="116">
        <f t="shared" si="12"/>
        <v>0</v>
      </c>
      <c r="AB833" s="135"/>
      <c r="AC833" s="135"/>
      <c r="AD833" s="135"/>
    </row>
    <row r="834" spans="27:30" x14ac:dyDescent="0.25">
      <c r="AA834" s="116">
        <f t="shared" ref="AA834:AA897" si="13">SUM(N834:Z834)</f>
        <v>0</v>
      </c>
      <c r="AB834" s="135"/>
      <c r="AC834" s="135"/>
      <c r="AD834" s="135"/>
    </row>
    <row r="835" spans="27:30" x14ac:dyDescent="0.25">
      <c r="AA835" s="116">
        <f t="shared" si="13"/>
        <v>0</v>
      </c>
      <c r="AB835" s="135"/>
      <c r="AC835" s="135"/>
      <c r="AD835" s="135"/>
    </row>
    <row r="836" spans="27:30" x14ac:dyDescent="0.25">
      <c r="AA836" s="116">
        <f t="shared" si="13"/>
        <v>0</v>
      </c>
      <c r="AB836" s="135"/>
      <c r="AC836" s="135"/>
      <c r="AD836" s="135"/>
    </row>
    <row r="837" spans="27:30" x14ac:dyDescent="0.25">
      <c r="AA837" s="116">
        <f t="shared" si="13"/>
        <v>0</v>
      </c>
      <c r="AB837" s="135"/>
      <c r="AC837" s="135"/>
      <c r="AD837" s="135"/>
    </row>
    <row r="838" spans="27:30" x14ac:dyDescent="0.25">
      <c r="AA838" s="116">
        <f t="shared" si="13"/>
        <v>0</v>
      </c>
      <c r="AB838" s="135"/>
      <c r="AC838" s="135"/>
      <c r="AD838" s="135"/>
    </row>
    <row r="839" spans="27:30" x14ac:dyDescent="0.25">
      <c r="AA839" s="116">
        <f t="shared" si="13"/>
        <v>0</v>
      </c>
      <c r="AB839" s="135"/>
      <c r="AC839" s="135"/>
      <c r="AD839" s="135"/>
    </row>
    <row r="840" spans="27:30" x14ac:dyDescent="0.25">
      <c r="AA840" s="116">
        <f t="shared" si="13"/>
        <v>0</v>
      </c>
      <c r="AB840" s="135"/>
      <c r="AC840" s="135"/>
      <c r="AD840" s="135"/>
    </row>
    <row r="841" spans="27:30" x14ac:dyDescent="0.25">
      <c r="AA841" s="116">
        <f t="shared" si="13"/>
        <v>0</v>
      </c>
      <c r="AB841" s="135"/>
      <c r="AC841" s="135"/>
      <c r="AD841" s="135"/>
    </row>
    <row r="842" spans="27:30" x14ac:dyDescent="0.25">
      <c r="AA842" s="116">
        <f t="shared" si="13"/>
        <v>0</v>
      </c>
      <c r="AB842" s="135"/>
      <c r="AC842" s="135"/>
      <c r="AD842" s="135"/>
    </row>
    <row r="843" spans="27:30" x14ac:dyDescent="0.25">
      <c r="AA843" s="116">
        <f t="shared" si="13"/>
        <v>0</v>
      </c>
      <c r="AB843" s="135"/>
      <c r="AC843" s="135"/>
      <c r="AD843" s="135"/>
    </row>
    <row r="844" spans="27:30" x14ac:dyDescent="0.25">
      <c r="AA844" s="116">
        <f t="shared" si="13"/>
        <v>0</v>
      </c>
      <c r="AB844" s="135"/>
      <c r="AC844" s="135"/>
      <c r="AD844" s="135"/>
    </row>
    <row r="845" spans="27:30" x14ac:dyDescent="0.25">
      <c r="AA845" s="116">
        <f t="shared" si="13"/>
        <v>0</v>
      </c>
      <c r="AB845" s="135"/>
      <c r="AC845" s="135"/>
      <c r="AD845" s="135"/>
    </row>
    <row r="846" spans="27:30" x14ac:dyDescent="0.25">
      <c r="AA846" s="116">
        <f t="shared" si="13"/>
        <v>0</v>
      </c>
      <c r="AB846" s="135"/>
      <c r="AC846" s="135"/>
      <c r="AD846" s="135"/>
    </row>
    <row r="847" spans="27:30" x14ac:dyDescent="0.25">
      <c r="AA847" s="116">
        <f t="shared" si="13"/>
        <v>0</v>
      </c>
      <c r="AB847" s="135"/>
      <c r="AC847" s="135"/>
      <c r="AD847" s="135"/>
    </row>
    <row r="848" spans="27:30" x14ac:dyDescent="0.25">
      <c r="AA848" s="116">
        <f t="shared" si="13"/>
        <v>0</v>
      </c>
      <c r="AB848" s="135"/>
      <c r="AC848" s="135"/>
      <c r="AD848" s="135"/>
    </row>
    <row r="849" spans="27:30" x14ac:dyDescent="0.25">
      <c r="AA849" s="116">
        <f t="shared" si="13"/>
        <v>0</v>
      </c>
      <c r="AB849" s="135"/>
      <c r="AC849" s="135"/>
      <c r="AD849" s="135"/>
    </row>
    <row r="850" spans="27:30" x14ac:dyDescent="0.25">
      <c r="AA850" s="116">
        <f t="shared" si="13"/>
        <v>0</v>
      </c>
      <c r="AB850" s="135"/>
      <c r="AC850" s="135"/>
      <c r="AD850" s="135"/>
    </row>
    <row r="851" spans="27:30" x14ac:dyDescent="0.25">
      <c r="AA851" s="116">
        <f t="shared" si="13"/>
        <v>0</v>
      </c>
      <c r="AB851" s="135"/>
      <c r="AC851" s="135"/>
      <c r="AD851" s="135"/>
    </row>
    <row r="852" spans="27:30" x14ac:dyDescent="0.25">
      <c r="AA852" s="116">
        <f t="shared" si="13"/>
        <v>0</v>
      </c>
      <c r="AB852" s="135"/>
      <c r="AC852" s="135"/>
      <c r="AD852" s="135"/>
    </row>
    <row r="853" spans="27:30" x14ac:dyDescent="0.25">
      <c r="AA853" s="116">
        <f t="shared" si="13"/>
        <v>0</v>
      </c>
      <c r="AB853" s="135"/>
      <c r="AC853" s="135"/>
      <c r="AD853" s="135"/>
    </row>
    <row r="854" spans="27:30" x14ac:dyDescent="0.25">
      <c r="AA854" s="116">
        <f t="shared" si="13"/>
        <v>0</v>
      </c>
      <c r="AB854" s="135"/>
      <c r="AC854" s="135"/>
      <c r="AD854" s="135"/>
    </row>
    <row r="855" spans="27:30" x14ac:dyDescent="0.25">
      <c r="AA855" s="116">
        <f t="shared" si="13"/>
        <v>0</v>
      </c>
      <c r="AB855" s="135"/>
      <c r="AC855" s="135"/>
      <c r="AD855" s="135"/>
    </row>
    <row r="856" spans="27:30" x14ac:dyDescent="0.25">
      <c r="AA856" s="116">
        <f t="shared" si="13"/>
        <v>0</v>
      </c>
      <c r="AB856" s="135"/>
      <c r="AC856" s="135"/>
      <c r="AD856" s="135"/>
    </row>
    <row r="857" spans="27:30" x14ac:dyDescent="0.25">
      <c r="AA857" s="116">
        <f t="shared" si="13"/>
        <v>0</v>
      </c>
      <c r="AB857" s="135"/>
      <c r="AC857" s="135"/>
      <c r="AD857" s="135"/>
    </row>
    <row r="858" spans="27:30" x14ac:dyDescent="0.25">
      <c r="AA858" s="116">
        <f t="shared" si="13"/>
        <v>0</v>
      </c>
      <c r="AB858" s="135"/>
      <c r="AC858" s="135"/>
      <c r="AD858" s="135"/>
    </row>
    <row r="859" spans="27:30" x14ac:dyDescent="0.25">
      <c r="AA859" s="116">
        <f t="shared" si="13"/>
        <v>0</v>
      </c>
      <c r="AB859" s="135"/>
      <c r="AC859" s="135"/>
      <c r="AD859" s="135"/>
    </row>
    <row r="860" spans="27:30" x14ac:dyDescent="0.25">
      <c r="AA860" s="116">
        <f t="shared" si="13"/>
        <v>0</v>
      </c>
      <c r="AB860" s="135"/>
      <c r="AC860" s="135"/>
      <c r="AD860" s="135"/>
    </row>
    <row r="861" spans="27:30" x14ac:dyDescent="0.25">
      <c r="AA861" s="116">
        <f t="shared" si="13"/>
        <v>0</v>
      </c>
      <c r="AB861" s="135"/>
      <c r="AC861" s="135"/>
      <c r="AD861" s="135"/>
    </row>
    <row r="862" spans="27:30" x14ac:dyDescent="0.25">
      <c r="AA862" s="116">
        <f t="shared" si="13"/>
        <v>0</v>
      </c>
      <c r="AB862" s="135"/>
      <c r="AC862" s="135"/>
      <c r="AD862" s="135"/>
    </row>
    <row r="863" spans="27:30" x14ac:dyDescent="0.25">
      <c r="AA863" s="116">
        <f t="shared" si="13"/>
        <v>0</v>
      </c>
      <c r="AB863" s="135"/>
      <c r="AC863" s="135"/>
      <c r="AD863" s="135"/>
    </row>
    <row r="864" spans="27:30" x14ac:dyDescent="0.25">
      <c r="AA864" s="116">
        <f t="shared" si="13"/>
        <v>0</v>
      </c>
      <c r="AB864" s="135"/>
      <c r="AC864" s="135"/>
      <c r="AD864" s="135"/>
    </row>
    <row r="865" spans="27:30" x14ac:dyDescent="0.25">
      <c r="AA865" s="116">
        <f t="shared" si="13"/>
        <v>0</v>
      </c>
      <c r="AB865" s="135"/>
      <c r="AC865" s="135"/>
      <c r="AD865" s="135"/>
    </row>
    <row r="866" spans="27:30" x14ac:dyDescent="0.25">
      <c r="AA866" s="116">
        <f t="shared" si="13"/>
        <v>0</v>
      </c>
      <c r="AB866" s="135"/>
      <c r="AC866" s="135"/>
      <c r="AD866" s="135"/>
    </row>
    <row r="867" spans="27:30" x14ac:dyDescent="0.25">
      <c r="AA867" s="116">
        <f t="shared" si="13"/>
        <v>0</v>
      </c>
      <c r="AB867" s="135"/>
      <c r="AC867" s="135"/>
      <c r="AD867" s="135"/>
    </row>
    <row r="868" spans="27:30" x14ac:dyDescent="0.25">
      <c r="AA868" s="116">
        <f t="shared" si="13"/>
        <v>0</v>
      </c>
      <c r="AB868" s="135"/>
      <c r="AC868" s="135"/>
      <c r="AD868" s="135"/>
    </row>
    <row r="869" spans="27:30" x14ac:dyDescent="0.25">
      <c r="AA869" s="116">
        <f t="shared" si="13"/>
        <v>0</v>
      </c>
      <c r="AB869" s="135"/>
      <c r="AC869" s="135"/>
      <c r="AD869" s="135"/>
    </row>
    <row r="870" spans="27:30" x14ac:dyDescent="0.25">
      <c r="AA870" s="116">
        <f t="shared" si="13"/>
        <v>0</v>
      </c>
      <c r="AB870" s="135"/>
      <c r="AC870" s="135"/>
      <c r="AD870" s="135"/>
    </row>
    <row r="871" spans="27:30" x14ac:dyDescent="0.25">
      <c r="AA871" s="116">
        <f t="shared" si="13"/>
        <v>0</v>
      </c>
      <c r="AB871" s="135"/>
      <c r="AC871" s="135"/>
      <c r="AD871" s="135"/>
    </row>
    <row r="872" spans="27:30" x14ac:dyDescent="0.25">
      <c r="AA872" s="116">
        <f t="shared" si="13"/>
        <v>0</v>
      </c>
      <c r="AB872" s="135"/>
      <c r="AC872" s="135"/>
      <c r="AD872" s="135"/>
    </row>
    <row r="873" spans="27:30" x14ac:dyDescent="0.25">
      <c r="AA873" s="116">
        <f t="shared" si="13"/>
        <v>0</v>
      </c>
      <c r="AB873" s="135"/>
      <c r="AC873" s="135"/>
      <c r="AD873" s="135"/>
    </row>
    <row r="874" spans="27:30" x14ac:dyDescent="0.25">
      <c r="AA874" s="116">
        <f t="shared" si="13"/>
        <v>0</v>
      </c>
      <c r="AB874" s="135"/>
      <c r="AC874" s="135"/>
      <c r="AD874" s="135"/>
    </row>
    <row r="875" spans="27:30" x14ac:dyDescent="0.25">
      <c r="AA875" s="116">
        <f t="shared" si="13"/>
        <v>0</v>
      </c>
      <c r="AB875" s="135"/>
      <c r="AC875" s="135"/>
      <c r="AD875" s="135"/>
    </row>
    <row r="876" spans="27:30" x14ac:dyDescent="0.25">
      <c r="AA876" s="116">
        <f t="shared" si="13"/>
        <v>0</v>
      </c>
      <c r="AB876" s="135"/>
      <c r="AC876" s="135"/>
      <c r="AD876" s="135"/>
    </row>
    <row r="877" spans="27:30" x14ac:dyDescent="0.25">
      <c r="AA877" s="116">
        <f t="shared" si="13"/>
        <v>0</v>
      </c>
      <c r="AB877" s="135"/>
      <c r="AC877" s="135"/>
      <c r="AD877" s="135"/>
    </row>
    <row r="878" spans="27:30" x14ac:dyDescent="0.25">
      <c r="AA878" s="116">
        <f t="shared" si="13"/>
        <v>0</v>
      </c>
      <c r="AB878" s="135"/>
      <c r="AC878" s="135"/>
      <c r="AD878" s="135"/>
    </row>
    <row r="879" spans="27:30" x14ac:dyDescent="0.25">
      <c r="AA879" s="116">
        <f t="shared" si="13"/>
        <v>0</v>
      </c>
      <c r="AB879" s="135"/>
      <c r="AC879" s="135"/>
      <c r="AD879" s="135"/>
    </row>
    <row r="880" spans="27:30" x14ac:dyDescent="0.25">
      <c r="AA880" s="116">
        <f t="shared" si="13"/>
        <v>0</v>
      </c>
      <c r="AB880" s="135"/>
      <c r="AC880" s="135"/>
      <c r="AD880" s="135"/>
    </row>
    <row r="881" spans="27:30" x14ac:dyDescent="0.25">
      <c r="AA881" s="116">
        <f t="shared" si="13"/>
        <v>0</v>
      </c>
      <c r="AB881" s="135"/>
      <c r="AC881" s="135"/>
      <c r="AD881" s="135"/>
    </row>
    <row r="882" spans="27:30" x14ac:dyDescent="0.25">
      <c r="AA882" s="116">
        <f t="shared" si="13"/>
        <v>0</v>
      </c>
      <c r="AB882" s="135"/>
      <c r="AC882" s="135"/>
      <c r="AD882" s="135"/>
    </row>
    <row r="883" spans="27:30" x14ac:dyDescent="0.25">
      <c r="AA883" s="116">
        <f t="shared" si="13"/>
        <v>0</v>
      </c>
      <c r="AB883" s="135"/>
      <c r="AC883" s="135"/>
      <c r="AD883" s="135"/>
    </row>
    <row r="884" spans="27:30" x14ac:dyDescent="0.25">
      <c r="AA884" s="116">
        <f t="shared" si="13"/>
        <v>0</v>
      </c>
      <c r="AB884" s="135"/>
      <c r="AC884" s="135"/>
      <c r="AD884" s="135"/>
    </row>
    <row r="885" spans="27:30" x14ac:dyDescent="0.25">
      <c r="AA885" s="116">
        <f t="shared" si="13"/>
        <v>0</v>
      </c>
      <c r="AB885" s="135"/>
      <c r="AC885" s="135"/>
      <c r="AD885" s="135"/>
    </row>
    <row r="886" spans="27:30" x14ac:dyDescent="0.25">
      <c r="AA886" s="116">
        <f t="shared" si="13"/>
        <v>0</v>
      </c>
      <c r="AB886" s="135"/>
      <c r="AC886" s="135"/>
      <c r="AD886" s="135"/>
    </row>
    <row r="887" spans="27:30" x14ac:dyDescent="0.25">
      <c r="AA887" s="116">
        <f t="shared" si="13"/>
        <v>0</v>
      </c>
      <c r="AB887" s="135"/>
      <c r="AC887" s="135"/>
      <c r="AD887" s="135"/>
    </row>
    <row r="888" spans="27:30" x14ac:dyDescent="0.25">
      <c r="AA888" s="116">
        <f t="shared" si="13"/>
        <v>0</v>
      </c>
      <c r="AB888" s="135"/>
      <c r="AC888" s="135"/>
      <c r="AD888" s="135"/>
    </row>
    <row r="889" spans="27:30" x14ac:dyDescent="0.25">
      <c r="AA889" s="116">
        <f t="shared" si="13"/>
        <v>0</v>
      </c>
      <c r="AB889" s="135"/>
      <c r="AC889" s="135"/>
      <c r="AD889" s="135"/>
    </row>
    <row r="890" spans="27:30" x14ac:dyDescent="0.25">
      <c r="AA890" s="116">
        <f t="shared" si="13"/>
        <v>0</v>
      </c>
      <c r="AB890" s="135"/>
      <c r="AC890" s="135"/>
      <c r="AD890" s="135"/>
    </row>
    <row r="891" spans="27:30" x14ac:dyDescent="0.25">
      <c r="AA891" s="116">
        <f t="shared" si="13"/>
        <v>0</v>
      </c>
      <c r="AB891" s="135"/>
      <c r="AC891" s="135"/>
      <c r="AD891" s="135"/>
    </row>
    <row r="892" spans="27:30" x14ac:dyDescent="0.25">
      <c r="AA892" s="116">
        <f t="shared" si="13"/>
        <v>0</v>
      </c>
      <c r="AB892" s="135"/>
      <c r="AC892" s="135"/>
      <c r="AD892" s="135"/>
    </row>
    <row r="893" spans="27:30" x14ac:dyDescent="0.25">
      <c r="AA893" s="116">
        <f t="shared" si="13"/>
        <v>0</v>
      </c>
      <c r="AB893" s="135"/>
      <c r="AC893" s="135"/>
      <c r="AD893" s="135"/>
    </row>
    <row r="894" spans="27:30" x14ac:dyDescent="0.25">
      <c r="AA894" s="116">
        <f t="shared" si="13"/>
        <v>0</v>
      </c>
      <c r="AB894" s="135"/>
      <c r="AC894" s="135"/>
      <c r="AD894" s="135"/>
    </row>
    <row r="895" spans="27:30" x14ac:dyDescent="0.25">
      <c r="AA895" s="116">
        <f t="shared" si="13"/>
        <v>0</v>
      </c>
      <c r="AB895" s="135"/>
      <c r="AC895" s="135"/>
      <c r="AD895" s="135"/>
    </row>
    <row r="896" spans="27:30" x14ac:dyDescent="0.25">
      <c r="AA896" s="116">
        <f t="shared" si="13"/>
        <v>0</v>
      </c>
      <c r="AB896" s="135"/>
      <c r="AC896" s="135"/>
      <c r="AD896" s="135"/>
    </row>
    <row r="897" spans="27:30" x14ac:dyDescent="0.25">
      <c r="AA897" s="116">
        <f t="shared" si="13"/>
        <v>0</v>
      </c>
      <c r="AB897" s="135"/>
      <c r="AC897" s="135"/>
      <c r="AD897" s="135"/>
    </row>
    <row r="898" spans="27:30" x14ac:dyDescent="0.25">
      <c r="AA898" s="116">
        <f t="shared" ref="AA898:AA961" si="14">SUM(N898:Z898)</f>
        <v>0</v>
      </c>
      <c r="AB898" s="135"/>
      <c r="AC898" s="135"/>
      <c r="AD898" s="135"/>
    </row>
    <row r="899" spans="27:30" x14ac:dyDescent="0.25">
      <c r="AA899" s="116">
        <f t="shared" si="14"/>
        <v>0</v>
      </c>
      <c r="AB899" s="135"/>
      <c r="AC899" s="135"/>
      <c r="AD899" s="135"/>
    </row>
    <row r="900" spans="27:30" x14ac:dyDescent="0.25">
      <c r="AA900" s="116">
        <f t="shared" si="14"/>
        <v>0</v>
      </c>
      <c r="AB900" s="135"/>
      <c r="AC900" s="135"/>
      <c r="AD900" s="135"/>
    </row>
    <row r="901" spans="27:30" x14ac:dyDescent="0.25">
      <c r="AA901" s="116">
        <f t="shared" si="14"/>
        <v>0</v>
      </c>
      <c r="AB901" s="135"/>
      <c r="AC901" s="135"/>
      <c r="AD901" s="135"/>
    </row>
    <row r="902" spans="27:30" x14ac:dyDescent="0.25">
      <c r="AA902" s="116">
        <f t="shared" si="14"/>
        <v>0</v>
      </c>
      <c r="AB902" s="135"/>
      <c r="AC902" s="135"/>
      <c r="AD902" s="135"/>
    </row>
    <row r="903" spans="27:30" x14ac:dyDescent="0.25">
      <c r="AA903" s="116">
        <f t="shared" si="14"/>
        <v>0</v>
      </c>
      <c r="AB903" s="135"/>
      <c r="AC903" s="135"/>
      <c r="AD903" s="135"/>
    </row>
    <row r="904" spans="27:30" x14ac:dyDescent="0.25">
      <c r="AA904" s="116">
        <f t="shared" si="14"/>
        <v>0</v>
      </c>
      <c r="AB904" s="135"/>
      <c r="AC904" s="135"/>
      <c r="AD904" s="135"/>
    </row>
    <row r="905" spans="27:30" x14ac:dyDescent="0.25">
      <c r="AA905" s="116">
        <f t="shared" si="14"/>
        <v>0</v>
      </c>
      <c r="AB905" s="135"/>
      <c r="AC905" s="135"/>
      <c r="AD905" s="135"/>
    </row>
    <row r="906" spans="27:30" x14ac:dyDescent="0.25">
      <c r="AA906" s="116">
        <f t="shared" si="14"/>
        <v>0</v>
      </c>
      <c r="AB906" s="135"/>
      <c r="AC906" s="135"/>
      <c r="AD906" s="135"/>
    </row>
    <row r="907" spans="27:30" x14ac:dyDescent="0.25">
      <c r="AA907" s="116">
        <f t="shared" si="14"/>
        <v>0</v>
      </c>
      <c r="AB907" s="135"/>
      <c r="AC907" s="135"/>
      <c r="AD907" s="135"/>
    </row>
    <row r="908" spans="27:30" x14ac:dyDescent="0.25">
      <c r="AA908" s="116">
        <f t="shared" si="14"/>
        <v>0</v>
      </c>
      <c r="AB908" s="135"/>
      <c r="AC908" s="135"/>
      <c r="AD908" s="135"/>
    </row>
    <row r="909" spans="27:30" x14ac:dyDescent="0.25">
      <c r="AA909" s="116">
        <f t="shared" si="14"/>
        <v>0</v>
      </c>
      <c r="AB909" s="135"/>
      <c r="AC909" s="135"/>
      <c r="AD909" s="135"/>
    </row>
    <row r="910" spans="27:30" x14ac:dyDescent="0.25">
      <c r="AA910" s="116">
        <f t="shared" si="14"/>
        <v>0</v>
      </c>
      <c r="AB910" s="135"/>
      <c r="AC910" s="135"/>
      <c r="AD910" s="135"/>
    </row>
    <row r="911" spans="27:30" x14ac:dyDescent="0.25">
      <c r="AA911" s="116">
        <f t="shared" si="14"/>
        <v>0</v>
      </c>
      <c r="AB911" s="135"/>
      <c r="AC911" s="135"/>
      <c r="AD911" s="135"/>
    </row>
    <row r="912" spans="27:30" x14ac:dyDescent="0.25">
      <c r="AA912" s="116">
        <f t="shared" si="14"/>
        <v>0</v>
      </c>
      <c r="AB912" s="135"/>
      <c r="AC912" s="135"/>
      <c r="AD912" s="135"/>
    </row>
    <row r="913" spans="27:30" x14ac:dyDescent="0.25">
      <c r="AA913" s="116">
        <f t="shared" si="14"/>
        <v>0</v>
      </c>
      <c r="AB913" s="135"/>
      <c r="AC913" s="135"/>
      <c r="AD913" s="135"/>
    </row>
    <row r="914" spans="27:30" x14ac:dyDescent="0.25">
      <c r="AA914" s="116">
        <f t="shared" si="14"/>
        <v>0</v>
      </c>
      <c r="AB914" s="135"/>
      <c r="AC914" s="135"/>
      <c r="AD914" s="135"/>
    </row>
    <row r="915" spans="27:30" x14ac:dyDescent="0.25">
      <c r="AA915" s="116">
        <f t="shared" si="14"/>
        <v>0</v>
      </c>
      <c r="AB915" s="135"/>
      <c r="AC915" s="135"/>
      <c r="AD915" s="135"/>
    </row>
    <row r="916" spans="27:30" x14ac:dyDescent="0.25">
      <c r="AA916" s="116">
        <f t="shared" si="14"/>
        <v>0</v>
      </c>
      <c r="AB916" s="135"/>
      <c r="AC916" s="135"/>
      <c r="AD916" s="135"/>
    </row>
    <row r="917" spans="27:30" x14ac:dyDescent="0.25">
      <c r="AA917" s="116">
        <f t="shared" si="14"/>
        <v>0</v>
      </c>
      <c r="AB917" s="135"/>
      <c r="AC917" s="135"/>
      <c r="AD917" s="135"/>
    </row>
    <row r="918" spans="27:30" x14ac:dyDescent="0.25">
      <c r="AA918" s="116">
        <f t="shared" si="14"/>
        <v>0</v>
      </c>
      <c r="AB918" s="135"/>
      <c r="AC918" s="135"/>
      <c r="AD918" s="135"/>
    </row>
    <row r="919" spans="27:30" x14ac:dyDescent="0.25">
      <c r="AA919" s="116">
        <f t="shared" si="14"/>
        <v>0</v>
      </c>
      <c r="AB919" s="135"/>
      <c r="AC919" s="135"/>
      <c r="AD919" s="135"/>
    </row>
    <row r="920" spans="27:30" x14ac:dyDescent="0.25">
      <c r="AA920" s="116">
        <f t="shared" si="14"/>
        <v>0</v>
      </c>
      <c r="AB920" s="135"/>
      <c r="AC920" s="135"/>
      <c r="AD920" s="135"/>
    </row>
    <row r="921" spans="27:30" x14ac:dyDescent="0.25">
      <c r="AA921" s="116">
        <f t="shared" si="14"/>
        <v>0</v>
      </c>
      <c r="AB921" s="135"/>
      <c r="AC921" s="135"/>
      <c r="AD921" s="135"/>
    </row>
    <row r="922" spans="27:30" x14ac:dyDescent="0.25">
      <c r="AA922" s="116">
        <f t="shared" si="14"/>
        <v>0</v>
      </c>
      <c r="AB922" s="135"/>
      <c r="AC922" s="135"/>
      <c r="AD922" s="135"/>
    </row>
    <row r="923" spans="27:30" x14ac:dyDescent="0.25">
      <c r="AA923" s="116">
        <f t="shared" si="14"/>
        <v>0</v>
      </c>
      <c r="AB923" s="135"/>
      <c r="AC923" s="135"/>
      <c r="AD923" s="135"/>
    </row>
    <row r="924" spans="27:30" x14ac:dyDescent="0.25">
      <c r="AA924" s="116">
        <f t="shared" si="14"/>
        <v>0</v>
      </c>
      <c r="AB924" s="135"/>
      <c r="AC924" s="135"/>
      <c r="AD924" s="135"/>
    </row>
    <row r="925" spans="27:30" x14ac:dyDescent="0.25">
      <c r="AA925" s="116">
        <f t="shared" si="14"/>
        <v>0</v>
      </c>
      <c r="AB925" s="135"/>
      <c r="AC925" s="135"/>
      <c r="AD925" s="135"/>
    </row>
    <row r="926" spans="27:30" x14ac:dyDescent="0.25">
      <c r="AA926" s="116">
        <f t="shared" si="14"/>
        <v>0</v>
      </c>
      <c r="AB926" s="135"/>
      <c r="AC926" s="135"/>
      <c r="AD926" s="135"/>
    </row>
    <row r="927" spans="27:30" x14ac:dyDescent="0.25">
      <c r="AA927" s="116">
        <f t="shared" si="14"/>
        <v>0</v>
      </c>
      <c r="AB927" s="135"/>
      <c r="AC927" s="135"/>
      <c r="AD927" s="135"/>
    </row>
    <row r="928" spans="27:30" x14ac:dyDescent="0.25">
      <c r="AA928" s="116">
        <f t="shared" si="14"/>
        <v>0</v>
      </c>
      <c r="AB928" s="135"/>
      <c r="AC928" s="135"/>
      <c r="AD928" s="135"/>
    </row>
    <row r="929" spans="27:30" x14ac:dyDescent="0.25">
      <c r="AA929" s="116">
        <f t="shared" si="14"/>
        <v>0</v>
      </c>
      <c r="AB929" s="135"/>
      <c r="AC929" s="135"/>
      <c r="AD929" s="135"/>
    </row>
    <row r="930" spans="27:30" x14ac:dyDescent="0.25">
      <c r="AA930" s="116">
        <f t="shared" si="14"/>
        <v>0</v>
      </c>
      <c r="AB930" s="135"/>
      <c r="AC930" s="135"/>
      <c r="AD930" s="135"/>
    </row>
    <row r="931" spans="27:30" x14ac:dyDescent="0.25">
      <c r="AA931" s="116">
        <f t="shared" si="14"/>
        <v>0</v>
      </c>
      <c r="AB931" s="135"/>
      <c r="AC931" s="135"/>
      <c r="AD931" s="135"/>
    </row>
    <row r="932" spans="27:30" x14ac:dyDescent="0.25">
      <c r="AA932" s="116">
        <f t="shared" si="14"/>
        <v>0</v>
      </c>
      <c r="AB932" s="135"/>
      <c r="AC932" s="135"/>
      <c r="AD932" s="135"/>
    </row>
    <row r="933" spans="27:30" x14ac:dyDescent="0.25">
      <c r="AA933" s="116">
        <f t="shared" si="14"/>
        <v>0</v>
      </c>
      <c r="AB933" s="135"/>
      <c r="AC933" s="135"/>
      <c r="AD933" s="135"/>
    </row>
    <row r="934" spans="27:30" x14ac:dyDescent="0.25">
      <c r="AA934" s="116">
        <f t="shared" si="14"/>
        <v>0</v>
      </c>
      <c r="AB934" s="135"/>
      <c r="AC934" s="135"/>
      <c r="AD934" s="135"/>
    </row>
    <row r="935" spans="27:30" x14ac:dyDescent="0.25">
      <c r="AA935" s="116">
        <f t="shared" si="14"/>
        <v>0</v>
      </c>
      <c r="AB935" s="135"/>
      <c r="AC935" s="135"/>
      <c r="AD935" s="135"/>
    </row>
    <row r="936" spans="27:30" x14ac:dyDescent="0.25">
      <c r="AA936" s="116">
        <f t="shared" si="14"/>
        <v>0</v>
      </c>
      <c r="AB936" s="135"/>
      <c r="AC936" s="135"/>
      <c r="AD936" s="135"/>
    </row>
    <row r="937" spans="27:30" x14ac:dyDescent="0.25">
      <c r="AA937" s="116">
        <f t="shared" si="14"/>
        <v>0</v>
      </c>
      <c r="AB937" s="135"/>
      <c r="AC937" s="135"/>
      <c r="AD937" s="135"/>
    </row>
    <row r="938" spans="27:30" x14ac:dyDescent="0.25">
      <c r="AA938" s="116">
        <f t="shared" si="14"/>
        <v>0</v>
      </c>
      <c r="AB938" s="135"/>
      <c r="AC938" s="135"/>
      <c r="AD938" s="135"/>
    </row>
    <row r="939" spans="27:30" x14ac:dyDescent="0.25">
      <c r="AA939" s="116">
        <f t="shared" si="14"/>
        <v>0</v>
      </c>
      <c r="AB939" s="135"/>
      <c r="AC939" s="135"/>
      <c r="AD939" s="135"/>
    </row>
    <row r="940" spans="27:30" x14ac:dyDescent="0.25">
      <c r="AA940" s="116">
        <f t="shared" si="14"/>
        <v>0</v>
      </c>
      <c r="AB940" s="135"/>
      <c r="AC940" s="135"/>
      <c r="AD940" s="135"/>
    </row>
    <row r="941" spans="27:30" x14ac:dyDescent="0.25">
      <c r="AA941" s="116">
        <f t="shared" si="14"/>
        <v>0</v>
      </c>
      <c r="AB941" s="135"/>
      <c r="AC941" s="135"/>
      <c r="AD941" s="135"/>
    </row>
    <row r="942" spans="27:30" x14ac:dyDescent="0.25">
      <c r="AA942" s="116">
        <f t="shared" si="14"/>
        <v>0</v>
      </c>
      <c r="AB942" s="135"/>
      <c r="AC942" s="135"/>
      <c r="AD942" s="135"/>
    </row>
    <row r="943" spans="27:30" x14ac:dyDescent="0.25">
      <c r="AA943" s="116">
        <f t="shared" si="14"/>
        <v>0</v>
      </c>
      <c r="AB943" s="135"/>
      <c r="AC943" s="135"/>
      <c r="AD943" s="135"/>
    </row>
    <row r="944" spans="27:30" x14ac:dyDescent="0.25">
      <c r="AA944" s="116">
        <f t="shared" si="14"/>
        <v>0</v>
      </c>
      <c r="AB944" s="135"/>
      <c r="AC944" s="135"/>
      <c r="AD944" s="135"/>
    </row>
    <row r="945" spans="27:30" x14ac:dyDescent="0.25">
      <c r="AA945" s="116">
        <f t="shared" si="14"/>
        <v>0</v>
      </c>
      <c r="AB945" s="135"/>
      <c r="AC945" s="135"/>
      <c r="AD945" s="135"/>
    </row>
    <row r="946" spans="27:30" x14ac:dyDescent="0.25">
      <c r="AA946" s="116">
        <f t="shared" si="14"/>
        <v>0</v>
      </c>
      <c r="AB946" s="135"/>
      <c r="AC946" s="135"/>
      <c r="AD946" s="135"/>
    </row>
    <row r="947" spans="27:30" x14ac:dyDescent="0.25">
      <c r="AA947" s="116">
        <f t="shared" si="14"/>
        <v>0</v>
      </c>
      <c r="AB947" s="135"/>
      <c r="AC947" s="135"/>
      <c r="AD947" s="135"/>
    </row>
    <row r="948" spans="27:30" x14ac:dyDescent="0.25">
      <c r="AA948" s="116">
        <f t="shared" si="14"/>
        <v>0</v>
      </c>
      <c r="AB948" s="135"/>
      <c r="AC948" s="135"/>
      <c r="AD948" s="135"/>
    </row>
    <row r="949" spans="27:30" x14ac:dyDescent="0.25">
      <c r="AA949" s="116">
        <f t="shared" si="14"/>
        <v>0</v>
      </c>
      <c r="AB949" s="135"/>
      <c r="AC949" s="135"/>
      <c r="AD949" s="135"/>
    </row>
    <row r="950" spans="27:30" x14ac:dyDescent="0.25">
      <c r="AA950" s="116">
        <f t="shared" si="14"/>
        <v>0</v>
      </c>
      <c r="AB950" s="135"/>
      <c r="AC950" s="135"/>
      <c r="AD950" s="135"/>
    </row>
    <row r="951" spans="27:30" x14ac:dyDescent="0.25">
      <c r="AA951" s="116">
        <f t="shared" si="14"/>
        <v>0</v>
      </c>
      <c r="AB951" s="135"/>
      <c r="AC951" s="135"/>
      <c r="AD951" s="135"/>
    </row>
    <row r="952" spans="27:30" x14ac:dyDescent="0.25">
      <c r="AA952" s="116">
        <f t="shared" si="14"/>
        <v>0</v>
      </c>
      <c r="AB952" s="135"/>
      <c r="AC952" s="135"/>
      <c r="AD952" s="135"/>
    </row>
    <row r="953" spans="27:30" x14ac:dyDescent="0.25">
      <c r="AA953" s="116">
        <f t="shared" si="14"/>
        <v>0</v>
      </c>
      <c r="AB953" s="135"/>
      <c r="AC953" s="135"/>
      <c r="AD953" s="135"/>
    </row>
    <row r="954" spans="27:30" x14ac:dyDescent="0.25">
      <c r="AA954" s="116">
        <f t="shared" si="14"/>
        <v>0</v>
      </c>
      <c r="AB954" s="135"/>
      <c r="AC954" s="135"/>
      <c r="AD954" s="135"/>
    </row>
    <row r="955" spans="27:30" x14ac:dyDescent="0.25">
      <c r="AA955" s="116">
        <f t="shared" si="14"/>
        <v>0</v>
      </c>
      <c r="AB955" s="135"/>
      <c r="AC955" s="135"/>
      <c r="AD955" s="135"/>
    </row>
    <row r="956" spans="27:30" x14ac:dyDescent="0.25">
      <c r="AA956" s="116">
        <f t="shared" si="14"/>
        <v>0</v>
      </c>
      <c r="AB956" s="135"/>
      <c r="AC956" s="135"/>
      <c r="AD956" s="135"/>
    </row>
    <row r="957" spans="27:30" x14ac:dyDescent="0.25">
      <c r="AA957" s="116">
        <f t="shared" si="14"/>
        <v>0</v>
      </c>
      <c r="AB957" s="135"/>
      <c r="AC957" s="135"/>
      <c r="AD957" s="135"/>
    </row>
    <row r="958" spans="27:30" x14ac:dyDescent="0.25">
      <c r="AA958" s="116">
        <f t="shared" si="14"/>
        <v>0</v>
      </c>
      <c r="AB958" s="135"/>
      <c r="AC958" s="135"/>
      <c r="AD958" s="135"/>
    </row>
    <row r="959" spans="27:30" x14ac:dyDescent="0.25">
      <c r="AA959" s="116">
        <f t="shared" si="14"/>
        <v>0</v>
      </c>
      <c r="AB959" s="135"/>
      <c r="AC959" s="135"/>
      <c r="AD959" s="135"/>
    </row>
    <row r="960" spans="27:30" x14ac:dyDescent="0.25">
      <c r="AA960" s="116">
        <f t="shared" si="14"/>
        <v>0</v>
      </c>
      <c r="AB960" s="135"/>
      <c r="AC960" s="135"/>
      <c r="AD960" s="135"/>
    </row>
    <row r="961" spans="27:30" x14ac:dyDescent="0.25">
      <c r="AA961" s="116">
        <f t="shared" si="14"/>
        <v>0</v>
      </c>
      <c r="AB961" s="135"/>
      <c r="AC961" s="135"/>
      <c r="AD961" s="135"/>
    </row>
    <row r="962" spans="27:30" x14ac:dyDescent="0.25">
      <c r="AA962" s="116">
        <f t="shared" ref="AA962:AA1000" si="15">SUM(N962:Z962)</f>
        <v>0</v>
      </c>
      <c r="AB962" s="135"/>
      <c r="AC962" s="135"/>
      <c r="AD962" s="135"/>
    </row>
    <row r="963" spans="27:30" x14ac:dyDescent="0.25">
      <c r="AA963" s="116">
        <f t="shared" si="15"/>
        <v>0</v>
      </c>
      <c r="AB963" s="135"/>
      <c r="AC963" s="135"/>
      <c r="AD963" s="135"/>
    </row>
    <row r="964" spans="27:30" x14ac:dyDescent="0.25">
      <c r="AA964" s="116">
        <f t="shared" si="15"/>
        <v>0</v>
      </c>
      <c r="AB964" s="135"/>
      <c r="AC964" s="135"/>
      <c r="AD964" s="135"/>
    </row>
    <row r="965" spans="27:30" x14ac:dyDescent="0.25">
      <c r="AA965" s="116">
        <f t="shared" si="15"/>
        <v>0</v>
      </c>
      <c r="AB965" s="135"/>
      <c r="AC965" s="135"/>
      <c r="AD965" s="135"/>
    </row>
    <row r="966" spans="27:30" x14ac:dyDescent="0.25">
      <c r="AA966" s="116">
        <f t="shared" si="15"/>
        <v>0</v>
      </c>
      <c r="AB966" s="135"/>
      <c r="AC966" s="135"/>
      <c r="AD966" s="135"/>
    </row>
    <row r="967" spans="27:30" x14ac:dyDescent="0.25">
      <c r="AA967" s="116">
        <f t="shared" si="15"/>
        <v>0</v>
      </c>
      <c r="AB967" s="135"/>
      <c r="AC967" s="135"/>
      <c r="AD967" s="135"/>
    </row>
    <row r="968" spans="27:30" x14ac:dyDescent="0.25">
      <c r="AA968" s="116">
        <f t="shared" si="15"/>
        <v>0</v>
      </c>
      <c r="AB968" s="135"/>
      <c r="AC968" s="135"/>
      <c r="AD968" s="135"/>
    </row>
    <row r="969" spans="27:30" x14ac:dyDescent="0.25">
      <c r="AA969" s="116">
        <f t="shared" si="15"/>
        <v>0</v>
      </c>
      <c r="AB969" s="135"/>
      <c r="AC969" s="135"/>
      <c r="AD969" s="135"/>
    </row>
    <row r="970" spans="27:30" x14ac:dyDescent="0.25">
      <c r="AA970" s="116">
        <f t="shared" si="15"/>
        <v>0</v>
      </c>
      <c r="AB970" s="135"/>
      <c r="AC970" s="135"/>
      <c r="AD970" s="135"/>
    </row>
    <row r="971" spans="27:30" x14ac:dyDescent="0.25">
      <c r="AA971" s="116">
        <f t="shared" si="15"/>
        <v>0</v>
      </c>
      <c r="AB971" s="135"/>
      <c r="AC971" s="135"/>
      <c r="AD971" s="135"/>
    </row>
    <row r="972" spans="27:30" x14ac:dyDescent="0.25">
      <c r="AA972" s="116">
        <f t="shared" si="15"/>
        <v>0</v>
      </c>
      <c r="AB972" s="135"/>
      <c r="AC972" s="135"/>
      <c r="AD972" s="135"/>
    </row>
    <row r="973" spans="27:30" x14ac:dyDescent="0.25">
      <c r="AA973" s="116">
        <f t="shared" si="15"/>
        <v>0</v>
      </c>
      <c r="AB973" s="135"/>
      <c r="AC973" s="135"/>
      <c r="AD973" s="135"/>
    </row>
    <row r="974" spans="27:30" x14ac:dyDescent="0.25">
      <c r="AA974" s="116">
        <f t="shared" si="15"/>
        <v>0</v>
      </c>
      <c r="AB974" s="135"/>
      <c r="AC974" s="135"/>
      <c r="AD974" s="135"/>
    </row>
    <row r="975" spans="27:30" x14ac:dyDescent="0.25">
      <c r="AA975" s="116">
        <f t="shared" si="15"/>
        <v>0</v>
      </c>
      <c r="AB975" s="135"/>
      <c r="AC975" s="135"/>
      <c r="AD975" s="135"/>
    </row>
    <row r="976" spans="27:30" x14ac:dyDescent="0.25">
      <c r="AA976" s="116">
        <f t="shared" si="15"/>
        <v>0</v>
      </c>
      <c r="AB976" s="135"/>
      <c r="AC976" s="135"/>
      <c r="AD976" s="135"/>
    </row>
    <row r="977" spans="27:30" x14ac:dyDescent="0.25">
      <c r="AA977" s="116">
        <f t="shared" si="15"/>
        <v>0</v>
      </c>
      <c r="AB977" s="135"/>
      <c r="AC977" s="135"/>
      <c r="AD977" s="135"/>
    </row>
    <row r="978" spans="27:30" x14ac:dyDescent="0.25">
      <c r="AA978" s="116">
        <f t="shared" si="15"/>
        <v>0</v>
      </c>
      <c r="AB978" s="135"/>
      <c r="AC978" s="135"/>
      <c r="AD978" s="135"/>
    </row>
    <row r="979" spans="27:30" x14ac:dyDescent="0.25">
      <c r="AA979" s="116">
        <f t="shared" si="15"/>
        <v>0</v>
      </c>
      <c r="AB979" s="135"/>
      <c r="AC979" s="135"/>
      <c r="AD979" s="135"/>
    </row>
    <row r="980" spans="27:30" x14ac:dyDescent="0.25">
      <c r="AA980" s="116">
        <f t="shared" si="15"/>
        <v>0</v>
      </c>
      <c r="AB980" s="135"/>
      <c r="AC980" s="135"/>
      <c r="AD980" s="135"/>
    </row>
    <row r="981" spans="27:30" x14ac:dyDescent="0.25">
      <c r="AA981" s="116">
        <f t="shared" si="15"/>
        <v>0</v>
      </c>
      <c r="AB981" s="135"/>
      <c r="AC981" s="135"/>
      <c r="AD981" s="135"/>
    </row>
    <row r="982" spans="27:30" x14ac:dyDescent="0.25">
      <c r="AA982" s="116">
        <f t="shared" si="15"/>
        <v>0</v>
      </c>
      <c r="AB982" s="135"/>
      <c r="AC982" s="135"/>
      <c r="AD982" s="135"/>
    </row>
    <row r="983" spans="27:30" x14ac:dyDescent="0.25">
      <c r="AA983" s="116">
        <f t="shared" si="15"/>
        <v>0</v>
      </c>
      <c r="AB983" s="135"/>
      <c r="AC983" s="135"/>
      <c r="AD983" s="135"/>
    </row>
    <row r="984" spans="27:30" x14ac:dyDescent="0.25">
      <c r="AA984" s="116">
        <f t="shared" si="15"/>
        <v>0</v>
      </c>
      <c r="AB984" s="135"/>
      <c r="AC984" s="135"/>
      <c r="AD984" s="135"/>
    </row>
    <row r="985" spans="27:30" x14ac:dyDescent="0.25">
      <c r="AA985" s="116">
        <f t="shared" si="15"/>
        <v>0</v>
      </c>
      <c r="AB985" s="135"/>
      <c r="AC985" s="135"/>
      <c r="AD985" s="135"/>
    </row>
    <row r="986" spans="27:30" x14ac:dyDescent="0.25">
      <c r="AA986" s="116">
        <f t="shared" si="15"/>
        <v>0</v>
      </c>
      <c r="AB986" s="135"/>
      <c r="AC986" s="135"/>
      <c r="AD986" s="135"/>
    </row>
    <row r="987" spans="27:30" x14ac:dyDescent="0.25">
      <c r="AA987" s="116">
        <f t="shared" si="15"/>
        <v>0</v>
      </c>
      <c r="AB987" s="135"/>
      <c r="AC987" s="135"/>
      <c r="AD987" s="135"/>
    </row>
    <row r="988" spans="27:30" x14ac:dyDescent="0.25">
      <c r="AA988" s="116">
        <f t="shared" si="15"/>
        <v>0</v>
      </c>
      <c r="AB988" s="135"/>
      <c r="AC988" s="135"/>
      <c r="AD988" s="135"/>
    </row>
    <row r="989" spans="27:30" x14ac:dyDescent="0.25">
      <c r="AA989" s="116">
        <f t="shared" si="15"/>
        <v>0</v>
      </c>
      <c r="AB989" s="135"/>
      <c r="AC989" s="135"/>
      <c r="AD989" s="135"/>
    </row>
    <row r="990" spans="27:30" x14ac:dyDescent="0.25">
      <c r="AA990" s="116">
        <f t="shared" si="15"/>
        <v>0</v>
      </c>
      <c r="AB990" s="135"/>
      <c r="AC990" s="135"/>
      <c r="AD990" s="135"/>
    </row>
    <row r="991" spans="27:30" x14ac:dyDescent="0.25">
      <c r="AA991" s="116">
        <f t="shared" si="15"/>
        <v>0</v>
      </c>
      <c r="AB991" s="135"/>
      <c r="AC991" s="135"/>
      <c r="AD991" s="135"/>
    </row>
    <row r="992" spans="27:30" x14ac:dyDescent="0.25">
      <c r="AA992" s="116">
        <f t="shared" si="15"/>
        <v>0</v>
      </c>
      <c r="AB992" s="135"/>
      <c r="AC992" s="135"/>
      <c r="AD992" s="135"/>
    </row>
    <row r="993" spans="27:30" x14ac:dyDescent="0.25">
      <c r="AA993" s="116">
        <f t="shared" si="15"/>
        <v>0</v>
      </c>
      <c r="AB993" s="135"/>
      <c r="AC993" s="135"/>
      <c r="AD993" s="135"/>
    </row>
    <row r="994" spans="27:30" x14ac:dyDescent="0.25">
      <c r="AA994" s="116">
        <f t="shared" si="15"/>
        <v>0</v>
      </c>
      <c r="AB994" s="135"/>
      <c r="AC994" s="135"/>
      <c r="AD994" s="135"/>
    </row>
    <row r="995" spans="27:30" x14ac:dyDescent="0.25">
      <c r="AA995" s="116">
        <f t="shared" si="15"/>
        <v>0</v>
      </c>
      <c r="AB995" s="135"/>
      <c r="AC995" s="135"/>
      <c r="AD995" s="135"/>
    </row>
    <row r="996" spans="27:30" x14ac:dyDescent="0.25">
      <c r="AA996" s="116">
        <f t="shared" si="15"/>
        <v>0</v>
      </c>
      <c r="AB996" s="135"/>
      <c r="AC996" s="135"/>
      <c r="AD996" s="135"/>
    </row>
    <row r="997" spans="27:30" x14ac:dyDescent="0.25">
      <c r="AA997" s="116">
        <f t="shared" si="15"/>
        <v>0</v>
      </c>
      <c r="AB997" s="135"/>
      <c r="AC997" s="135"/>
      <c r="AD997" s="135"/>
    </row>
    <row r="998" spans="27:30" x14ac:dyDescent="0.25">
      <c r="AA998" s="116">
        <f t="shared" si="15"/>
        <v>0</v>
      </c>
      <c r="AB998" s="135"/>
      <c r="AC998" s="135"/>
      <c r="AD998" s="135"/>
    </row>
    <row r="999" spans="27:30" x14ac:dyDescent="0.25">
      <c r="AA999" s="116">
        <f t="shared" si="15"/>
        <v>0</v>
      </c>
      <c r="AB999" s="135"/>
      <c r="AC999" s="135"/>
      <c r="AD999" s="135"/>
    </row>
    <row r="1000" spans="27:30" x14ac:dyDescent="0.25">
      <c r="AA1000" s="116">
        <f t="shared" si="15"/>
        <v>0</v>
      </c>
      <c r="AB1000" s="135"/>
      <c r="AC1000" s="135"/>
      <c r="AD1000" s="135"/>
    </row>
  </sheetData>
  <autoFilter ref="B1:AD1000" xr:uid="{0C4D8A4E-A947-4064-B92D-2E008D769D02}"/>
  <mergeCells count="18">
    <mergeCell ref="B8:C8"/>
    <mergeCell ref="B31:C31"/>
    <mergeCell ref="B25:C25"/>
    <mergeCell ref="B26:C26"/>
    <mergeCell ref="B27:C27"/>
    <mergeCell ref="B28:C28"/>
    <mergeCell ref="B29:C29"/>
    <mergeCell ref="B30:C30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71E4-066C-4EF2-87AA-8BA3E77D7437}">
  <dimension ref="A1:H113"/>
  <sheetViews>
    <sheetView topLeftCell="A34" workbookViewId="0">
      <selection activeCell="C89" sqref="C89"/>
    </sheetView>
  </sheetViews>
  <sheetFormatPr defaultRowHeight="15" x14ac:dyDescent="0.25"/>
  <cols>
    <col min="1" max="1" width="33.42578125" customWidth="1"/>
    <col min="2" max="2" width="28" customWidth="1"/>
    <col min="3" max="3" width="24" customWidth="1"/>
    <col min="4" max="4" width="25.28515625" bestFit="1" customWidth="1"/>
    <col min="5" max="5" width="15.7109375" customWidth="1"/>
    <col min="6" max="6" width="30.28515625" customWidth="1"/>
  </cols>
  <sheetData>
    <row r="1" spans="1:3" x14ac:dyDescent="0.25">
      <c r="A1" s="33"/>
      <c r="B1" s="9" t="s">
        <v>94</v>
      </c>
      <c r="C1" s="9" t="s">
        <v>36</v>
      </c>
    </row>
    <row r="2" spans="1:3" x14ac:dyDescent="0.25">
      <c r="A2" s="124" t="s">
        <v>93</v>
      </c>
      <c r="B2" s="113">
        <v>12</v>
      </c>
      <c r="C2" s="125">
        <v>45659</v>
      </c>
    </row>
    <row r="3" spans="1:3" ht="54" x14ac:dyDescent="0.25">
      <c r="A3" s="126" t="s">
        <v>95</v>
      </c>
      <c r="B3" s="119"/>
      <c r="C3" s="116"/>
    </row>
    <row r="4" spans="1:3" x14ac:dyDescent="0.25">
      <c r="A4" s="124" t="s">
        <v>247</v>
      </c>
      <c r="B4" s="127">
        <v>10</v>
      </c>
      <c r="C4" s="125">
        <v>45450</v>
      </c>
    </row>
    <row r="5" spans="1:3" x14ac:dyDescent="0.25">
      <c r="A5" s="124"/>
      <c r="B5" s="119"/>
      <c r="C5" s="116"/>
    </row>
    <row r="6" spans="1:3" x14ac:dyDescent="0.25">
      <c r="A6" s="124"/>
      <c r="B6" s="119"/>
      <c r="C6" s="116"/>
    </row>
    <row r="7" spans="1:3" x14ac:dyDescent="0.25">
      <c r="A7" s="124"/>
      <c r="B7" s="119"/>
      <c r="C7" s="116"/>
    </row>
    <row r="8" spans="1:3" x14ac:dyDescent="0.25">
      <c r="A8" s="124"/>
      <c r="B8" s="119"/>
      <c r="C8" s="116"/>
    </row>
    <row r="9" spans="1:3" x14ac:dyDescent="0.25">
      <c r="A9" s="124"/>
      <c r="B9" s="116"/>
      <c r="C9" s="116"/>
    </row>
    <row r="10" spans="1:3" x14ac:dyDescent="0.25">
      <c r="A10" s="124"/>
      <c r="B10" s="116"/>
      <c r="C10" s="116"/>
    </row>
    <row r="11" spans="1:3" x14ac:dyDescent="0.25">
      <c r="A11" s="124"/>
      <c r="B11" s="119"/>
      <c r="C11" s="116"/>
    </row>
    <row r="12" spans="1:3" x14ac:dyDescent="0.25">
      <c r="A12" s="124"/>
      <c r="B12" s="119"/>
      <c r="C12" s="116"/>
    </row>
    <row r="13" spans="1:3" x14ac:dyDescent="0.25">
      <c r="A13" s="124"/>
      <c r="B13" s="119"/>
      <c r="C13" s="116"/>
    </row>
    <row r="14" spans="1:3" x14ac:dyDescent="0.25">
      <c r="A14" s="124"/>
      <c r="B14" s="116"/>
      <c r="C14" s="116"/>
    </row>
    <row r="15" spans="1:3" x14ac:dyDescent="0.25">
      <c r="A15" s="124"/>
      <c r="B15" s="116"/>
      <c r="C15" s="116"/>
    </row>
    <row r="16" spans="1:3" x14ac:dyDescent="0.25">
      <c r="A16" s="34"/>
    </row>
    <row r="17" spans="1:8" x14ac:dyDescent="0.25">
      <c r="A17" s="34" t="s">
        <v>96</v>
      </c>
    </row>
    <row r="18" spans="1:8" x14ac:dyDescent="0.25">
      <c r="A18" s="34" t="s">
        <v>97</v>
      </c>
      <c r="B18" s="116" t="s">
        <v>223</v>
      </c>
      <c r="C18" s="116"/>
      <c r="D18" s="116"/>
      <c r="E18" s="116"/>
      <c r="F18" s="116"/>
    </row>
    <row r="19" spans="1:8" ht="45" x14ac:dyDescent="0.25">
      <c r="A19" s="34"/>
      <c r="B19" s="39" t="s">
        <v>104</v>
      </c>
      <c r="C19" s="39" t="s">
        <v>99</v>
      </c>
      <c r="D19" s="39" t="s">
        <v>100</v>
      </c>
      <c r="E19" s="39" t="s">
        <v>101</v>
      </c>
      <c r="F19" s="39" t="s">
        <v>102</v>
      </c>
      <c r="G19" s="9"/>
      <c r="H19" s="9"/>
    </row>
    <row r="20" spans="1:8" x14ac:dyDescent="0.25">
      <c r="A20" s="34" t="s">
        <v>98</v>
      </c>
      <c r="B20" s="116" t="s">
        <v>224</v>
      </c>
      <c r="C20" s="117">
        <v>45659</v>
      </c>
      <c r="D20" s="117">
        <v>45572</v>
      </c>
      <c r="E20" s="117">
        <v>45572</v>
      </c>
      <c r="F20" s="118" t="s">
        <v>226</v>
      </c>
    </row>
    <row r="21" spans="1:8" x14ac:dyDescent="0.25">
      <c r="A21" s="34" t="s">
        <v>103</v>
      </c>
      <c r="B21" s="116" t="s">
        <v>227</v>
      </c>
      <c r="C21" s="117">
        <v>45538</v>
      </c>
      <c r="D21" s="117">
        <v>45545</v>
      </c>
      <c r="E21" s="128">
        <v>45545</v>
      </c>
      <c r="F21" s="129" t="s">
        <v>226</v>
      </c>
    </row>
    <row r="22" spans="1:8" x14ac:dyDescent="0.25">
      <c r="A22" s="34" t="s">
        <v>105</v>
      </c>
      <c r="B22" s="116"/>
      <c r="C22" s="116"/>
      <c r="D22" s="116"/>
      <c r="E22" s="116"/>
      <c r="F22" s="116"/>
    </row>
    <row r="23" spans="1:8" x14ac:dyDescent="0.25">
      <c r="A23" s="38" t="s">
        <v>106</v>
      </c>
      <c r="B23" s="116" t="s">
        <v>228</v>
      </c>
      <c r="C23" s="117">
        <v>45539</v>
      </c>
      <c r="D23" s="116"/>
      <c r="E23" s="116"/>
      <c r="F23" s="116"/>
    </row>
    <row r="24" spans="1:8" x14ac:dyDescent="0.25">
      <c r="A24" s="38" t="s">
        <v>106</v>
      </c>
      <c r="B24" s="116" t="s">
        <v>229</v>
      </c>
      <c r="C24" s="117">
        <v>45539</v>
      </c>
      <c r="D24" s="116"/>
      <c r="E24" s="116"/>
      <c r="F24" s="116"/>
    </row>
    <row r="25" spans="1:8" x14ac:dyDescent="0.25">
      <c r="A25" s="38" t="s">
        <v>106</v>
      </c>
      <c r="B25" s="116" t="s">
        <v>230</v>
      </c>
      <c r="C25" s="117">
        <v>45539</v>
      </c>
      <c r="D25" s="116"/>
      <c r="E25" s="116"/>
      <c r="F25" s="116"/>
    </row>
    <row r="26" spans="1:8" x14ac:dyDescent="0.25">
      <c r="A26" s="38" t="s">
        <v>106</v>
      </c>
      <c r="B26" s="116" t="s">
        <v>231</v>
      </c>
      <c r="C26" s="117">
        <v>45539</v>
      </c>
      <c r="D26" s="116"/>
      <c r="E26" s="116"/>
      <c r="F26" s="116"/>
    </row>
    <row r="27" spans="1:8" x14ac:dyDescent="0.25">
      <c r="A27" s="38" t="s">
        <v>106</v>
      </c>
      <c r="B27" s="116" t="s">
        <v>232</v>
      </c>
      <c r="C27" s="117">
        <v>45539</v>
      </c>
      <c r="D27" s="116"/>
      <c r="E27" s="116"/>
      <c r="F27" s="116"/>
    </row>
    <row r="28" spans="1:8" x14ac:dyDescent="0.25">
      <c r="A28" s="38" t="s">
        <v>106</v>
      </c>
      <c r="B28" s="116" t="s">
        <v>233</v>
      </c>
      <c r="C28" s="117">
        <v>45539</v>
      </c>
      <c r="D28" s="116"/>
      <c r="E28" s="116"/>
      <c r="F28" s="116"/>
    </row>
    <row r="29" spans="1:8" x14ac:dyDescent="0.25">
      <c r="A29" s="38" t="s">
        <v>106</v>
      </c>
      <c r="B29" s="116" t="s">
        <v>234</v>
      </c>
      <c r="C29" s="117">
        <v>45539</v>
      </c>
      <c r="D29" s="116"/>
      <c r="E29" s="116"/>
      <c r="F29" s="116"/>
    </row>
    <row r="30" spans="1:8" x14ac:dyDescent="0.25">
      <c r="A30" s="38" t="s">
        <v>106</v>
      </c>
      <c r="B30" s="116" t="s">
        <v>227</v>
      </c>
      <c r="C30" s="117">
        <v>45539</v>
      </c>
      <c r="D30" s="116"/>
      <c r="E30" s="116"/>
      <c r="F30" s="116"/>
    </row>
    <row r="31" spans="1:8" x14ac:dyDescent="0.25">
      <c r="A31" s="38" t="s">
        <v>106</v>
      </c>
      <c r="B31" s="116"/>
      <c r="C31" s="116"/>
      <c r="D31" s="116"/>
      <c r="E31" s="116"/>
      <c r="F31" s="116"/>
    </row>
    <row r="32" spans="1:8" x14ac:dyDescent="0.25">
      <c r="A32" s="38" t="s">
        <v>106</v>
      </c>
      <c r="B32" s="116"/>
      <c r="C32" s="116"/>
      <c r="D32" s="116"/>
      <c r="E32" s="116"/>
      <c r="F32" s="116"/>
    </row>
    <row r="33" spans="1:6" x14ac:dyDescent="0.25">
      <c r="A33" s="38" t="s">
        <v>106</v>
      </c>
      <c r="B33" s="116"/>
      <c r="C33" s="116"/>
      <c r="D33" s="116"/>
      <c r="E33" s="116"/>
      <c r="F33" s="116"/>
    </row>
    <row r="34" spans="1:6" x14ac:dyDescent="0.25">
      <c r="A34" s="38" t="s">
        <v>106</v>
      </c>
      <c r="B34" s="116"/>
      <c r="C34" s="116"/>
      <c r="D34" s="116"/>
      <c r="E34" s="116"/>
      <c r="F34" s="116"/>
    </row>
    <row r="35" spans="1:6" x14ac:dyDescent="0.25">
      <c r="A35" s="38" t="s">
        <v>106</v>
      </c>
      <c r="B35" s="116"/>
      <c r="C35" s="116"/>
      <c r="D35" s="116"/>
      <c r="E35" s="116"/>
      <c r="F35" s="116"/>
    </row>
    <row r="36" spans="1:6" x14ac:dyDescent="0.25">
      <c r="A36" s="38" t="s">
        <v>106</v>
      </c>
      <c r="B36" s="116"/>
      <c r="C36" s="116"/>
      <c r="D36" s="116"/>
      <c r="E36" s="116"/>
      <c r="F36" s="116"/>
    </row>
    <row r="37" spans="1:6" x14ac:dyDescent="0.25">
      <c r="A37" s="38" t="s">
        <v>106</v>
      </c>
      <c r="B37" s="116"/>
      <c r="C37" s="116"/>
      <c r="D37" s="116"/>
      <c r="E37" s="116"/>
      <c r="F37" s="116"/>
    </row>
    <row r="38" spans="1:6" x14ac:dyDescent="0.25">
      <c r="A38" s="38" t="s">
        <v>106</v>
      </c>
      <c r="B38" s="116"/>
      <c r="C38" s="116"/>
      <c r="D38" s="116"/>
      <c r="E38" s="116"/>
      <c r="F38" s="116"/>
    </row>
    <row r="39" spans="1:6" x14ac:dyDescent="0.25">
      <c r="A39" s="34" t="s">
        <v>107</v>
      </c>
      <c r="B39" s="116"/>
      <c r="C39" s="116"/>
      <c r="D39" s="116"/>
      <c r="E39" s="116"/>
      <c r="F39" s="116"/>
    </row>
    <row r="40" spans="1:6" x14ac:dyDescent="0.25">
      <c r="A40" s="38" t="s">
        <v>106</v>
      </c>
      <c r="B40" s="116" t="s">
        <v>228</v>
      </c>
      <c r="C40" s="116"/>
      <c r="D40" s="117">
        <v>45615</v>
      </c>
      <c r="E40" s="117">
        <v>45615</v>
      </c>
      <c r="F40" s="118" t="s">
        <v>225</v>
      </c>
    </row>
    <row r="41" spans="1:6" x14ac:dyDescent="0.25">
      <c r="A41" s="38" t="s">
        <v>106</v>
      </c>
      <c r="B41" s="116" t="s">
        <v>230</v>
      </c>
      <c r="C41" s="116"/>
      <c r="D41" s="117">
        <v>45615</v>
      </c>
      <c r="E41" s="117">
        <v>45615</v>
      </c>
      <c r="F41" s="118" t="s">
        <v>225</v>
      </c>
    </row>
    <row r="42" spans="1:6" x14ac:dyDescent="0.25">
      <c r="A42" s="38" t="s">
        <v>106</v>
      </c>
      <c r="B42" s="116" t="s">
        <v>229</v>
      </c>
      <c r="C42" s="116"/>
      <c r="D42" s="117">
        <v>45615</v>
      </c>
      <c r="E42" s="117">
        <v>45615</v>
      </c>
      <c r="F42" s="118" t="s">
        <v>225</v>
      </c>
    </row>
    <row r="43" spans="1:6" x14ac:dyDescent="0.25">
      <c r="A43" s="38" t="s">
        <v>106</v>
      </c>
      <c r="B43" s="116" t="s">
        <v>234</v>
      </c>
      <c r="C43" s="116"/>
      <c r="D43" s="117">
        <v>45615</v>
      </c>
      <c r="E43" s="117">
        <v>45615</v>
      </c>
      <c r="F43" s="118" t="s">
        <v>225</v>
      </c>
    </row>
    <row r="44" spans="1:6" x14ac:dyDescent="0.25">
      <c r="A44" s="38" t="s">
        <v>106</v>
      </c>
      <c r="B44" s="116" t="s">
        <v>231</v>
      </c>
      <c r="C44" s="116"/>
      <c r="D44" s="117">
        <v>45615</v>
      </c>
      <c r="E44" s="117">
        <v>45615</v>
      </c>
      <c r="F44" s="118" t="s">
        <v>225</v>
      </c>
    </row>
    <row r="45" spans="1:6" x14ac:dyDescent="0.25">
      <c r="A45" s="38" t="s">
        <v>106</v>
      </c>
      <c r="B45" s="116" t="s">
        <v>232</v>
      </c>
      <c r="C45" s="116"/>
      <c r="D45" s="117">
        <v>45615</v>
      </c>
      <c r="E45" s="117">
        <v>45615</v>
      </c>
      <c r="F45" s="118" t="s">
        <v>225</v>
      </c>
    </row>
    <row r="46" spans="1:6" x14ac:dyDescent="0.25">
      <c r="A46" s="38" t="s">
        <v>106</v>
      </c>
      <c r="B46" s="116" t="s">
        <v>233</v>
      </c>
      <c r="C46" s="116"/>
      <c r="D46" s="117">
        <v>45615</v>
      </c>
      <c r="E46" s="117">
        <v>45615</v>
      </c>
      <c r="F46" s="118" t="s">
        <v>225</v>
      </c>
    </row>
    <row r="47" spans="1:6" x14ac:dyDescent="0.25">
      <c r="A47" s="38" t="s">
        <v>106</v>
      </c>
      <c r="B47" s="116" t="s">
        <v>227</v>
      </c>
      <c r="C47" s="116"/>
      <c r="D47" s="117">
        <v>45615</v>
      </c>
      <c r="E47" s="117">
        <v>45615</v>
      </c>
      <c r="F47" s="118" t="s">
        <v>225</v>
      </c>
    </row>
    <row r="48" spans="1:6" x14ac:dyDescent="0.25">
      <c r="A48" s="38" t="s">
        <v>106</v>
      </c>
      <c r="B48" s="116"/>
      <c r="C48" s="116"/>
      <c r="D48" s="118"/>
      <c r="E48" s="118"/>
      <c r="F48" s="118"/>
    </row>
    <row r="49" spans="1:6" x14ac:dyDescent="0.25">
      <c r="A49" s="38" t="s">
        <v>106</v>
      </c>
      <c r="B49" s="116"/>
      <c r="C49" s="116"/>
      <c r="D49" s="116"/>
      <c r="E49" s="116"/>
      <c r="F49" s="116"/>
    </row>
    <row r="50" spans="1:6" x14ac:dyDescent="0.25">
      <c r="A50" s="38" t="s">
        <v>106</v>
      </c>
      <c r="B50" s="116"/>
      <c r="C50" s="116"/>
      <c r="D50" s="116"/>
      <c r="E50" s="116"/>
      <c r="F50" s="116"/>
    </row>
    <row r="51" spans="1:6" x14ac:dyDescent="0.25">
      <c r="A51" s="38" t="s">
        <v>106</v>
      </c>
      <c r="B51" s="116"/>
      <c r="C51" s="116"/>
      <c r="D51" s="116"/>
      <c r="E51" s="116"/>
      <c r="F51" s="116"/>
    </row>
    <row r="52" spans="1:6" x14ac:dyDescent="0.25">
      <c r="A52" s="38" t="s">
        <v>106</v>
      </c>
      <c r="B52" s="116"/>
      <c r="C52" s="116"/>
      <c r="D52" s="116"/>
      <c r="E52" s="116"/>
      <c r="F52" s="116"/>
    </row>
    <row r="53" spans="1:6" x14ac:dyDescent="0.25">
      <c r="A53" s="38" t="s">
        <v>106</v>
      </c>
      <c r="B53" s="116"/>
      <c r="C53" s="116"/>
      <c r="D53" s="116"/>
      <c r="E53" s="116"/>
      <c r="F53" s="116"/>
    </row>
    <row r="54" spans="1:6" x14ac:dyDescent="0.25">
      <c r="A54" s="38" t="s">
        <v>106</v>
      </c>
      <c r="B54" s="116"/>
      <c r="C54" s="116"/>
      <c r="D54" s="116"/>
      <c r="E54" s="116"/>
      <c r="F54" s="116"/>
    </row>
    <row r="55" spans="1:6" x14ac:dyDescent="0.25">
      <c r="A55" s="38" t="s">
        <v>106</v>
      </c>
      <c r="B55" s="116"/>
      <c r="C55" s="116"/>
      <c r="D55" s="116"/>
      <c r="E55" s="116"/>
      <c r="F55" s="116"/>
    </row>
    <row r="56" spans="1:6" x14ac:dyDescent="0.25">
      <c r="A56" s="38" t="s">
        <v>106</v>
      </c>
      <c r="B56" s="116"/>
      <c r="C56" s="116"/>
      <c r="D56" s="116"/>
      <c r="E56" s="116"/>
      <c r="F56" s="116"/>
    </row>
    <row r="57" spans="1:6" x14ac:dyDescent="0.25">
      <c r="A57" s="34" t="s">
        <v>108</v>
      </c>
      <c r="B57" s="116"/>
      <c r="C57" s="116"/>
      <c r="D57" s="116"/>
      <c r="E57" s="116"/>
      <c r="F57" s="116"/>
    </row>
    <row r="58" spans="1:6" x14ac:dyDescent="0.25">
      <c r="A58" s="38" t="s">
        <v>106</v>
      </c>
      <c r="B58" s="116" t="s">
        <v>235</v>
      </c>
      <c r="C58" s="116"/>
      <c r="D58" s="117">
        <v>45710</v>
      </c>
      <c r="E58" s="130">
        <v>45710</v>
      </c>
      <c r="F58" s="118" t="s">
        <v>225</v>
      </c>
    </row>
    <row r="59" spans="1:6" x14ac:dyDescent="0.25">
      <c r="A59" s="38" t="s">
        <v>106</v>
      </c>
      <c r="B59" s="116" t="s">
        <v>234</v>
      </c>
      <c r="C59" s="116"/>
      <c r="D59" s="117">
        <v>45710</v>
      </c>
      <c r="E59" s="130">
        <v>45710</v>
      </c>
      <c r="F59" s="118" t="s">
        <v>225</v>
      </c>
    </row>
    <row r="60" spans="1:6" x14ac:dyDescent="0.25">
      <c r="A60" s="38" t="s">
        <v>106</v>
      </c>
      <c r="B60" s="116" t="s">
        <v>229</v>
      </c>
      <c r="C60" s="116"/>
      <c r="D60" s="128">
        <v>45369</v>
      </c>
      <c r="E60" s="131">
        <v>45369</v>
      </c>
      <c r="F60" s="118" t="s">
        <v>225</v>
      </c>
    </row>
    <row r="61" spans="1:6" x14ac:dyDescent="0.25">
      <c r="A61" s="38" t="s">
        <v>106</v>
      </c>
      <c r="B61" s="116" t="s">
        <v>228</v>
      </c>
      <c r="C61" s="116"/>
      <c r="D61" s="128">
        <v>45369</v>
      </c>
      <c r="E61" s="131">
        <v>45369</v>
      </c>
      <c r="F61" s="118" t="s">
        <v>225</v>
      </c>
    </row>
    <row r="62" spans="1:6" x14ac:dyDescent="0.25">
      <c r="A62" s="38" t="s">
        <v>106</v>
      </c>
      <c r="B62" s="116"/>
      <c r="C62" s="116"/>
      <c r="D62" s="116"/>
      <c r="E62" s="116"/>
      <c r="F62" s="116"/>
    </row>
    <row r="63" spans="1:6" x14ac:dyDescent="0.25">
      <c r="A63" s="38" t="s">
        <v>106</v>
      </c>
      <c r="B63" s="116"/>
      <c r="C63" s="116"/>
      <c r="D63" s="116"/>
      <c r="E63" s="116"/>
      <c r="F63" s="116"/>
    </row>
    <row r="64" spans="1:6" x14ac:dyDescent="0.25">
      <c r="A64" s="38" t="s">
        <v>106</v>
      </c>
      <c r="B64" s="116"/>
      <c r="C64" s="116"/>
      <c r="D64" s="116"/>
      <c r="E64" s="116"/>
      <c r="F64" s="116"/>
    </row>
    <row r="65" spans="1:6" x14ac:dyDescent="0.25">
      <c r="A65" s="38" t="s">
        <v>106</v>
      </c>
      <c r="B65" s="116"/>
      <c r="C65" s="116"/>
      <c r="D65" s="116"/>
      <c r="E65" s="116"/>
      <c r="F65" s="116"/>
    </row>
    <row r="66" spans="1:6" x14ac:dyDescent="0.25">
      <c r="A66" s="38" t="s">
        <v>106</v>
      </c>
      <c r="B66" s="116"/>
      <c r="C66" s="116"/>
      <c r="D66" s="116"/>
      <c r="E66" s="116"/>
      <c r="F66" s="116"/>
    </row>
    <row r="67" spans="1:6" x14ac:dyDescent="0.25">
      <c r="A67" s="38" t="s">
        <v>106</v>
      </c>
      <c r="B67" s="116"/>
      <c r="C67" s="116"/>
      <c r="D67" s="116"/>
      <c r="E67" s="116"/>
      <c r="F67" s="116"/>
    </row>
    <row r="68" spans="1:6" x14ac:dyDescent="0.25">
      <c r="A68" s="38" t="s">
        <v>106</v>
      </c>
      <c r="B68" s="116"/>
      <c r="C68" s="116"/>
      <c r="D68" s="116"/>
      <c r="E68" s="116"/>
      <c r="F68" s="116"/>
    </row>
    <row r="69" spans="1:6" x14ac:dyDescent="0.25">
      <c r="A69" s="38" t="s">
        <v>106</v>
      </c>
      <c r="B69" s="116"/>
      <c r="C69" s="116"/>
      <c r="D69" s="116"/>
      <c r="E69" s="116"/>
      <c r="F69" s="116"/>
    </row>
    <row r="70" spans="1:6" x14ac:dyDescent="0.25">
      <c r="A70" s="38" t="s">
        <v>106</v>
      </c>
      <c r="B70" s="116"/>
      <c r="C70" s="116"/>
      <c r="D70" s="116"/>
      <c r="E70" s="116"/>
      <c r="F70" s="116"/>
    </row>
    <row r="71" spans="1:6" x14ac:dyDescent="0.25">
      <c r="A71" s="38" t="s">
        <v>106</v>
      </c>
      <c r="B71" s="116"/>
      <c r="C71" s="116"/>
      <c r="D71" s="116"/>
      <c r="E71" s="116"/>
      <c r="F71" s="116"/>
    </row>
    <row r="72" spans="1:6" x14ac:dyDescent="0.25">
      <c r="A72" s="38" t="s">
        <v>106</v>
      </c>
      <c r="B72" s="116"/>
      <c r="C72" s="116"/>
      <c r="D72" s="116"/>
      <c r="E72" s="116"/>
      <c r="F72" s="116"/>
    </row>
    <row r="73" spans="1:6" x14ac:dyDescent="0.25">
      <c r="A73" s="38" t="s">
        <v>106</v>
      </c>
      <c r="B73" s="116"/>
      <c r="C73" s="116"/>
      <c r="D73" s="116"/>
      <c r="E73" s="116"/>
      <c r="F73" s="116"/>
    </row>
    <row r="74" spans="1:6" x14ac:dyDescent="0.25">
      <c r="A74" s="38" t="s">
        <v>106</v>
      </c>
      <c r="B74" s="116"/>
      <c r="C74" s="116"/>
      <c r="D74" s="116"/>
      <c r="E74" s="116"/>
      <c r="F74" s="116"/>
    </row>
    <row r="75" spans="1:6" x14ac:dyDescent="0.25">
      <c r="A75" s="38" t="s">
        <v>106</v>
      </c>
      <c r="B75" s="116"/>
      <c r="C75" s="116"/>
      <c r="D75" s="116"/>
      <c r="E75" s="116"/>
      <c r="F75" s="116"/>
    </row>
    <row r="76" spans="1:6" x14ac:dyDescent="0.25">
      <c r="A76" s="34" t="s">
        <v>109</v>
      </c>
      <c r="B76" s="116"/>
      <c r="C76" s="116"/>
      <c r="D76" s="116"/>
      <c r="E76" s="116"/>
      <c r="F76" s="116"/>
    </row>
    <row r="77" spans="1:6" x14ac:dyDescent="0.25">
      <c r="A77" s="38" t="s">
        <v>106</v>
      </c>
      <c r="B77" s="116"/>
      <c r="C77" s="116"/>
      <c r="D77" s="116"/>
      <c r="E77" s="116"/>
      <c r="F77" s="116"/>
    </row>
    <row r="78" spans="1:6" x14ac:dyDescent="0.25">
      <c r="A78" s="38" t="s">
        <v>106</v>
      </c>
      <c r="B78" s="116"/>
      <c r="C78" s="116"/>
      <c r="D78" s="116"/>
      <c r="E78" s="116"/>
      <c r="F78" s="116"/>
    </row>
    <row r="79" spans="1:6" x14ac:dyDescent="0.25">
      <c r="A79" s="38" t="s">
        <v>106</v>
      </c>
      <c r="B79" s="116"/>
      <c r="C79" s="116"/>
      <c r="D79" s="116"/>
      <c r="E79" s="116"/>
      <c r="F79" s="116"/>
    </row>
    <row r="80" spans="1:6" x14ac:dyDescent="0.25">
      <c r="A80" s="38" t="s">
        <v>106</v>
      </c>
      <c r="B80" s="116"/>
      <c r="C80" s="116"/>
      <c r="D80" s="116"/>
      <c r="E80" s="116"/>
      <c r="F80" s="116"/>
    </row>
    <row r="81" spans="1:6" x14ac:dyDescent="0.25">
      <c r="A81" s="38" t="s">
        <v>106</v>
      </c>
      <c r="B81" s="116"/>
      <c r="C81" s="116"/>
      <c r="D81" s="116"/>
      <c r="E81" s="116"/>
      <c r="F81" s="116"/>
    </row>
    <row r="82" spans="1:6" x14ac:dyDescent="0.25">
      <c r="A82" s="38" t="s">
        <v>106</v>
      </c>
      <c r="B82" s="116"/>
      <c r="C82" s="116"/>
      <c r="D82" s="116"/>
      <c r="E82" s="116"/>
      <c r="F82" s="116"/>
    </row>
    <row r="83" spans="1:6" x14ac:dyDescent="0.25">
      <c r="A83" s="38" t="s">
        <v>106</v>
      </c>
      <c r="B83" s="116"/>
      <c r="C83" s="116"/>
      <c r="D83" s="116"/>
      <c r="E83" s="116"/>
      <c r="F83" s="116"/>
    </row>
    <row r="84" spans="1:6" x14ac:dyDescent="0.25">
      <c r="A84" s="38" t="s">
        <v>106</v>
      </c>
      <c r="B84" s="116"/>
      <c r="C84" s="116"/>
      <c r="D84" s="116"/>
      <c r="E84" s="116"/>
      <c r="F84" s="116"/>
    </row>
    <row r="85" spans="1:6" x14ac:dyDescent="0.25">
      <c r="A85" s="38" t="s">
        <v>106</v>
      </c>
      <c r="B85" s="116"/>
      <c r="C85" s="116"/>
      <c r="D85" s="116"/>
      <c r="E85" s="116"/>
      <c r="F85" s="116"/>
    </row>
    <row r="86" spans="1:6" x14ac:dyDescent="0.25">
      <c r="A86" s="38" t="s">
        <v>106</v>
      </c>
      <c r="B86" s="116"/>
      <c r="C86" s="116"/>
      <c r="D86" s="116"/>
      <c r="E86" s="116"/>
      <c r="F86" s="116"/>
    </row>
    <row r="87" spans="1:6" x14ac:dyDescent="0.25">
      <c r="A87" s="38" t="s">
        <v>106</v>
      </c>
      <c r="B87" s="116"/>
      <c r="C87" s="116"/>
      <c r="D87" s="116"/>
      <c r="E87" s="116"/>
      <c r="F87" s="116"/>
    </row>
    <row r="88" spans="1:6" x14ac:dyDescent="0.25">
      <c r="A88" s="38" t="s">
        <v>106</v>
      </c>
      <c r="B88" s="116"/>
      <c r="C88" s="116"/>
      <c r="D88" s="116"/>
      <c r="E88" s="116"/>
      <c r="F88" s="116"/>
    </row>
    <row r="89" spans="1:6" x14ac:dyDescent="0.25">
      <c r="A89" s="38" t="s">
        <v>106</v>
      </c>
      <c r="B89" s="116"/>
      <c r="C89" s="116"/>
      <c r="D89" s="116"/>
      <c r="E89" s="116"/>
      <c r="F89" s="116"/>
    </row>
    <row r="90" spans="1:6" x14ac:dyDescent="0.25">
      <c r="A90" s="38" t="s">
        <v>106</v>
      </c>
      <c r="B90" s="116"/>
      <c r="C90" s="116"/>
      <c r="D90" s="116"/>
      <c r="E90" s="116"/>
      <c r="F90" s="116"/>
    </row>
    <row r="91" spans="1:6" x14ac:dyDescent="0.25">
      <c r="A91" s="38" t="s">
        <v>106</v>
      </c>
      <c r="B91" s="116"/>
      <c r="C91" s="116"/>
      <c r="D91" s="116"/>
      <c r="E91" s="116"/>
      <c r="F91" s="116"/>
    </row>
    <row r="92" spans="1:6" x14ac:dyDescent="0.25">
      <c r="A92" s="38" t="s">
        <v>106</v>
      </c>
      <c r="B92" s="116"/>
      <c r="C92" s="116"/>
      <c r="D92" s="116"/>
      <c r="E92" s="116"/>
      <c r="F92" s="116"/>
    </row>
    <row r="93" spans="1:6" x14ac:dyDescent="0.25">
      <c r="A93" s="38" t="s">
        <v>106</v>
      </c>
      <c r="B93" s="116"/>
      <c r="C93" s="116"/>
      <c r="D93" s="116"/>
      <c r="E93" s="116"/>
      <c r="F93" s="116"/>
    </row>
    <row r="94" spans="1:6" x14ac:dyDescent="0.25">
      <c r="A94" s="38" t="s">
        <v>106</v>
      </c>
      <c r="B94" s="116"/>
      <c r="C94" s="116"/>
      <c r="D94" s="116"/>
      <c r="E94" s="116"/>
      <c r="F94" s="116"/>
    </row>
    <row r="95" spans="1:6" x14ac:dyDescent="0.25">
      <c r="A95" s="34" t="s">
        <v>110</v>
      </c>
      <c r="B95" s="116"/>
      <c r="C95" s="116"/>
      <c r="D95" s="116"/>
      <c r="E95" s="116"/>
      <c r="F95" s="116"/>
    </row>
    <row r="96" spans="1:6" x14ac:dyDescent="0.25">
      <c r="A96" s="38" t="s">
        <v>106</v>
      </c>
      <c r="B96" s="116" t="s">
        <v>228</v>
      </c>
      <c r="C96" s="116"/>
      <c r="D96" s="117">
        <v>45625</v>
      </c>
      <c r="E96" s="117">
        <v>45625</v>
      </c>
      <c r="F96" s="118" t="s">
        <v>225</v>
      </c>
    </row>
    <row r="97" spans="1:6" x14ac:dyDescent="0.25">
      <c r="A97" s="38" t="s">
        <v>106</v>
      </c>
      <c r="B97" s="116"/>
      <c r="C97" s="116"/>
      <c r="D97" s="116"/>
      <c r="E97" s="116"/>
      <c r="F97" s="116"/>
    </row>
    <row r="98" spans="1:6" x14ac:dyDescent="0.25">
      <c r="A98" s="38" t="s">
        <v>106</v>
      </c>
      <c r="B98" s="116"/>
      <c r="C98" s="116"/>
      <c r="D98" s="116"/>
      <c r="E98" s="116"/>
      <c r="F98" s="116"/>
    </row>
    <row r="99" spans="1:6" x14ac:dyDescent="0.25">
      <c r="A99" s="38" t="s">
        <v>106</v>
      </c>
      <c r="B99" s="116"/>
      <c r="C99" s="116"/>
      <c r="D99" s="116"/>
      <c r="E99" s="116"/>
      <c r="F99" s="116"/>
    </row>
    <row r="100" spans="1:6" x14ac:dyDescent="0.25">
      <c r="A100" s="38" t="s">
        <v>106</v>
      </c>
      <c r="B100" s="116"/>
      <c r="C100" s="116"/>
      <c r="D100" s="116"/>
      <c r="E100" s="116"/>
      <c r="F100" s="116"/>
    </row>
    <row r="101" spans="1:6" x14ac:dyDescent="0.25">
      <c r="A101" s="38" t="s">
        <v>106</v>
      </c>
      <c r="B101" s="116"/>
      <c r="C101" s="116"/>
      <c r="D101" s="116"/>
      <c r="E101" s="116"/>
      <c r="F101" s="116"/>
    </row>
    <row r="102" spans="1:6" x14ac:dyDescent="0.25">
      <c r="A102" s="38" t="s">
        <v>106</v>
      </c>
      <c r="B102" s="116"/>
      <c r="C102" s="116"/>
      <c r="D102" s="116"/>
      <c r="E102" s="116"/>
      <c r="F102" s="116"/>
    </row>
    <row r="103" spans="1:6" x14ac:dyDescent="0.25">
      <c r="A103" s="38" t="s">
        <v>106</v>
      </c>
      <c r="B103" s="116"/>
      <c r="C103" s="116"/>
      <c r="D103" s="116"/>
      <c r="E103" s="116"/>
      <c r="F103" s="116"/>
    </row>
    <row r="104" spans="1:6" x14ac:dyDescent="0.25">
      <c r="A104" s="38" t="s">
        <v>106</v>
      </c>
      <c r="B104" s="116"/>
      <c r="C104" s="116"/>
      <c r="D104" s="116"/>
      <c r="E104" s="116"/>
      <c r="F104" s="116"/>
    </row>
    <row r="105" spans="1:6" x14ac:dyDescent="0.25">
      <c r="A105" s="38" t="s">
        <v>106</v>
      </c>
      <c r="B105" s="116"/>
      <c r="C105" s="116"/>
      <c r="D105" s="116"/>
      <c r="E105" s="116"/>
      <c r="F105" s="116"/>
    </row>
    <row r="106" spans="1:6" x14ac:dyDescent="0.25">
      <c r="A106" s="38" t="s">
        <v>106</v>
      </c>
      <c r="B106" s="116"/>
      <c r="C106" s="116"/>
      <c r="D106" s="116"/>
      <c r="E106" s="116"/>
      <c r="F106" s="116"/>
    </row>
    <row r="107" spans="1:6" x14ac:dyDescent="0.25">
      <c r="A107" s="38" t="s">
        <v>106</v>
      </c>
      <c r="B107" s="116"/>
      <c r="C107" s="116"/>
      <c r="D107" s="116"/>
      <c r="E107" s="116"/>
      <c r="F107" s="116"/>
    </row>
    <row r="108" spans="1:6" x14ac:dyDescent="0.25">
      <c r="A108" s="38" t="s">
        <v>106</v>
      </c>
      <c r="B108" s="116"/>
      <c r="C108" s="116"/>
      <c r="D108" s="116"/>
      <c r="E108" s="116"/>
      <c r="F108" s="116"/>
    </row>
    <row r="109" spans="1:6" x14ac:dyDescent="0.25">
      <c r="A109" s="38" t="s">
        <v>106</v>
      </c>
      <c r="B109" s="116"/>
      <c r="C109" s="116"/>
      <c r="D109" s="116"/>
      <c r="E109" s="116"/>
      <c r="F109" s="116"/>
    </row>
    <row r="110" spans="1:6" x14ac:dyDescent="0.25">
      <c r="A110" s="38" t="s">
        <v>106</v>
      </c>
      <c r="B110" s="116"/>
      <c r="C110" s="116"/>
      <c r="D110" s="116"/>
      <c r="E110" s="116"/>
      <c r="F110" s="116"/>
    </row>
    <row r="111" spans="1:6" x14ac:dyDescent="0.25">
      <c r="A111" s="38" t="s">
        <v>106</v>
      </c>
      <c r="B111" s="116"/>
      <c r="C111" s="116"/>
      <c r="D111" s="116"/>
      <c r="E111" s="116"/>
      <c r="F111" s="116"/>
    </row>
    <row r="112" spans="1:6" x14ac:dyDescent="0.25">
      <c r="A112" s="38" t="s">
        <v>106</v>
      </c>
      <c r="B112" s="116"/>
      <c r="C112" s="116"/>
      <c r="D112" s="116"/>
      <c r="E112" s="116"/>
      <c r="F112" s="116"/>
    </row>
    <row r="113" spans="1:6" x14ac:dyDescent="0.25">
      <c r="A113" s="38" t="s">
        <v>106</v>
      </c>
      <c r="B113" s="116"/>
      <c r="C113" s="116"/>
      <c r="D113" s="116"/>
      <c r="E113" s="116"/>
      <c r="F113" s="1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D49E-5D01-481E-A77A-777BD01C8D76}">
  <dimension ref="A1:H36"/>
  <sheetViews>
    <sheetView workbookViewId="0">
      <selection activeCell="C31" sqref="C31:C32"/>
    </sheetView>
  </sheetViews>
  <sheetFormatPr defaultRowHeight="15" x14ac:dyDescent="0.25"/>
  <cols>
    <col min="1" max="1" width="58.42578125" customWidth="1"/>
    <col min="2" max="2" width="36.140625" customWidth="1"/>
    <col min="3" max="3" width="42.28515625" customWidth="1"/>
    <col min="257" max="257" width="58.42578125" customWidth="1"/>
    <col min="258" max="258" width="32.28515625" customWidth="1"/>
    <col min="259" max="259" width="42.28515625" customWidth="1"/>
    <col min="513" max="513" width="58.42578125" customWidth="1"/>
    <col min="514" max="514" width="32.28515625" customWidth="1"/>
    <col min="515" max="515" width="42.28515625" customWidth="1"/>
    <col min="769" max="769" width="58.42578125" customWidth="1"/>
    <col min="770" max="770" width="32.28515625" customWidth="1"/>
    <col min="771" max="771" width="42.28515625" customWidth="1"/>
    <col min="1025" max="1025" width="58.42578125" customWidth="1"/>
    <col min="1026" max="1026" width="32.28515625" customWidth="1"/>
    <col min="1027" max="1027" width="42.28515625" customWidth="1"/>
    <col min="1281" max="1281" width="58.42578125" customWidth="1"/>
    <col min="1282" max="1282" width="32.28515625" customWidth="1"/>
    <col min="1283" max="1283" width="42.28515625" customWidth="1"/>
    <col min="1537" max="1537" width="58.42578125" customWidth="1"/>
    <col min="1538" max="1538" width="32.28515625" customWidth="1"/>
    <col min="1539" max="1539" width="42.28515625" customWidth="1"/>
    <col min="1793" max="1793" width="58.42578125" customWidth="1"/>
    <col min="1794" max="1794" width="32.28515625" customWidth="1"/>
    <col min="1795" max="1795" width="42.28515625" customWidth="1"/>
    <col min="2049" max="2049" width="58.42578125" customWidth="1"/>
    <col min="2050" max="2050" width="32.28515625" customWidth="1"/>
    <col min="2051" max="2051" width="42.28515625" customWidth="1"/>
    <col min="2305" max="2305" width="58.42578125" customWidth="1"/>
    <col min="2306" max="2306" width="32.28515625" customWidth="1"/>
    <col min="2307" max="2307" width="42.28515625" customWidth="1"/>
    <col min="2561" max="2561" width="58.42578125" customWidth="1"/>
    <col min="2562" max="2562" width="32.28515625" customWidth="1"/>
    <col min="2563" max="2563" width="42.28515625" customWidth="1"/>
    <col min="2817" max="2817" width="58.42578125" customWidth="1"/>
    <col min="2818" max="2818" width="32.28515625" customWidth="1"/>
    <col min="2819" max="2819" width="42.28515625" customWidth="1"/>
    <col min="3073" max="3073" width="58.42578125" customWidth="1"/>
    <col min="3074" max="3074" width="32.28515625" customWidth="1"/>
    <col min="3075" max="3075" width="42.28515625" customWidth="1"/>
    <col min="3329" max="3329" width="58.42578125" customWidth="1"/>
    <col min="3330" max="3330" width="32.28515625" customWidth="1"/>
    <col min="3331" max="3331" width="42.28515625" customWidth="1"/>
    <col min="3585" max="3585" width="58.42578125" customWidth="1"/>
    <col min="3586" max="3586" width="32.28515625" customWidth="1"/>
    <col min="3587" max="3587" width="42.28515625" customWidth="1"/>
    <col min="3841" max="3841" width="58.42578125" customWidth="1"/>
    <col min="3842" max="3842" width="32.28515625" customWidth="1"/>
    <col min="3843" max="3843" width="42.28515625" customWidth="1"/>
    <col min="4097" max="4097" width="58.42578125" customWidth="1"/>
    <col min="4098" max="4098" width="32.28515625" customWidth="1"/>
    <col min="4099" max="4099" width="42.28515625" customWidth="1"/>
    <col min="4353" max="4353" width="58.42578125" customWidth="1"/>
    <col min="4354" max="4354" width="32.28515625" customWidth="1"/>
    <col min="4355" max="4355" width="42.28515625" customWidth="1"/>
    <col min="4609" max="4609" width="58.42578125" customWidth="1"/>
    <col min="4610" max="4610" width="32.28515625" customWidth="1"/>
    <col min="4611" max="4611" width="42.28515625" customWidth="1"/>
    <col min="4865" max="4865" width="58.42578125" customWidth="1"/>
    <col min="4866" max="4866" width="32.28515625" customWidth="1"/>
    <col min="4867" max="4867" width="42.28515625" customWidth="1"/>
    <col min="5121" max="5121" width="58.42578125" customWidth="1"/>
    <col min="5122" max="5122" width="32.28515625" customWidth="1"/>
    <col min="5123" max="5123" width="42.28515625" customWidth="1"/>
    <col min="5377" max="5377" width="58.42578125" customWidth="1"/>
    <col min="5378" max="5378" width="32.28515625" customWidth="1"/>
    <col min="5379" max="5379" width="42.28515625" customWidth="1"/>
    <col min="5633" max="5633" width="58.42578125" customWidth="1"/>
    <col min="5634" max="5634" width="32.28515625" customWidth="1"/>
    <col min="5635" max="5635" width="42.28515625" customWidth="1"/>
    <col min="5889" max="5889" width="58.42578125" customWidth="1"/>
    <col min="5890" max="5890" width="32.28515625" customWidth="1"/>
    <col min="5891" max="5891" width="42.28515625" customWidth="1"/>
    <col min="6145" max="6145" width="58.42578125" customWidth="1"/>
    <col min="6146" max="6146" width="32.28515625" customWidth="1"/>
    <col min="6147" max="6147" width="42.28515625" customWidth="1"/>
    <col min="6401" max="6401" width="58.42578125" customWidth="1"/>
    <col min="6402" max="6402" width="32.28515625" customWidth="1"/>
    <col min="6403" max="6403" width="42.28515625" customWidth="1"/>
    <col min="6657" max="6657" width="58.42578125" customWidth="1"/>
    <col min="6658" max="6658" width="32.28515625" customWidth="1"/>
    <col min="6659" max="6659" width="42.28515625" customWidth="1"/>
    <col min="6913" max="6913" width="58.42578125" customWidth="1"/>
    <col min="6914" max="6914" width="32.28515625" customWidth="1"/>
    <col min="6915" max="6915" width="42.28515625" customWidth="1"/>
    <col min="7169" max="7169" width="58.42578125" customWidth="1"/>
    <col min="7170" max="7170" width="32.28515625" customWidth="1"/>
    <col min="7171" max="7171" width="42.28515625" customWidth="1"/>
    <col min="7425" max="7425" width="58.42578125" customWidth="1"/>
    <col min="7426" max="7426" width="32.28515625" customWidth="1"/>
    <col min="7427" max="7427" width="42.28515625" customWidth="1"/>
    <col min="7681" max="7681" width="58.42578125" customWidth="1"/>
    <col min="7682" max="7682" width="32.28515625" customWidth="1"/>
    <col min="7683" max="7683" width="42.28515625" customWidth="1"/>
    <col min="7937" max="7937" width="58.42578125" customWidth="1"/>
    <col min="7938" max="7938" width="32.28515625" customWidth="1"/>
    <col min="7939" max="7939" width="42.28515625" customWidth="1"/>
    <col min="8193" max="8193" width="58.42578125" customWidth="1"/>
    <col min="8194" max="8194" width="32.28515625" customWidth="1"/>
    <col min="8195" max="8195" width="42.28515625" customWidth="1"/>
    <col min="8449" max="8449" width="58.42578125" customWidth="1"/>
    <col min="8450" max="8450" width="32.28515625" customWidth="1"/>
    <col min="8451" max="8451" width="42.28515625" customWidth="1"/>
    <col min="8705" max="8705" width="58.42578125" customWidth="1"/>
    <col min="8706" max="8706" width="32.28515625" customWidth="1"/>
    <col min="8707" max="8707" width="42.28515625" customWidth="1"/>
    <col min="8961" max="8961" width="58.42578125" customWidth="1"/>
    <col min="8962" max="8962" width="32.28515625" customWidth="1"/>
    <col min="8963" max="8963" width="42.28515625" customWidth="1"/>
    <col min="9217" max="9217" width="58.42578125" customWidth="1"/>
    <col min="9218" max="9218" width="32.28515625" customWidth="1"/>
    <col min="9219" max="9219" width="42.28515625" customWidth="1"/>
    <col min="9473" max="9473" width="58.42578125" customWidth="1"/>
    <col min="9474" max="9474" width="32.28515625" customWidth="1"/>
    <col min="9475" max="9475" width="42.28515625" customWidth="1"/>
    <col min="9729" max="9729" width="58.42578125" customWidth="1"/>
    <col min="9730" max="9730" width="32.28515625" customWidth="1"/>
    <col min="9731" max="9731" width="42.28515625" customWidth="1"/>
    <col min="9985" max="9985" width="58.42578125" customWidth="1"/>
    <col min="9986" max="9986" width="32.28515625" customWidth="1"/>
    <col min="9987" max="9987" width="42.28515625" customWidth="1"/>
    <col min="10241" max="10241" width="58.42578125" customWidth="1"/>
    <col min="10242" max="10242" width="32.28515625" customWidth="1"/>
    <col min="10243" max="10243" width="42.28515625" customWidth="1"/>
    <col min="10497" max="10497" width="58.42578125" customWidth="1"/>
    <col min="10498" max="10498" width="32.28515625" customWidth="1"/>
    <col min="10499" max="10499" width="42.28515625" customWidth="1"/>
    <col min="10753" max="10753" width="58.42578125" customWidth="1"/>
    <col min="10754" max="10754" width="32.28515625" customWidth="1"/>
    <col min="10755" max="10755" width="42.28515625" customWidth="1"/>
    <col min="11009" max="11009" width="58.42578125" customWidth="1"/>
    <col min="11010" max="11010" width="32.28515625" customWidth="1"/>
    <col min="11011" max="11011" width="42.28515625" customWidth="1"/>
    <col min="11265" max="11265" width="58.42578125" customWidth="1"/>
    <col min="11266" max="11266" width="32.28515625" customWidth="1"/>
    <col min="11267" max="11267" width="42.28515625" customWidth="1"/>
    <col min="11521" max="11521" width="58.42578125" customWidth="1"/>
    <col min="11522" max="11522" width="32.28515625" customWidth="1"/>
    <col min="11523" max="11523" width="42.28515625" customWidth="1"/>
    <col min="11777" max="11777" width="58.42578125" customWidth="1"/>
    <col min="11778" max="11778" width="32.28515625" customWidth="1"/>
    <col min="11779" max="11779" width="42.28515625" customWidth="1"/>
    <col min="12033" max="12033" width="58.42578125" customWidth="1"/>
    <col min="12034" max="12034" width="32.28515625" customWidth="1"/>
    <col min="12035" max="12035" width="42.28515625" customWidth="1"/>
    <col min="12289" max="12289" width="58.42578125" customWidth="1"/>
    <col min="12290" max="12290" width="32.28515625" customWidth="1"/>
    <col min="12291" max="12291" width="42.28515625" customWidth="1"/>
    <col min="12545" max="12545" width="58.42578125" customWidth="1"/>
    <col min="12546" max="12546" width="32.28515625" customWidth="1"/>
    <col min="12547" max="12547" width="42.28515625" customWidth="1"/>
    <col min="12801" max="12801" width="58.42578125" customWidth="1"/>
    <col min="12802" max="12802" width="32.28515625" customWidth="1"/>
    <col min="12803" max="12803" width="42.28515625" customWidth="1"/>
    <col min="13057" max="13057" width="58.42578125" customWidth="1"/>
    <col min="13058" max="13058" width="32.28515625" customWidth="1"/>
    <col min="13059" max="13059" width="42.28515625" customWidth="1"/>
    <col min="13313" max="13313" width="58.42578125" customWidth="1"/>
    <col min="13314" max="13314" width="32.28515625" customWidth="1"/>
    <col min="13315" max="13315" width="42.28515625" customWidth="1"/>
    <col min="13569" max="13569" width="58.42578125" customWidth="1"/>
    <col min="13570" max="13570" width="32.28515625" customWidth="1"/>
    <col min="13571" max="13571" width="42.28515625" customWidth="1"/>
    <col min="13825" max="13825" width="58.42578125" customWidth="1"/>
    <col min="13826" max="13826" width="32.28515625" customWidth="1"/>
    <col min="13827" max="13827" width="42.28515625" customWidth="1"/>
    <col min="14081" max="14081" width="58.42578125" customWidth="1"/>
    <col min="14082" max="14082" width="32.28515625" customWidth="1"/>
    <col min="14083" max="14083" width="42.28515625" customWidth="1"/>
    <col min="14337" max="14337" width="58.42578125" customWidth="1"/>
    <col min="14338" max="14338" width="32.28515625" customWidth="1"/>
    <col min="14339" max="14339" width="42.28515625" customWidth="1"/>
    <col min="14593" max="14593" width="58.42578125" customWidth="1"/>
    <col min="14594" max="14594" width="32.28515625" customWidth="1"/>
    <col min="14595" max="14595" width="42.28515625" customWidth="1"/>
    <col min="14849" max="14849" width="58.42578125" customWidth="1"/>
    <col min="14850" max="14850" width="32.28515625" customWidth="1"/>
    <col min="14851" max="14851" width="42.28515625" customWidth="1"/>
    <col min="15105" max="15105" width="58.42578125" customWidth="1"/>
    <col min="15106" max="15106" width="32.28515625" customWidth="1"/>
    <col min="15107" max="15107" width="42.28515625" customWidth="1"/>
    <col min="15361" max="15361" width="58.42578125" customWidth="1"/>
    <col min="15362" max="15362" width="32.28515625" customWidth="1"/>
    <col min="15363" max="15363" width="42.28515625" customWidth="1"/>
    <col min="15617" max="15617" width="58.42578125" customWidth="1"/>
    <col min="15618" max="15618" width="32.28515625" customWidth="1"/>
    <col min="15619" max="15619" width="42.28515625" customWidth="1"/>
    <col min="15873" max="15873" width="58.42578125" customWidth="1"/>
    <col min="15874" max="15874" width="32.28515625" customWidth="1"/>
    <col min="15875" max="15875" width="42.28515625" customWidth="1"/>
    <col min="16129" max="16129" width="58.42578125" customWidth="1"/>
    <col min="16130" max="16130" width="32.28515625" customWidth="1"/>
    <col min="16131" max="16131" width="42.28515625" customWidth="1"/>
  </cols>
  <sheetData>
    <row r="1" spans="1:8" x14ac:dyDescent="0.25">
      <c r="A1" s="80" t="s">
        <v>43</v>
      </c>
      <c r="B1" s="81"/>
      <c r="C1" s="82"/>
    </row>
    <row r="2" spans="1:8" ht="33.75" customHeight="1" thickBot="1" x14ac:dyDescent="0.3">
      <c r="A2" s="83" t="s">
        <v>44</v>
      </c>
      <c r="B2" s="84"/>
      <c r="C2" s="85"/>
      <c r="E2" s="86"/>
      <c r="F2" s="86"/>
      <c r="G2" s="86"/>
      <c r="H2" s="86"/>
    </row>
    <row r="3" spans="1:8" ht="15.75" thickBot="1" x14ac:dyDescent="0.3">
      <c r="A3" s="16" t="s">
        <v>45</v>
      </c>
      <c r="B3" s="17" t="s">
        <v>141</v>
      </c>
      <c r="C3" s="18" t="s">
        <v>142</v>
      </c>
      <c r="D3" s="87" t="s">
        <v>143</v>
      </c>
      <c r="E3" s="88"/>
      <c r="F3" s="88"/>
      <c r="G3" s="88"/>
      <c r="H3" s="88"/>
    </row>
    <row r="4" spans="1:8" ht="15.75" thickBot="1" x14ac:dyDescent="0.3">
      <c r="A4" s="21"/>
      <c r="B4" s="60"/>
      <c r="C4" s="60"/>
    </row>
    <row r="5" spans="1:8" ht="15" customHeight="1" x14ac:dyDescent="0.25">
      <c r="A5" s="19" t="s">
        <v>46</v>
      </c>
      <c r="B5" s="153">
        <v>3391455</v>
      </c>
      <c r="C5" s="153">
        <v>2781483</v>
      </c>
      <c r="D5" s="89" t="s">
        <v>47</v>
      </c>
      <c r="E5" s="90"/>
      <c r="F5" s="90"/>
      <c r="G5" s="90"/>
      <c r="H5" s="90"/>
    </row>
    <row r="6" spans="1:8" ht="15.75" thickBot="1" x14ac:dyDescent="0.3">
      <c r="A6" s="22" t="s">
        <v>48</v>
      </c>
      <c r="B6" s="154"/>
      <c r="C6" s="154"/>
      <c r="D6" s="91"/>
      <c r="E6" s="92"/>
      <c r="F6" s="92"/>
      <c r="G6" s="92"/>
      <c r="H6" s="92"/>
    </row>
    <row r="7" spans="1:8" ht="15" customHeight="1" x14ac:dyDescent="0.25">
      <c r="A7" s="23" t="s">
        <v>49</v>
      </c>
      <c r="B7" s="153">
        <v>419550.8</v>
      </c>
      <c r="C7" s="153">
        <v>425941</v>
      </c>
      <c r="D7" s="93" t="s">
        <v>50</v>
      </c>
      <c r="E7" s="94"/>
      <c r="F7" s="94"/>
      <c r="G7" s="94"/>
      <c r="H7" s="95"/>
    </row>
    <row r="8" spans="1:8" ht="15.75" thickBot="1" x14ac:dyDescent="0.3">
      <c r="A8" s="24" t="s">
        <v>48</v>
      </c>
      <c r="B8" s="154"/>
      <c r="C8" s="154"/>
      <c r="D8" s="91"/>
      <c r="E8" s="92"/>
      <c r="F8" s="92"/>
      <c r="G8" s="92"/>
      <c r="H8" s="96"/>
    </row>
    <row r="9" spans="1:8" ht="15" customHeight="1" x14ac:dyDescent="0.25">
      <c r="A9" s="21" t="s">
        <v>51</v>
      </c>
      <c r="B9" s="153">
        <v>3231469</v>
      </c>
      <c r="C9" s="153">
        <v>2310494</v>
      </c>
      <c r="D9" s="93" t="s">
        <v>47</v>
      </c>
      <c r="E9" s="94"/>
      <c r="F9" s="94"/>
      <c r="G9" s="94"/>
      <c r="H9" s="95"/>
    </row>
    <row r="10" spans="1:8" ht="15.75" thickBot="1" x14ac:dyDescent="0.3">
      <c r="A10" s="22" t="s">
        <v>48</v>
      </c>
      <c r="B10" s="154"/>
      <c r="C10" s="154"/>
      <c r="D10" s="91"/>
      <c r="E10" s="92"/>
      <c r="F10" s="92"/>
      <c r="G10" s="92"/>
      <c r="H10" s="96"/>
    </row>
    <row r="11" spans="1:8" ht="15.75" thickBot="1" x14ac:dyDescent="0.3">
      <c r="A11" s="20" t="s">
        <v>52</v>
      </c>
      <c r="B11" s="144" t="s">
        <v>249</v>
      </c>
      <c r="C11" s="144" t="s">
        <v>249</v>
      </c>
    </row>
    <row r="12" spans="1:8" ht="15.75" thickBot="1" x14ac:dyDescent="0.3">
      <c r="A12" s="20" t="s">
        <v>53</v>
      </c>
      <c r="B12" s="144"/>
      <c r="C12" s="144"/>
    </row>
    <row r="13" spans="1:8" ht="15" customHeight="1" x14ac:dyDescent="0.25">
      <c r="A13" s="21" t="s">
        <v>54</v>
      </c>
      <c r="B13" s="155" t="s">
        <v>250</v>
      </c>
      <c r="C13" s="155" t="s">
        <v>250</v>
      </c>
      <c r="D13" s="93" t="s">
        <v>56</v>
      </c>
      <c r="E13" s="94"/>
      <c r="F13" s="94"/>
      <c r="G13" s="94"/>
      <c r="H13" s="95"/>
    </row>
    <row r="14" spans="1:8" x14ac:dyDescent="0.25">
      <c r="A14" s="25" t="s">
        <v>57</v>
      </c>
      <c r="B14" s="155" t="s">
        <v>251</v>
      </c>
      <c r="C14" s="155" t="s">
        <v>251</v>
      </c>
      <c r="D14" s="89"/>
      <c r="E14" s="90"/>
      <c r="F14" s="90"/>
      <c r="G14" s="90"/>
      <c r="H14" s="97"/>
    </row>
    <row r="15" spans="1:8" ht="15.75" thickBot="1" x14ac:dyDescent="0.3">
      <c r="A15" s="26"/>
      <c r="B15" s="156" t="s">
        <v>55</v>
      </c>
      <c r="C15" s="157" t="s">
        <v>55</v>
      </c>
      <c r="D15" s="91"/>
      <c r="E15" s="92"/>
      <c r="F15" s="92"/>
      <c r="G15" s="92"/>
      <c r="H15" s="96"/>
    </row>
    <row r="16" spans="1:8" ht="15" customHeight="1" x14ac:dyDescent="0.25">
      <c r="A16" s="21" t="s">
        <v>58</v>
      </c>
      <c r="B16" s="153">
        <v>13096</v>
      </c>
      <c r="C16" s="153">
        <v>8622</v>
      </c>
      <c r="D16" s="93" t="s">
        <v>59</v>
      </c>
      <c r="E16" s="94"/>
      <c r="F16" s="94"/>
      <c r="G16" s="94"/>
      <c r="H16" s="95"/>
    </row>
    <row r="17" spans="1:8" ht="15.75" thickBot="1" x14ac:dyDescent="0.3">
      <c r="A17" s="22" t="s">
        <v>60</v>
      </c>
      <c r="B17" s="154"/>
      <c r="C17" s="154"/>
      <c r="D17" s="91"/>
      <c r="E17" s="92"/>
      <c r="F17" s="92"/>
      <c r="G17" s="92"/>
      <c r="H17" s="96"/>
    </row>
    <row r="18" spans="1:8" ht="15" customHeight="1" x14ac:dyDescent="0.25">
      <c r="A18" s="21" t="s">
        <v>61</v>
      </c>
      <c r="B18" s="155" t="s">
        <v>252</v>
      </c>
      <c r="C18" s="155" t="s">
        <v>252</v>
      </c>
      <c r="D18" s="98" t="s">
        <v>62</v>
      </c>
      <c r="E18" s="99"/>
      <c r="F18" s="99"/>
      <c r="G18" s="99"/>
      <c r="H18" s="100"/>
    </row>
    <row r="19" spans="1:8" x14ac:dyDescent="0.25">
      <c r="A19" s="25" t="s">
        <v>63</v>
      </c>
      <c r="B19" s="155" t="s">
        <v>55</v>
      </c>
      <c r="C19" s="158" t="s">
        <v>55</v>
      </c>
      <c r="D19" s="101"/>
      <c r="E19" s="102"/>
      <c r="F19" s="102"/>
      <c r="G19" s="102"/>
      <c r="H19" s="103"/>
    </row>
    <row r="20" spans="1:8" ht="15.75" thickBot="1" x14ac:dyDescent="0.3">
      <c r="A20" s="26"/>
      <c r="B20" s="156" t="s">
        <v>55</v>
      </c>
      <c r="C20" s="157" t="s">
        <v>55</v>
      </c>
      <c r="D20" s="104"/>
      <c r="E20" s="105"/>
      <c r="F20" s="105"/>
      <c r="G20" s="105"/>
      <c r="H20" s="106"/>
    </row>
    <row r="21" spans="1:8" x14ac:dyDescent="0.25">
      <c r="A21" s="21" t="s">
        <v>64</v>
      </c>
      <c r="B21" s="159">
        <v>17272</v>
      </c>
      <c r="C21" s="159">
        <v>16521</v>
      </c>
      <c r="D21" s="107" t="s">
        <v>65</v>
      </c>
      <c r="E21" s="108"/>
      <c r="F21" s="108"/>
      <c r="G21" s="108"/>
      <c r="H21" s="109"/>
    </row>
    <row r="22" spans="1:8" ht="15.75" thickBot="1" x14ac:dyDescent="0.3">
      <c r="A22" s="22" t="s">
        <v>60</v>
      </c>
      <c r="B22" s="154"/>
      <c r="C22" s="154"/>
      <c r="D22" s="110"/>
      <c r="E22" s="111"/>
      <c r="F22" s="111"/>
      <c r="G22" s="111"/>
      <c r="H22" s="112"/>
    </row>
    <row r="23" spans="1:8" x14ac:dyDescent="0.25">
      <c r="A23" s="21" t="s">
        <v>66</v>
      </c>
      <c r="B23" s="159">
        <v>17272</v>
      </c>
      <c r="C23" s="159">
        <v>16521</v>
      </c>
      <c r="D23" s="107" t="s">
        <v>67</v>
      </c>
      <c r="E23" s="108"/>
      <c r="F23" s="108"/>
      <c r="G23" s="108"/>
      <c r="H23" s="109"/>
    </row>
    <row r="24" spans="1:8" ht="15.75" thickBot="1" x14ac:dyDescent="0.3">
      <c r="A24" s="22" t="s">
        <v>60</v>
      </c>
      <c r="B24" s="154"/>
      <c r="C24" s="154"/>
      <c r="D24" s="110"/>
      <c r="E24" s="111"/>
      <c r="F24" s="111"/>
      <c r="G24" s="111"/>
      <c r="H24" s="112"/>
    </row>
    <row r="25" spans="1:8" x14ac:dyDescent="0.25">
      <c r="A25" s="21" t="s">
        <v>68</v>
      </c>
      <c r="B25" s="153">
        <v>1714.91</v>
      </c>
      <c r="C25" s="153">
        <v>710.86</v>
      </c>
      <c r="D25" s="107" t="s">
        <v>69</v>
      </c>
      <c r="E25" s="108"/>
      <c r="F25" s="108"/>
      <c r="G25" s="108"/>
      <c r="H25" s="109"/>
    </row>
    <row r="26" spans="1:8" ht="15.75" thickBot="1" x14ac:dyDescent="0.3">
      <c r="A26" s="22" t="s">
        <v>70</v>
      </c>
      <c r="B26" s="154"/>
      <c r="C26" s="154"/>
      <c r="D26" s="110"/>
      <c r="E26" s="111"/>
      <c r="F26" s="111"/>
      <c r="G26" s="111"/>
      <c r="H26" s="112"/>
    </row>
    <row r="27" spans="1:8" x14ac:dyDescent="0.25">
      <c r="A27" s="21" t="s">
        <v>71</v>
      </c>
      <c r="B27" s="153">
        <v>44.91</v>
      </c>
      <c r="C27" s="153">
        <v>70.86</v>
      </c>
      <c r="D27" s="107" t="s">
        <v>72</v>
      </c>
      <c r="E27" s="108"/>
      <c r="F27" s="108"/>
      <c r="G27" s="108"/>
      <c r="H27" s="109"/>
    </row>
    <row r="28" spans="1:8" ht="15.75" thickBot="1" x14ac:dyDescent="0.3">
      <c r="A28" s="22" t="s">
        <v>73</v>
      </c>
      <c r="B28" s="154"/>
      <c r="C28" s="154"/>
      <c r="D28" s="110"/>
      <c r="E28" s="111"/>
      <c r="F28" s="111"/>
      <c r="G28" s="111"/>
      <c r="H28" s="112"/>
    </row>
    <row r="29" spans="1:8" x14ac:dyDescent="0.25">
      <c r="A29" s="21" t="s">
        <v>74</v>
      </c>
      <c r="B29" s="153">
        <v>1210</v>
      </c>
      <c r="C29" s="153">
        <v>630</v>
      </c>
      <c r="D29" s="107" t="s">
        <v>75</v>
      </c>
      <c r="E29" s="108"/>
      <c r="F29" s="108"/>
      <c r="G29" s="108"/>
      <c r="H29" s="109"/>
    </row>
    <row r="30" spans="1:8" ht="15.75" thickBot="1" x14ac:dyDescent="0.3">
      <c r="A30" s="22" t="s">
        <v>73</v>
      </c>
      <c r="B30" s="154"/>
      <c r="C30" s="154"/>
      <c r="D30" s="110"/>
      <c r="E30" s="111"/>
      <c r="F30" s="111"/>
      <c r="G30" s="111"/>
      <c r="H30" s="112"/>
    </row>
    <row r="31" spans="1:8" x14ac:dyDescent="0.25">
      <c r="A31" s="21" t="s">
        <v>76</v>
      </c>
      <c r="B31" s="153">
        <v>504.91</v>
      </c>
      <c r="C31" s="153">
        <v>80.86</v>
      </c>
      <c r="D31" s="107" t="s">
        <v>77</v>
      </c>
      <c r="E31" s="108"/>
      <c r="F31" s="108"/>
      <c r="G31" s="108"/>
      <c r="H31" s="109"/>
    </row>
    <row r="32" spans="1:8" ht="15.75" thickBot="1" x14ac:dyDescent="0.3">
      <c r="A32" s="22" t="s">
        <v>73</v>
      </c>
      <c r="B32" s="154"/>
      <c r="C32" s="154"/>
      <c r="D32" s="110"/>
      <c r="E32" s="111"/>
      <c r="F32" s="111"/>
      <c r="G32" s="111"/>
      <c r="H32" s="112"/>
    </row>
    <row r="33" spans="1:8" x14ac:dyDescent="0.25">
      <c r="A33" s="21" t="s">
        <v>78</v>
      </c>
      <c r="B33" s="153"/>
      <c r="C33" s="153"/>
      <c r="D33" s="107" t="s">
        <v>79</v>
      </c>
      <c r="E33" s="108"/>
      <c r="F33" s="108"/>
      <c r="G33" s="108"/>
      <c r="H33" s="109"/>
    </row>
    <row r="34" spans="1:8" ht="15.75" thickBot="1" x14ac:dyDescent="0.3">
      <c r="A34" s="22" t="s">
        <v>80</v>
      </c>
      <c r="B34" s="154"/>
      <c r="C34" s="154"/>
      <c r="D34" s="110"/>
      <c r="E34" s="111"/>
      <c r="F34" s="111"/>
      <c r="G34" s="111"/>
      <c r="H34" s="112"/>
    </row>
    <row r="35" spans="1:8" ht="15" customHeight="1" x14ac:dyDescent="0.25">
      <c r="A35" s="21" t="s">
        <v>81</v>
      </c>
      <c r="B35" s="153" t="s">
        <v>253</v>
      </c>
      <c r="C35" s="153" t="s">
        <v>254</v>
      </c>
      <c r="D35" s="98" t="s">
        <v>82</v>
      </c>
      <c r="E35" s="99"/>
      <c r="F35" s="99"/>
      <c r="G35" s="99"/>
      <c r="H35" s="100"/>
    </row>
    <row r="36" spans="1:8" ht="15.75" thickBot="1" x14ac:dyDescent="0.3">
      <c r="A36" s="22" t="s">
        <v>73</v>
      </c>
      <c r="B36" s="154"/>
      <c r="C36" s="154"/>
      <c r="D36" s="104"/>
      <c r="E36" s="105"/>
      <c r="F36" s="105"/>
      <c r="G36" s="105"/>
      <c r="H36" s="106"/>
    </row>
  </sheetData>
  <mergeCells count="42">
    <mergeCell ref="B33:B34"/>
    <mergeCell ref="C33:C34"/>
    <mergeCell ref="D33:H34"/>
    <mergeCell ref="B35:B36"/>
    <mergeCell ref="C35:C36"/>
    <mergeCell ref="D35:H36"/>
    <mergeCell ref="B29:B30"/>
    <mergeCell ref="C29:C30"/>
    <mergeCell ref="D29:H30"/>
    <mergeCell ref="B31:B32"/>
    <mergeCell ref="C31:C32"/>
    <mergeCell ref="D31:H32"/>
    <mergeCell ref="B25:B26"/>
    <mergeCell ref="C25:C26"/>
    <mergeCell ref="D25:H26"/>
    <mergeCell ref="B27:B28"/>
    <mergeCell ref="C27:C28"/>
    <mergeCell ref="D27:H28"/>
    <mergeCell ref="B21:B22"/>
    <mergeCell ref="C21:C22"/>
    <mergeCell ref="D21:H22"/>
    <mergeCell ref="B23:B24"/>
    <mergeCell ref="C23:C24"/>
    <mergeCell ref="D23:H24"/>
    <mergeCell ref="D13:H15"/>
    <mergeCell ref="B16:B17"/>
    <mergeCell ref="C16:C17"/>
    <mergeCell ref="D16:H17"/>
    <mergeCell ref="D18:H20"/>
    <mergeCell ref="B7:B8"/>
    <mergeCell ref="C7:C8"/>
    <mergeCell ref="D7:H8"/>
    <mergeCell ref="B9:B10"/>
    <mergeCell ref="C9:C10"/>
    <mergeCell ref="D9:H10"/>
    <mergeCell ref="A1:C1"/>
    <mergeCell ref="A2:C2"/>
    <mergeCell ref="E2:H2"/>
    <mergeCell ref="D3:H3"/>
    <mergeCell ref="B5:B6"/>
    <mergeCell ref="C5:C6"/>
    <mergeCell ref="D5:H6"/>
  </mergeCells>
  <pageMargins left="0.7" right="0.7" top="0.75" bottom="0.75" header="0.3" footer="0.3"/>
  <pageSetup paperSize="9" orientation="portrait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>
      <selection activeCell="G18" sqref="G18"/>
    </sheetView>
  </sheetViews>
  <sheetFormatPr defaultRowHeight="15" x14ac:dyDescent="0.25"/>
  <cols>
    <col min="1" max="1" width="21.42578125" style="33" bestFit="1" customWidth="1"/>
    <col min="2" max="2" width="39" bestFit="1" customWidth="1"/>
    <col min="3" max="3" width="14" customWidth="1"/>
    <col min="4" max="4" width="26.5703125" customWidth="1"/>
  </cols>
  <sheetData>
    <row r="1" spans="1:8" x14ac:dyDescent="0.25">
      <c r="B1" s="9" t="s">
        <v>35</v>
      </c>
      <c r="C1" s="9" t="s">
        <v>36</v>
      </c>
      <c r="D1" s="9" t="s">
        <v>111</v>
      </c>
    </row>
    <row r="2" spans="1:8" ht="45" x14ac:dyDescent="0.25">
      <c r="A2" s="34" t="s">
        <v>37</v>
      </c>
      <c r="B2" s="113" t="s">
        <v>239</v>
      </c>
      <c r="C2" s="114">
        <v>45580</v>
      </c>
      <c r="D2" s="121" t="s">
        <v>240</v>
      </c>
      <c r="E2" s="115"/>
      <c r="F2" s="115"/>
      <c r="G2" s="116"/>
      <c r="H2" s="116"/>
    </row>
    <row r="3" spans="1:8" x14ac:dyDescent="0.25">
      <c r="A3" s="35"/>
      <c r="B3" s="10"/>
    </row>
    <row r="4" spans="1:8" x14ac:dyDescent="0.25">
      <c r="A4" s="34" t="s">
        <v>38</v>
      </c>
      <c r="B4" s="113" t="s">
        <v>236</v>
      </c>
      <c r="C4" s="117">
        <v>45722</v>
      </c>
      <c r="D4" s="118" t="s">
        <v>237</v>
      </c>
    </row>
    <row r="5" spans="1:8" x14ac:dyDescent="0.25">
      <c r="B5" s="10"/>
    </row>
    <row r="6" spans="1:8" x14ac:dyDescent="0.25">
      <c r="A6" s="34" t="s">
        <v>39</v>
      </c>
      <c r="B6" s="119"/>
      <c r="C6" s="117">
        <v>39239</v>
      </c>
      <c r="D6" s="116" t="s">
        <v>245</v>
      </c>
      <c r="E6" s="116"/>
      <c r="F6" s="116"/>
      <c r="G6" s="116"/>
    </row>
    <row r="7" spans="1:8" x14ac:dyDescent="0.25">
      <c r="A7" s="34" t="s">
        <v>39</v>
      </c>
      <c r="B7" s="119"/>
      <c r="C7" s="117">
        <v>37993</v>
      </c>
      <c r="D7" s="116" t="s">
        <v>245</v>
      </c>
      <c r="E7" s="116"/>
      <c r="F7" s="116"/>
      <c r="G7" s="116"/>
    </row>
    <row r="8" spans="1:8" x14ac:dyDescent="0.25">
      <c r="B8" s="119"/>
      <c r="C8" s="116"/>
      <c r="D8" s="116"/>
      <c r="E8" s="116"/>
      <c r="F8" s="116"/>
      <c r="G8" s="116"/>
    </row>
    <row r="9" spans="1:8" x14ac:dyDescent="0.25">
      <c r="A9" s="34" t="s">
        <v>40</v>
      </c>
      <c r="B9" s="119"/>
      <c r="C9" s="116"/>
      <c r="D9" s="116"/>
      <c r="E9" s="116"/>
      <c r="F9" s="116"/>
      <c r="G9" s="116"/>
    </row>
    <row r="10" spans="1:8" x14ac:dyDescent="0.25">
      <c r="B10" s="116"/>
      <c r="C10" s="116"/>
      <c r="D10" s="116"/>
      <c r="E10" s="116"/>
      <c r="F10" s="116"/>
      <c r="G10" s="116"/>
    </row>
    <row r="11" spans="1:8" ht="30" x14ac:dyDescent="0.25">
      <c r="A11" s="34" t="s">
        <v>91</v>
      </c>
      <c r="B11" s="118">
        <v>14308</v>
      </c>
      <c r="C11" s="117">
        <v>44971</v>
      </c>
      <c r="D11" s="122" t="s">
        <v>246</v>
      </c>
      <c r="E11" s="116"/>
      <c r="F11" s="116"/>
      <c r="G11" s="116"/>
    </row>
    <row r="12" spans="1:8" x14ac:dyDescent="0.25">
      <c r="B12" s="116"/>
      <c r="C12" s="116"/>
      <c r="D12" s="116"/>
      <c r="E12" s="116"/>
      <c r="F12" s="116"/>
      <c r="G12" s="116"/>
    </row>
    <row r="13" spans="1:8" ht="30" x14ac:dyDescent="0.25">
      <c r="A13" s="34" t="s">
        <v>92</v>
      </c>
      <c r="B13" s="120" t="s">
        <v>241</v>
      </c>
      <c r="C13" s="117">
        <v>42444</v>
      </c>
      <c r="D13" s="123" t="s">
        <v>242</v>
      </c>
      <c r="E13" s="123"/>
      <c r="F13" s="123"/>
      <c r="G13" s="123"/>
    </row>
    <row r="14" spans="1:8" x14ac:dyDescent="0.25">
      <c r="B14" s="116"/>
      <c r="C14" s="116"/>
      <c r="D14" s="116"/>
      <c r="E14" s="116"/>
      <c r="F14" s="116"/>
      <c r="G14" s="116"/>
    </row>
    <row r="15" spans="1:8" ht="30" x14ac:dyDescent="0.25">
      <c r="A15" s="34" t="s">
        <v>112</v>
      </c>
      <c r="B15" s="118" t="s">
        <v>243</v>
      </c>
      <c r="C15" s="117">
        <v>45212</v>
      </c>
      <c r="D15" s="118" t="s">
        <v>244</v>
      </c>
      <c r="E15" s="116"/>
      <c r="F15" s="116"/>
      <c r="G15" s="116"/>
    </row>
    <row r="16" spans="1:8" x14ac:dyDescent="0.25">
      <c r="B16" s="116"/>
      <c r="C16" s="116"/>
      <c r="D16" s="116"/>
      <c r="E16" s="116"/>
      <c r="F16" s="116"/>
      <c r="G16" s="116"/>
    </row>
    <row r="17" spans="1:7" ht="30" x14ac:dyDescent="0.25">
      <c r="A17" s="34" t="s">
        <v>140</v>
      </c>
      <c r="B17" s="113" t="s">
        <v>238</v>
      </c>
      <c r="C17" s="117">
        <v>45615</v>
      </c>
      <c r="D17" s="118" t="s">
        <v>237</v>
      </c>
      <c r="E17" s="116"/>
      <c r="F17" s="116"/>
      <c r="G17" s="116"/>
    </row>
    <row r="18" spans="1:7" ht="30" x14ac:dyDescent="0.25">
      <c r="A18" s="34" t="s">
        <v>140</v>
      </c>
      <c r="B18" s="113"/>
      <c r="C18" s="118"/>
      <c r="D18" s="118"/>
      <c r="E18" s="116"/>
      <c r="F18" s="116"/>
      <c r="G18" s="116"/>
    </row>
    <row r="19" spans="1:7" ht="30" x14ac:dyDescent="0.25">
      <c r="A19" s="34" t="s">
        <v>140</v>
      </c>
      <c r="B19" s="119"/>
      <c r="C19" s="116"/>
      <c r="D19" s="116"/>
      <c r="E19" s="116"/>
      <c r="F19" s="116"/>
      <c r="G19" s="116"/>
    </row>
    <row r="20" spans="1:7" ht="30" x14ac:dyDescent="0.25">
      <c r="A20" s="34" t="s">
        <v>140</v>
      </c>
      <c r="B20" s="119"/>
      <c r="C20" s="116"/>
      <c r="D20" s="116"/>
      <c r="E20" s="116"/>
      <c r="F20" s="116"/>
      <c r="G20" s="116"/>
    </row>
    <row r="21" spans="1:7" ht="30" x14ac:dyDescent="0.25">
      <c r="A21" s="34" t="s">
        <v>140</v>
      </c>
      <c r="B21" s="119"/>
      <c r="C21" s="116"/>
      <c r="D21" s="116"/>
      <c r="E21" s="116"/>
      <c r="F21" s="116"/>
      <c r="G21" s="116"/>
    </row>
    <row r="22" spans="1:7" ht="30" x14ac:dyDescent="0.25">
      <c r="A22" s="34" t="s">
        <v>140</v>
      </c>
      <c r="B22" s="119"/>
      <c r="C22" s="116"/>
      <c r="D22" s="116"/>
      <c r="E22" s="116"/>
      <c r="F22" s="116"/>
      <c r="G22" s="116"/>
    </row>
    <row r="23" spans="1:7" ht="30" x14ac:dyDescent="0.25">
      <c r="A23" s="34" t="s">
        <v>140</v>
      </c>
      <c r="B23" s="119"/>
      <c r="C23" s="116"/>
      <c r="D23" s="116"/>
      <c r="E23" s="116"/>
      <c r="F23" s="116"/>
      <c r="G23" s="116"/>
    </row>
    <row r="24" spans="1:7" ht="30" x14ac:dyDescent="0.25">
      <c r="A24" s="34" t="s">
        <v>140</v>
      </c>
      <c r="B24" s="119"/>
      <c r="C24" s="116"/>
      <c r="D24" s="116"/>
      <c r="E24" s="116"/>
      <c r="F24" s="116"/>
      <c r="G24" s="116"/>
    </row>
  </sheetData>
  <mergeCells count="1">
    <mergeCell ref="D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Dati personale</vt:lpstr>
      <vt:lpstr>Dati CCNL</vt:lpstr>
      <vt:lpstr>Elenco lavoratori</vt:lpstr>
      <vt:lpstr>Health &amp; Safety</vt:lpstr>
      <vt:lpstr>Ambientale</vt:lpstr>
      <vt:lpstr>altre informazioni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Ufficio Qualità</cp:lastModifiedBy>
  <cp:lastPrinted>2022-10-10T10:07:45Z</cp:lastPrinted>
  <dcterms:created xsi:type="dcterms:W3CDTF">2022-10-03T08:19:51Z</dcterms:created>
  <dcterms:modified xsi:type="dcterms:W3CDTF">2025-03-11T15:57:54Z</dcterms:modified>
</cp:coreProperties>
</file>