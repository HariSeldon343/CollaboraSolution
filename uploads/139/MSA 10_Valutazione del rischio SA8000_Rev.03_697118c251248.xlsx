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Questa_cartella_di_lavoro" autoCompressPictures="0"/>
  <mc:AlternateContent xmlns:mc="http://schemas.openxmlformats.org/markup-compatibility/2006">
    <mc:Choice Requires="x15">
      <x15ac:absPath xmlns:x15ac="http://schemas.microsoft.com/office/spreadsheetml/2010/11/ac" url="\\192.168.0.5\Arc\CdG QUALITA'\5. SA 8000\"/>
    </mc:Choice>
  </mc:AlternateContent>
  <xr:revisionPtr revIDLastSave="0" documentId="13_ncr:1_{CFE334D0-6D2F-4232-B194-F048727A2E96}" xr6:coauthVersionLast="47" xr6:coauthVersionMax="47" xr10:uidLastSave="{00000000-0000-0000-0000-000000000000}"/>
  <bookViews>
    <workbookView xWindow="-120" yWindow="-120" windowWidth="25440" windowHeight="15390" tabRatio="609" xr2:uid="{00000000-000D-0000-FFFF-FFFF00000000}"/>
  </bookViews>
  <sheets>
    <sheet name="Foglio1" sheetId="1" r:id="rId1"/>
    <sheet name="Foglio2" sheetId="2" r:id="rId2"/>
    <sheet name="Foglio3" sheetId="3" r:id="rId3"/>
  </sheets>
  <definedNames>
    <definedName name="_Toc436655608" localSheetId="1">Foglio2!$A$47</definedName>
    <definedName name="_Toc66781923" localSheetId="1">Foglio2!$A$2</definedName>
    <definedName name="_xlnm.Print_Area" localSheetId="0">Foglio1!$A$1:$L$37</definedName>
    <definedName name="_xlnm.Print_Titles" localSheetId="0">Foglio1!$1:$1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1" l="1"/>
  <c r="H23" i="1"/>
  <c r="H22" i="1"/>
  <c r="H21" i="1"/>
  <c r="H20" i="1"/>
  <c r="H18" i="1"/>
  <c r="H16" i="1"/>
  <c r="H15" i="1"/>
  <c r="H12" i="1" l="1"/>
  <c r="H11" i="1"/>
  <c r="H10" i="1"/>
  <c r="H9" i="1"/>
  <c r="H8" i="1" l="1"/>
  <c r="H6" i="1"/>
  <c r="H7" i="1" l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Torre</author>
  </authors>
  <commentList>
    <comment ref="L6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inserire come obiettivo l'acquisto di nuove attrezzature specifiche ad esempio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<sst xmlns="http://schemas.openxmlformats.org/spreadsheetml/2006/main" count="160" uniqueCount="112">
  <si>
    <t>RISCHIO</t>
  </si>
  <si>
    <t>Probabilità</t>
  </si>
  <si>
    <t>VALUTAZIONE DEL RISCHIO</t>
  </si>
  <si>
    <t>BASSO</t>
  </si>
  <si>
    <t>MEDIO</t>
  </si>
  <si>
    <t>LIVELLO</t>
  </si>
  <si>
    <t>Esempi di Pericolo</t>
  </si>
  <si>
    <t>Azione preventiva</t>
  </si>
  <si>
    <t>Obiettivi</t>
  </si>
  <si>
    <t>→</t>
  </si>
  <si>
    <t>Macro- Processo</t>
  </si>
  <si>
    <t>FUNZIONI COINVOLTE</t>
  </si>
  <si>
    <t>Gravità</t>
  </si>
  <si>
    <t>IDENTIFICAZIONE E VALUTAZIONE DEI RISCHI</t>
  </si>
  <si>
    <t>LAVORO INFANTILE</t>
  </si>
  <si>
    <t>utilizzare/favorire il 
il lavoro forzato ed 
obbligato</t>
  </si>
  <si>
    <t>Non utilizzare né dare sostegno all'utilizzo del lavoro infantile</t>
  </si>
  <si>
    <t>SALUTE E SICUREZZA</t>
  </si>
  <si>
    <t>SPT</t>
  </si>
  <si>
    <t>SPT / RSPP / RLS / Resp. Qualità</t>
  </si>
  <si>
    <t>Utilizzare/favorire il 
il lavoro infantile</t>
  </si>
  <si>
    <t>creare pericolo alla salute e
 sicurezza dei lavoratori</t>
  </si>
  <si>
    <t>Ridurre al minimo il rischio/pericolo per la salute e sicurezza dei lavoratori</t>
  </si>
  <si>
    <t>LIBERTA' DI ASSOCIAZIONISMO E DIRITTO ALLA CONTRATTAZZIONE COLLETTIVA</t>
  </si>
  <si>
    <t xml:space="preserve">•Limitazione alla libertà di associazione sindacale;
•Violazione della contrattazione collettiva; 
</t>
  </si>
  <si>
    <t>Limitazioni alla libertà di associazionismo e al diritto di contrattazione collettiva</t>
  </si>
  <si>
    <t xml:space="preserve"> 
•Gestione di un sistema che riduce al minimo situazioni di conflittualità con il personale;
•Il contratto viene portato a conoscenza a tutto il personale dipendente </t>
  </si>
  <si>
    <t>Rispetto del diritto di tutto il personale di formare o aderire ad eventuali sindacati e al diritto alla contrattazone collettiva</t>
  </si>
  <si>
    <t>DISCRIMINAZIONE</t>
  </si>
  <si>
    <t>Attuare/Favorire la Discriminazione</t>
  </si>
  <si>
    <t>non attuare e né garantire il sostegno alla discriminazione</t>
  </si>
  <si>
    <t xml:space="preserve">•Discriminazione all'atto della ricerca del personale e della sua assunzione;
•Atti discriminatori e comportamenti offensivi e coercitivi;
•Fornitori/Aziende partner che attuano discriminazione
</t>
  </si>
  <si>
    <t>PROCEDURE DISCIPLINARI</t>
  </si>
  <si>
    <t>Direzione / SPT</t>
  </si>
  <si>
    <t xml:space="preserve">•Utilizzo di provvedimenti disciplinari non consentiti dalla Statuto dei lavoratorie dal CCNL;
</t>
  </si>
  <si>
    <t>Utilizzare/favorire  pratiche disciplinari che vanno contro la dignità della persona</t>
  </si>
  <si>
    <t>Ridurre al minimo possibile l'applicazione di procedure disciplinari</t>
  </si>
  <si>
    <t>ORARIO DI LAVORO</t>
  </si>
  <si>
    <t>Direzione / Gestione Operativa / SPT</t>
  </si>
  <si>
    <t>•Violazione del CCNL in termini di orario di lavoro</t>
  </si>
  <si>
    <t>Orario di lavoro non conforme alle leggi</t>
  </si>
  <si>
    <t>• Limite dell'orario di lavoro alle 40 ore settimanali, come da CCNL di settore;
•Organizzaione per evitare il ricorso al lavoro straordinario</t>
  </si>
  <si>
    <t>Garantire ai dipendenti il tempo libero necessario per le proprie esigenze personali</t>
  </si>
  <si>
    <t>RETRIBUZIONE</t>
  </si>
  <si>
    <t>•Violazione del CCNL in termini di retribuzioni;
•Corrispondenza di salari che non garantiscono la sussistenza minima.</t>
  </si>
  <si>
    <t>Retribuzione non coforme alle leggi</t>
  </si>
  <si>
    <t>Garantire ai dipendenti una regolare retribuzione conforme al contratto collettivo nazionale, cosi come le trattenute.</t>
  </si>
  <si>
    <t>SISTEMA DI GESTIONE</t>
  </si>
  <si>
    <t>•Mancata o carente gestione della politica e del miglioramento;
•Mancata o carente gestione dei Reclami SA8000;
•Mancata o carente comunicazione e coinvolgimento del personale;
•Violazione dei requisiti normativi da parte dei Fornitori/Aziende partner</t>
  </si>
  <si>
    <t>SOGGETTI</t>
  </si>
  <si>
    <t>Aspettative delle parti interessate</t>
  </si>
  <si>
    <t>Magnitudo</t>
  </si>
  <si>
    <t>REQUISITI E ASPETTAVIVE PARTI INTERESSATI</t>
  </si>
  <si>
    <t>Proprietà, 
Compagine Sociale</t>
  </si>
  <si>
    <t>Adeguata remunerazione dei capitali investiti</t>
  </si>
  <si>
    <t>Dipendenti</t>
  </si>
  <si>
    <t>Garantire a tutti i propri collaboratori un ambiente di lavoro in linea con le proprie aspettative</t>
  </si>
  <si>
    <t>Fornitori</t>
  </si>
  <si>
    <t>Perdita di mercato</t>
  </si>
  <si>
    <t>Generazione di valore aggiunto</t>
  </si>
  <si>
    <t>Sanzioni amministrative/penali;
 Perdita immagine aziendale</t>
  </si>
  <si>
    <t>Aggiornamento continuo sui requisiti normativi locali, nazionali, europeo;
Supporto di Consulenti esterni qualificati.</t>
  </si>
  <si>
    <t>Rispetto della legislazionei vigenti applicabili al proprio settore.</t>
  </si>
  <si>
    <t>Management</t>
  </si>
  <si>
    <t>•Preservare la credibilità e la reputazione dell'azienda</t>
  </si>
  <si>
    <t xml:space="preserve">
•Ambiente di lavoro salubre e sicuro;
•Retribuzione in linea con il lavoro svolto;
•Libertà di esprimere i propri orientamenti;</t>
  </si>
  <si>
    <t>• Consapevolezza di interaggire con una azienda la cui attenzione alla Responsabilità Sociale è manifesta, certificata da organismi indipendenti e continuamente dimostrata tramite Bilancio SA8000</t>
  </si>
  <si>
    <t>ESTERNI</t>
  </si>
  <si>
    <t>INTERNI</t>
  </si>
  <si>
    <t>TIPO DI STAKEHOLDER</t>
  </si>
  <si>
    <t>Istituzioni Pubbliche e ONG</t>
  </si>
  <si>
    <t>Associazioni dei 
Lavoratori</t>
  </si>
  <si>
    <t xml:space="preserve">Opinione Pubblica
</t>
  </si>
  <si>
    <t>Perdita immagine</t>
  </si>
  <si>
    <t>Scarsa produttività / 
Inedeguatezza sociale</t>
  </si>
  <si>
    <t>Generazione di valore aggiunto rendendo l'azienda eticamente e socialmente efficiente</t>
  </si>
  <si>
    <t>Gestione Economica-sociale non conforme</t>
  </si>
  <si>
    <t>Garantire il rispetto dei principi etici lungo tutta la filiera</t>
  </si>
  <si>
    <t>Garantire il rispetto dei lavoratori</t>
  </si>
  <si>
    <t>Generazione di Valore aggiunto</t>
  </si>
  <si>
    <t>Rispetto dei Principi Etici e Sociali</t>
  </si>
  <si>
    <t>•Persona che dimostri fisicamente un'età maggiore della realtà;
•Fornitori o/e Aziende partner che fanno ricorso al lavoro infantile</t>
  </si>
  <si>
    <t>VALUTAZIONE DEL RISCHIO SA8000:2014</t>
  </si>
  <si>
    <t>MITIGAZIONE DEL RISCHIO SA8000:2014</t>
  </si>
  <si>
    <r>
      <t xml:space="preserve">•Applicazione del metodo </t>
    </r>
    <r>
      <rPr>
        <i/>
        <sz val="18"/>
        <color theme="1"/>
        <rFont val="Calibri"/>
        <family val="2"/>
        <scheme val="minor"/>
      </rPr>
      <t>"Nice Company"
•L'eventuali applicazioni di sanzioni disciplinari vengono gestite sulla base della vigente legislazioe/CCNL di settore.</t>
    </r>
  </si>
  <si>
    <t>•Generare maggiore fiducia da parte degli utenti e delle organizzazioni sociali, dimostrando il rispetto di principi etici e sociali;
•Migliorare il rapporto con le Istituzioni;
•Controllare la correttezza sociale dei prorpi fornitori</t>
  </si>
  <si>
    <t>LAVORO FORZATO O 
OBBLIGATO</t>
  </si>
  <si>
    <t>•Costrizione al lavoro contro la propria volonta; 
•Costrizione al lavoro straordinario; 
•Riduzione della libertà di spostamento;
•Utilizzo di servizi di sicurezza per costringere i lavoratori;
• Inadempienze contrattuali sull'orario di lavoro;
•Fornitori, Aziende partner che fanno ricorso al lavoro obbligato o forzato</t>
  </si>
  <si>
    <t>Comunicazione 
non efficiente</t>
  </si>
  <si>
    <t>Clienti, Consumatori e loro Associazioni</t>
  </si>
  <si>
    <t>Inadeguata gestione del Sistema Responsabilità Sociale</t>
  </si>
  <si>
    <t>Sviluppo, Mantenimento e Miglioramento continuo del proprio Sistema di Gestione per la Responsabilità Sociale</t>
  </si>
  <si>
    <t>•La Agrumigel Srl non richiede al personale di lasciare depositi in denaro o ducumenti in originale; 
•In Agrumigel Srl non vengono fatte firmare dimissioni durante la fase di assunzione;
•In Agrumigel Srl il ricorso al lavoro straordinario risulatà pressocchè nullo; 
• in Agrumigel Srl non sono presenti servizi e controlli che riducono la libertà;
•La Agrumigel Srl per tutti gli adempimenti lagati ai lavoratori fa riferimento al CCNL di settore;
• Sensibilizzazione verso clienti, fornitori e aziende partner sulla tematica;
• Possibili visite ispettive verso fornitori e aziende partner</t>
  </si>
  <si>
    <t>•La Agrumigel Srl non fa ricorso a nessun atto discriminatorio in fase di assunzione. 
•La Agrumigel Srl non interferisce in alcun modo con l'esercizio del personale di seguire principi o pratiche, o di soddisfare bisogni connessi ad etnia, ceto, origine nazionale, religione, invalidità, sesso, orientamento sessuale, appartenenza sindacale o affiliazione politica;
•Agrumigel Srl non permette comportamenti, inclusi gesti, linguaggio o contatto fisico, che siano sessualmente coercitivi, minacciosi, offensivi o volti allo sfruttamento.
•Possibile visita ispettiva presso fornitori/aziende partner;</t>
  </si>
  <si>
    <t>•In Agrumigel Srl non sono previste stipulazioni di accordi di lavoro in nero e programmi di falso apprendistato volti ad evitare l'adempimento degli obblighi nazionali nei confronti del personale, in base alla legislazione vigente in materia di lavoro e di sicurezza sociale;
•La retribuzione corrisposta ai propri dipendenti è conforma a quanto prescritto dal CCNL Commercio</t>
  </si>
  <si>
    <t>In sede di assunzione Agrumigel Srl verifica l'autenticità dei documenti di indentità;
La Politica di Agrumigel non prevede l'assunzione di bambini;
La Agrumigel Srl favorisce azioni di rimedio a favore di bambini per i quali si riscontra una situazione lavorativa</t>
  </si>
  <si>
    <t xml:space="preserve">•Definizione della Politica SA8000 e predisposizone di attivà di Riesame;
•Sviluppo di una procedura per la gestione dei reclami;
•Formazione del personale e pubblicazione della politica sul sito internet e sulla bacheca aziendale;
•Valutazione dei fornitori/aziende partner sulla base di un apposito questionario e possibili visite ispettive in loco.
</t>
  </si>
  <si>
    <t>•Attività di comunicazione costante sulla propria performace sociale</t>
  </si>
  <si>
    <t xml:space="preserve">• attività di informazione costante sulla propria performance 
sociale </t>
  </si>
  <si>
    <t xml:space="preserve">• attività di informazione costante sulla propria performance sociale </t>
  </si>
  <si>
    <t>Perdità immagine</t>
  </si>
  <si>
    <t>Associazioni degli
Imprenditori/Rete d'impresa</t>
  </si>
  <si>
    <t>Perdità immagine/mancato rispetto delle normative</t>
  </si>
  <si>
    <t xml:space="preserve">• attività di informazione costante sulla propria performance sociale
• Monitoraggio della corretta applicazione delle normative sul personale utilizzato </t>
  </si>
  <si>
    <t xml:space="preserve">•Implementazione, mantenimento e revisione costante di un Sistema di Gestione SA8000:2014
</t>
  </si>
  <si>
    <t xml:space="preserve">•La DG dispone di coinvolgere per quanto possibile tutto il personale agli obiettivi aziendali in modo da renderli più partecipi;
•Inquadramento retributivi secondo quanto disposto dal contratto collettivo nazionale di settore
•Implementazione dei sistemi ISO 45001 e SA8000 , finalizzati a garantire una maggiore tutela dei dipendenti </t>
  </si>
  <si>
    <t>•Monitoraggio costante delle performance sociali</t>
  </si>
  <si>
    <t xml:space="preserve">•Adempimento di tulle le prescrizioni relative al Dlgs 81/08;
•Formazione continua a tutto il personale sulla tematica Salute e Sicurezza sui luoghi di lavoro; 
•manutenzione periodica e programmata degli ambienti e strumenti di lavoro.
•Pulizia e Sanficazione ambienti di lavoro
</t>
  </si>
  <si>
    <t>Agrumi-Gel s.r.l.</t>
  </si>
  <si>
    <t xml:space="preserve">•Infortunio sul lavoro
•Inadeguatezza degli ambienti di lavoro; 
•Inadempimenti al DLgs. 81/08; 
</t>
  </si>
  <si>
    <t>MSA 10                                                          Rev.03 del 29/04/2025</t>
  </si>
  <si>
    <t>Aggiornato al 19/06/25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</si>
</sst>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8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ACE5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0" borderId="45" xfId="0" applyBorder="1"/>
    <xf numFmtId="0" fontId="0" fillId="0" borderId="27" xfId="0" applyBorder="1"/>
    <xf numFmtId="0" fontId="1" fillId="3" borderId="1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" fillId="7" borderId="1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5" fillId="0" borderId="18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 wrapText="1"/>
    </xf>
    <xf numFmtId="0" fontId="8" fillId="0" borderId="4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8" fillId="0" borderId="40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9" fillId="0" borderId="33" xfId="0" applyFont="1" applyBorder="1" applyAlignment="1">
      <alignment horizontal="center" vertical="center"/>
    </xf>
    <xf numFmtId="0" fontId="7" fillId="0" borderId="39" xfId="0" applyFont="1" applyBorder="1" applyAlignment="1">
      <alignment vertical="center" wrapText="1"/>
    </xf>
    <xf numFmtId="0" fontId="8" fillId="0" borderId="4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 textRotation="90"/>
    </xf>
    <xf numFmtId="0" fontId="4" fillId="6" borderId="10" xfId="0" applyFont="1" applyFill="1" applyBorder="1" applyAlignment="1">
      <alignment horizontal="center" vertical="center" textRotation="90"/>
    </xf>
    <xf numFmtId="0" fontId="6" fillId="5" borderId="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textRotation="90"/>
    </xf>
    <xf numFmtId="0" fontId="4" fillId="9" borderId="33" xfId="0" applyFont="1" applyFill="1" applyBorder="1" applyAlignment="1">
      <alignment horizontal="center" vertical="center" textRotation="90"/>
    </xf>
    <xf numFmtId="0" fontId="5" fillId="0" borderId="30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6ACE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2493559</xdr:colOff>
      <xdr:row>23</xdr:row>
      <xdr:rowOff>120349</xdr:rowOff>
    </xdr:from>
    <xdr:to>
      <xdr:col>7</xdr:col>
      <xdr:colOff>780070</xdr:colOff>
      <xdr:row>28</xdr:row>
      <xdr:rowOff>149680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687" t="30375" r="23047" b="51125"/>
        <a:stretch>
          <a:fillRect/>
        </a:stretch>
      </xdr:blipFill>
      <xdr:spPr bwMode="auto">
        <a:xfrm>
          <a:off x="7922809" y="35485313"/>
          <a:ext cx="6396368" cy="1526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454540</xdr:colOff>
      <xdr:row>23</xdr:row>
      <xdr:rowOff>118077</xdr:rowOff>
    </xdr:from>
    <xdr:to>
      <xdr:col>3</xdr:col>
      <xdr:colOff>1382947</xdr:colOff>
      <xdr:row>28</xdr:row>
      <xdr:rowOff>202441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922" t="55875" r="23047" b="23375"/>
        <a:stretch>
          <a:fillRect/>
        </a:stretch>
      </xdr:blipFill>
      <xdr:spPr bwMode="auto">
        <a:xfrm>
          <a:off x="454540" y="35483041"/>
          <a:ext cx="6357657" cy="1581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2260334</xdr:colOff>
      <xdr:row>26</xdr:row>
      <xdr:rowOff>85712</xdr:rowOff>
    </xdr:from>
    <xdr:to>
      <xdr:col>11</xdr:col>
      <xdr:colOff>1872424</xdr:colOff>
      <xdr:row>28</xdr:row>
      <xdr:rowOff>217716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29219" t="41625" r="29453" b="50125"/>
        <a:stretch>
          <a:fillRect/>
        </a:stretch>
      </xdr:blipFill>
      <xdr:spPr bwMode="auto">
        <a:xfrm>
          <a:off x="17010477" y="27109498"/>
          <a:ext cx="5803340" cy="7307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L37"/>
  <sheetViews>
    <sheetView tabSelected="1" view="pageBreakPreview" topLeftCell="A19" zoomScale="70" zoomScaleNormal="70" zoomScaleSheetLayoutView="70" zoomScalePageLayoutView="125" workbookViewId="0">
      <selection activeCell="B30" sqref="B30"/>
    </sheetView>
  </sheetViews>
  <sheetFormatPr defaultColWidth="8.7109375" defaultRowHeight="15" x14ac:dyDescent="0.25"/>
  <cols>
    <col min="1" max="1" width="8.28515625" customWidth="1"/>
    <col min="2" max="2" width="32.5703125" customWidth="1"/>
    <col min="3" max="3" width="40.42578125" style="1" customWidth="1"/>
    <col min="4" max="4" width="55" style="1" customWidth="1"/>
    <col min="5" max="5" width="31.42578125" customWidth="1"/>
    <col min="6" max="6" width="17.42578125" bestFit="1" customWidth="1"/>
    <col min="7" max="7" width="17.7109375" bestFit="1" customWidth="1"/>
    <col min="8" max="8" width="14" bestFit="1" customWidth="1"/>
    <col min="9" max="9" width="12.42578125" customWidth="1"/>
    <col min="11" max="11" width="92.7109375" customWidth="1"/>
    <col min="12" max="12" width="54" customWidth="1"/>
  </cols>
  <sheetData>
    <row r="1" spans="1:12" ht="49.5" customHeight="1" x14ac:dyDescent="0.25">
      <c r="B1" s="85" t="s">
        <v>108</v>
      </c>
      <c r="C1" s="108" t="s">
        <v>82</v>
      </c>
      <c r="D1" s="108"/>
      <c r="E1" s="108"/>
      <c r="F1" s="109" t="s">
        <v>110</v>
      </c>
      <c r="G1" s="109"/>
      <c r="H1" s="109"/>
      <c r="I1" s="110"/>
      <c r="J1" s="94" t="s">
        <v>83</v>
      </c>
      <c r="K1" s="95"/>
      <c r="L1" s="95"/>
    </row>
    <row r="2" spans="1:12" ht="23.25" x14ac:dyDescent="0.35">
      <c r="B2" s="104" t="s">
        <v>10</v>
      </c>
      <c r="C2" s="104" t="s">
        <v>11</v>
      </c>
      <c r="D2" s="102" t="s">
        <v>6</v>
      </c>
      <c r="E2" s="106" t="s">
        <v>0</v>
      </c>
      <c r="F2" s="98" t="s">
        <v>2</v>
      </c>
      <c r="G2" s="99"/>
      <c r="H2" s="100"/>
      <c r="I2" s="101" t="s">
        <v>5</v>
      </c>
      <c r="J2" s="96" t="s">
        <v>7</v>
      </c>
      <c r="K2" s="97"/>
      <c r="L2" s="102" t="s">
        <v>8</v>
      </c>
    </row>
    <row r="3" spans="1:12" ht="24" thickBot="1" x14ac:dyDescent="0.4">
      <c r="B3" s="105"/>
      <c r="C3" s="105"/>
      <c r="D3" s="103"/>
      <c r="E3" s="107"/>
      <c r="F3" s="4" t="s">
        <v>1</v>
      </c>
      <c r="G3" s="5" t="s">
        <v>12</v>
      </c>
      <c r="H3" s="6" t="s">
        <v>0</v>
      </c>
      <c r="I3" s="101"/>
      <c r="J3" s="88"/>
      <c r="K3" s="89"/>
      <c r="L3" s="102"/>
    </row>
    <row r="4" spans="1:12" ht="129" customHeight="1" thickBot="1" x14ac:dyDescent="0.3">
      <c r="A4" s="92" t="s">
        <v>13</v>
      </c>
      <c r="B4" s="7" t="s">
        <v>14</v>
      </c>
      <c r="C4" s="8" t="s">
        <v>18</v>
      </c>
      <c r="D4" s="9" t="s">
        <v>81</v>
      </c>
      <c r="E4" s="10" t="s">
        <v>20</v>
      </c>
      <c r="F4" s="11">
        <v>1</v>
      </c>
      <c r="G4" s="12">
        <v>3</v>
      </c>
      <c r="H4" s="13">
        <f>F4*G4</f>
        <v>3</v>
      </c>
      <c r="I4" s="14" t="s">
        <v>3</v>
      </c>
      <c r="J4" s="15" t="s">
        <v>9</v>
      </c>
      <c r="K4" s="16" t="s">
        <v>95</v>
      </c>
      <c r="L4" s="17" t="s">
        <v>16</v>
      </c>
    </row>
    <row r="5" spans="1:12" ht="311.25" customHeight="1" thickBot="1" x14ac:dyDescent="0.3">
      <c r="A5" s="93"/>
      <c r="B5" s="18" t="s">
        <v>86</v>
      </c>
      <c r="C5" s="19" t="s">
        <v>18</v>
      </c>
      <c r="D5" s="20" t="s">
        <v>87</v>
      </c>
      <c r="E5" s="21" t="s">
        <v>15</v>
      </c>
      <c r="F5" s="22">
        <v>1</v>
      </c>
      <c r="G5" s="23">
        <v>3</v>
      </c>
      <c r="H5" s="24">
        <f t="shared" ref="H5" si="0">F5*G5</f>
        <v>3</v>
      </c>
      <c r="I5" s="14" t="s">
        <v>3</v>
      </c>
      <c r="J5" s="25" t="s">
        <v>9</v>
      </c>
      <c r="K5" s="16" t="s">
        <v>92</v>
      </c>
      <c r="L5" s="26" t="s">
        <v>16</v>
      </c>
    </row>
    <row r="6" spans="1:12" ht="162.75" x14ac:dyDescent="0.25">
      <c r="A6" s="93"/>
      <c r="B6" s="18" t="s">
        <v>17</v>
      </c>
      <c r="C6" s="19" t="s">
        <v>19</v>
      </c>
      <c r="D6" s="27" t="s">
        <v>109</v>
      </c>
      <c r="E6" s="21" t="s">
        <v>21</v>
      </c>
      <c r="F6" s="22">
        <v>2</v>
      </c>
      <c r="G6" s="23">
        <v>4</v>
      </c>
      <c r="H6" s="24">
        <f>F6*G6</f>
        <v>8</v>
      </c>
      <c r="I6" s="28" t="s">
        <v>4</v>
      </c>
      <c r="J6" s="25" t="s">
        <v>9</v>
      </c>
      <c r="K6" s="16" t="s">
        <v>107</v>
      </c>
      <c r="L6" s="26" t="s">
        <v>22</v>
      </c>
    </row>
    <row r="7" spans="1:12" ht="163.5" customHeight="1" thickBot="1" x14ac:dyDescent="0.3">
      <c r="A7" s="93"/>
      <c r="B7" s="18" t="s">
        <v>23</v>
      </c>
      <c r="C7" s="19" t="s">
        <v>18</v>
      </c>
      <c r="D7" s="29" t="s">
        <v>24</v>
      </c>
      <c r="E7" s="30" t="s">
        <v>25</v>
      </c>
      <c r="F7" s="22">
        <v>1</v>
      </c>
      <c r="G7" s="23">
        <v>3</v>
      </c>
      <c r="H7" s="24">
        <f t="shared" ref="H7:H12" si="1">F7*G7</f>
        <v>3</v>
      </c>
      <c r="I7" s="14" t="s">
        <v>3</v>
      </c>
      <c r="J7" s="25" t="s">
        <v>9</v>
      </c>
      <c r="K7" s="31" t="s">
        <v>26</v>
      </c>
      <c r="L7" s="26" t="s">
        <v>27</v>
      </c>
    </row>
    <row r="8" spans="1:12" ht="264" customHeight="1" x14ac:dyDescent="0.25">
      <c r="A8" s="93"/>
      <c r="B8" s="32" t="s">
        <v>28</v>
      </c>
      <c r="C8" s="33" t="s">
        <v>18</v>
      </c>
      <c r="D8" s="34" t="s">
        <v>31</v>
      </c>
      <c r="E8" s="35" t="s">
        <v>29</v>
      </c>
      <c r="F8" s="22">
        <v>2</v>
      </c>
      <c r="G8" s="23">
        <v>3</v>
      </c>
      <c r="H8" s="36">
        <f t="shared" si="1"/>
        <v>6</v>
      </c>
      <c r="I8" s="28" t="s">
        <v>4</v>
      </c>
      <c r="J8" s="25" t="s">
        <v>9</v>
      </c>
      <c r="K8" s="31" t="s">
        <v>93</v>
      </c>
      <c r="L8" s="26" t="s">
        <v>30</v>
      </c>
    </row>
    <row r="9" spans="1:12" ht="163.5" customHeight="1" x14ac:dyDescent="0.25">
      <c r="A9" s="93"/>
      <c r="B9" s="18" t="s">
        <v>32</v>
      </c>
      <c r="C9" s="19" t="s">
        <v>38</v>
      </c>
      <c r="D9" s="29" t="s">
        <v>34</v>
      </c>
      <c r="E9" s="30" t="s">
        <v>35</v>
      </c>
      <c r="F9" s="37">
        <v>1</v>
      </c>
      <c r="G9" s="38">
        <v>3</v>
      </c>
      <c r="H9" s="39">
        <f t="shared" si="1"/>
        <v>3</v>
      </c>
      <c r="I9" s="14" t="s">
        <v>3</v>
      </c>
      <c r="J9" s="25" t="s">
        <v>9</v>
      </c>
      <c r="K9" s="31" t="s">
        <v>84</v>
      </c>
      <c r="L9" s="26" t="s">
        <v>36</v>
      </c>
    </row>
    <row r="10" spans="1:12" ht="163.5" customHeight="1" x14ac:dyDescent="0.25">
      <c r="A10" s="93"/>
      <c r="B10" s="18" t="s">
        <v>37</v>
      </c>
      <c r="C10" s="19" t="s">
        <v>38</v>
      </c>
      <c r="D10" s="29" t="s">
        <v>39</v>
      </c>
      <c r="E10" s="30" t="s">
        <v>40</v>
      </c>
      <c r="F10" s="22">
        <v>1</v>
      </c>
      <c r="G10" s="23">
        <v>3</v>
      </c>
      <c r="H10" s="24">
        <f t="shared" si="1"/>
        <v>3</v>
      </c>
      <c r="I10" s="14" t="s">
        <v>3</v>
      </c>
      <c r="J10" s="25" t="s">
        <v>9</v>
      </c>
      <c r="K10" s="31" t="s">
        <v>41</v>
      </c>
      <c r="L10" s="26" t="s">
        <v>42</v>
      </c>
    </row>
    <row r="11" spans="1:12" ht="173.25" customHeight="1" thickBot="1" x14ac:dyDescent="0.3">
      <c r="A11" s="93"/>
      <c r="B11" s="18" t="s">
        <v>43</v>
      </c>
      <c r="C11" s="19" t="s">
        <v>33</v>
      </c>
      <c r="D11" s="29" t="s">
        <v>44</v>
      </c>
      <c r="E11" s="30" t="s">
        <v>45</v>
      </c>
      <c r="F11" s="22">
        <v>1</v>
      </c>
      <c r="G11" s="23">
        <v>3</v>
      </c>
      <c r="H11" s="24">
        <f t="shared" si="1"/>
        <v>3</v>
      </c>
      <c r="I11" s="14" t="s">
        <v>3</v>
      </c>
      <c r="J11" s="25" t="s">
        <v>9</v>
      </c>
      <c r="K11" s="31" t="s">
        <v>94</v>
      </c>
      <c r="L11" s="26" t="s">
        <v>46</v>
      </c>
    </row>
    <row r="12" spans="1:12" ht="210" thickBot="1" x14ac:dyDescent="0.3">
      <c r="A12" s="93"/>
      <c r="B12" s="40" t="s">
        <v>47</v>
      </c>
      <c r="C12" s="41" t="s">
        <v>18</v>
      </c>
      <c r="D12" s="42" t="s">
        <v>48</v>
      </c>
      <c r="E12" s="43" t="s">
        <v>90</v>
      </c>
      <c r="F12" s="44">
        <v>2</v>
      </c>
      <c r="G12" s="45">
        <v>4</v>
      </c>
      <c r="H12" s="46">
        <f t="shared" si="1"/>
        <v>8</v>
      </c>
      <c r="I12" s="47" t="s">
        <v>4</v>
      </c>
      <c r="J12" s="48" t="s">
        <v>9</v>
      </c>
      <c r="K12" s="49" t="s">
        <v>96</v>
      </c>
      <c r="L12" s="50" t="s">
        <v>91</v>
      </c>
    </row>
    <row r="13" spans="1:12" ht="23.25" x14ac:dyDescent="0.35">
      <c r="A13" s="2"/>
      <c r="B13" s="123" t="s">
        <v>49</v>
      </c>
      <c r="C13" s="123" t="s">
        <v>69</v>
      </c>
      <c r="D13" s="125" t="s">
        <v>50</v>
      </c>
      <c r="E13" s="126" t="s">
        <v>0</v>
      </c>
      <c r="F13" s="118" t="s">
        <v>2</v>
      </c>
      <c r="G13" s="119"/>
      <c r="H13" s="120"/>
      <c r="I13" s="121" t="s">
        <v>5</v>
      </c>
      <c r="J13" s="86" t="s">
        <v>7</v>
      </c>
      <c r="K13" s="87"/>
      <c r="L13" s="90" t="s">
        <v>8</v>
      </c>
    </row>
    <row r="14" spans="1:12" ht="24" thickBot="1" x14ac:dyDescent="0.4">
      <c r="A14" s="3"/>
      <c r="B14" s="124"/>
      <c r="C14" s="124"/>
      <c r="D14" s="103"/>
      <c r="E14" s="127"/>
      <c r="F14" s="51" t="s">
        <v>1</v>
      </c>
      <c r="G14" s="52" t="s">
        <v>51</v>
      </c>
      <c r="H14" s="53" t="s">
        <v>0</v>
      </c>
      <c r="I14" s="122"/>
      <c r="J14" s="88"/>
      <c r="K14" s="89"/>
      <c r="L14" s="91"/>
    </row>
    <row r="15" spans="1:12" ht="47.25" thickBot="1" x14ac:dyDescent="0.3">
      <c r="A15" s="111" t="s">
        <v>52</v>
      </c>
      <c r="B15" s="32" t="s">
        <v>53</v>
      </c>
      <c r="C15" s="116" t="s">
        <v>68</v>
      </c>
      <c r="D15" s="54" t="s">
        <v>64</v>
      </c>
      <c r="E15" s="55" t="s">
        <v>73</v>
      </c>
      <c r="F15" s="37">
        <v>1</v>
      </c>
      <c r="G15" s="38">
        <v>4</v>
      </c>
      <c r="H15" s="39">
        <f t="shared" ref="H15:H21" si="2">F15*G15</f>
        <v>4</v>
      </c>
      <c r="I15" s="56" t="s">
        <v>3</v>
      </c>
      <c r="J15" s="57" t="s">
        <v>9</v>
      </c>
      <c r="K15" s="58" t="s">
        <v>106</v>
      </c>
      <c r="L15" s="59" t="s">
        <v>54</v>
      </c>
    </row>
    <row r="16" spans="1:12" ht="163.5" thickBot="1" x14ac:dyDescent="0.3">
      <c r="A16" s="111"/>
      <c r="B16" s="60" t="s">
        <v>55</v>
      </c>
      <c r="C16" s="116"/>
      <c r="D16" s="34" t="s">
        <v>65</v>
      </c>
      <c r="E16" s="35" t="s">
        <v>74</v>
      </c>
      <c r="F16" s="22">
        <v>2</v>
      </c>
      <c r="G16" s="23">
        <v>3</v>
      </c>
      <c r="H16" s="24">
        <f t="shared" si="2"/>
        <v>6</v>
      </c>
      <c r="I16" s="28" t="s">
        <v>4</v>
      </c>
      <c r="J16" s="25" t="s">
        <v>9</v>
      </c>
      <c r="K16" s="31" t="s">
        <v>105</v>
      </c>
      <c r="L16" s="26" t="s">
        <v>56</v>
      </c>
    </row>
    <row r="17" spans="1:12" ht="192" customHeight="1" thickBot="1" x14ac:dyDescent="0.3">
      <c r="A17" s="111"/>
      <c r="B17" s="61" t="s">
        <v>63</v>
      </c>
      <c r="C17" s="116"/>
      <c r="D17" s="62" t="s">
        <v>85</v>
      </c>
      <c r="E17" s="63" t="s">
        <v>76</v>
      </c>
      <c r="F17" s="64">
        <v>2</v>
      </c>
      <c r="G17" s="65">
        <v>3</v>
      </c>
      <c r="H17" s="66">
        <f t="shared" si="2"/>
        <v>6</v>
      </c>
      <c r="I17" s="28" t="s">
        <v>4</v>
      </c>
      <c r="J17" s="57"/>
      <c r="K17" s="67" t="s">
        <v>104</v>
      </c>
      <c r="L17" s="59" t="s">
        <v>75</v>
      </c>
    </row>
    <row r="18" spans="1:12" ht="51" customHeight="1" x14ac:dyDescent="0.25">
      <c r="A18" s="111"/>
      <c r="B18" s="7" t="s">
        <v>89</v>
      </c>
      <c r="C18" s="115" t="s">
        <v>67</v>
      </c>
      <c r="D18" s="113" t="s">
        <v>66</v>
      </c>
      <c r="E18" s="68" t="s">
        <v>58</v>
      </c>
      <c r="F18" s="69">
        <v>2</v>
      </c>
      <c r="G18" s="38">
        <v>4</v>
      </c>
      <c r="H18" s="39">
        <f t="shared" si="2"/>
        <v>8</v>
      </c>
      <c r="I18" s="28" t="s">
        <v>4</v>
      </c>
      <c r="J18" s="25" t="s">
        <v>9</v>
      </c>
      <c r="K18" s="31" t="s">
        <v>97</v>
      </c>
      <c r="L18" s="26" t="s">
        <v>59</v>
      </c>
    </row>
    <row r="19" spans="1:12" ht="117" thickBot="1" x14ac:dyDescent="0.3">
      <c r="A19" s="111"/>
      <c r="B19" s="40" t="s">
        <v>70</v>
      </c>
      <c r="C19" s="116"/>
      <c r="D19" s="113"/>
      <c r="E19" s="30" t="s">
        <v>60</v>
      </c>
      <c r="F19" s="70">
        <v>1</v>
      </c>
      <c r="G19" s="45">
        <v>4</v>
      </c>
      <c r="H19" s="46">
        <v>4</v>
      </c>
      <c r="I19" s="71" t="s">
        <v>3</v>
      </c>
      <c r="J19" s="25" t="s">
        <v>9</v>
      </c>
      <c r="K19" s="31" t="s">
        <v>61</v>
      </c>
      <c r="L19" s="26" t="s">
        <v>62</v>
      </c>
    </row>
    <row r="20" spans="1:12" ht="46.5" x14ac:dyDescent="0.25">
      <c r="A20" s="111"/>
      <c r="B20" s="72" t="s">
        <v>57</v>
      </c>
      <c r="C20" s="116"/>
      <c r="D20" s="113"/>
      <c r="E20" s="30" t="s">
        <v>88</v>
      </c>
      <c r="F20" s="22">
        <v>2</v>
      </c>
      <c r="G20" s="23">
        <v>4</v>
      </c>
      <c r="H20" s="36">
        <f t="shared" si="2"/>
        <v>8</v>
      </c>
      <c r="I20" s="28" t="s">
        <v>4</v>
      </c>
      <c r="J20" s="25" t="s">
        <v>9</v>
      </c>
      <c r="K20" s="31" t="s">
        <v>98</v>
      </c>
      <c r="L20" s="26" t="s">
        <v>77</v>
      </c>
    </row>
    <row r="21" spans="1:12" ht="52.5" customHeight="1" thickBot="1" x14ac:dyDescent="0.3">
      <c r="A21" s="111"/>
      <c r="B21" s="74" t="s">
        <v>71</v>
      </c>
      <c r="C21" s="116"/>
      <c r="D21" s="113"/>
      <c r="E21" s="73" t="s">
        <v>100</v>
      </c>
      <c r="F21" s="22">
        <v>1</v>
      </c>
      <c r="G21" s="24">
        <v>3</v>
      </c>
      <c r="H21" s="36">
        <f t="shared" si="2"/>
        <v>3</v>
      </c>
      <c r="I21" s="71" t="s">
        <v>3</v>
      </c>
      <c r="J21" s="25" t="s">
        <v>9</v>
      </c>
      <c r="K21" s="31" t="s">
        <v>99</v>
      </c>
      <c r="L21" s="26" t="s">
        <v>78</v>
      </c>
    </row>
    <row r="22" spans="1:12" ht="66.400000000000006" customHeight="1" thickBot="1" x14ac:dyDescent="0.3">
      <c r="A22" s="111"/>
      <c r="B22" s="74" t="s">
        <v>101</v>
      </c>
      <c r="C22" s="116"/>
      <c r="D22" s="113"/>
      <c r="E22" s="73" t="s">
        <v>102</v>
      </c>
      <c r="F22" s="22">
        <v>2</v>
      </c>
      <c r="G22" s="24">
        <v>3</v>
      </c>
      <c r="H22" s="36">
        <f t="shared" ref="H22" si="3">F22*G22</f>
        <v>6</v>
      </c>
      <c r="I22" s="28" t="s">
        <v>4</v>
      </c>
      <c r="J22" s="75" t="s">
        <v>9</v>
      </c>
      <c r="K22" s="81" t="s">
        <v>103</v>
      </c>
      <c r="L22" s="59" t="s">
        <v>80</v>
      </c>
    </row>
    <row r="23" spans="1:12" ht="57" customHeight="1" thickBot="1" x14ac:dyDescent="0.3">
      <c r="A23" s="112"/>
      <c r="B23" s="76" t="s">
        <v>72</v>
      </c>
      <c r="C23" s="117"/>
      <c r="D23" s="114"/>
      <c r="E23" s="77" t="s">
        <v>100</v>
      </c>
      <c r="F23" s="78">
        <v>2</v>
      </c>
      <c r="G23" s="79">
        <v>3</v>
      </c>
      <c r="H23" s="79">
        <f t="shared" ref="H23" si="4">F23*G23</f>
        <v>6</v>
      </c>
      <c r="I23" s="28" t="s">
        <v>4</v>
      </c>
      <c r="J23" s="80" t="s">
        <v>9</v>
      </c>
      <c r="K23" s="81" t="s">
        <v>99</v>
      </c>
      <c r="L23" s="82" t="s">
        <v>79</v>
      </c>
    </row>
    <row r="24" spans="1:12" ht="23.25" x14ac:dyDescent="0.35">
      <c r="B24" s="83"/>
      <c r="C24" s="84"/>
      <c r="D24" s="84"/>
      <c r="E24" s="83"/>
      <c r="F24" s="83"/>
      <c r="G24" s="83"/>
      <c r="H24" s="83"/>
      <c r="I24" s="83"/>
      <c r="J24" s="83"/>
      <c r="K24" s="83"/>
      <c r="L24" s="83"/>
    </row>
    <row r="25" spans="1:12" ht="23.25" x14ac:dyDescent="0.35">
      <c r="B25" s="83"/>
      <c r="C25" s="84"/>
      <c r="D25" s="84"/>
      <c r="E25" s="83"/>
      <c r="F25" s="83"/>
      <c r="G25" s="83"/>
      <c r="H25" s="83"/>
      <c r="I25" s="83"/>
      <c r="J25" s="83"/>
      <c r="K25" s="83"/>
      <c r="L25" s="83"/>
    </row>
    <row r="26" spans="1:12" ht="23.25" x14ac:dyDescent="0.35">
      <c r="B26" s="83"/>
      <c r="C26" s="84"/>
      <c r="D26" s="84"/>
      <c r="E26" s="83"/>
      <c r="F26" s="83"/>
      <c r="G26" s="83"/>
      <c r="H26" s="83"/>
      <c r="I26" s="83"/>
      <c r="J26" s="83"/>
      <c r="K26" s="83"/>
      <c r="L26" s="83"/>
    </row>
    <row r="27" spans="1:12" ht="23.25" x14ac:dyDescent="0.35">
      <c r="B27" s="83"/>
      <c r="C27" s="84"/>
      <c r="D27" s="84"/>
      <c r="E27" s="83"/>
      <c r="F27" s="83"/>
      <c r="G27" s="83"/>
      <c r="H27" s="83"/>
      <c r="I27" s="83"/>
      <c r="J27" s="83"/>
      <c r="K27" s="83"/>
      <c r="L27" s="83"/>
    </row>
    <row r="28" spans="1:12" ht="23.25" x14ac:dyDescent="0.35">
      <c r="B28" s="83"/>
      <c r="C28" s="84"/>
      <c r="D28" s="84"/>
      <c r="E28" s="83"/>
      <c r="F28" s="83"/>
      <c r="G28" s="83"/>
      <c r="H28" s="83"/>
      <c r="I28" s="83"/>
      <c r="J28" s="83"/>
      <c r="K28" s="83"/>
      <c r="L28" s="83"/>
    </row>
    <row r="29" spans="1:12" ht="23.25" x14ac:dyDescent="0.35">
      <c r="B29" s="83"/>
      <c r="C29" s="84"/>
      <c r="D29" s="84"/>
      <c r="E29" s="83"/>
      <c r="F29" s="83"/>
      <c r="G29" s="83"/>
      <c r="H29" s="83"/>
      <c r="I29" s="83"/>
      <c r="J29" s="83"/>
      <c r="K29" s="83"/>
      <c r="L29" s="83"/>
    </row>
    <row r="30" spans="1:12" ht="23.25" x14ac:dyDescent="0.35">
      <c r="B30" s="83" t="s">
        <v>111</v>
      </c>
      <c r="C30" s="84"/>
      <c r="D30" s="84"/>
      <c r="E30" s="83"/>
      <c r="F30" s="83"/>
      <c r="G30" s="83"/>
      <c r="H30" s="83"/>
      <c r="I30" s="83"/>
      <c r="J30" s="83"/>
      <c r="K30" s="83"/>
      <c r="L30" s="83"/>
    </row>
    <row r="31" spans="1:12" ht="23.25" x14ac:dyDescent="0.35">
      <c r="B31" s="83"/>
      <c r="C31" s="84"/>
      <c r="D31" s="84"/>
      <c r="E31" s="83"/>
      <c r="F31" s="83"/>
      <c r="G31" s="83"/>
      <c r="H31" s="83"/>
      <c r="I31" s="83"/>
      <c r="J31" s="83"/>
      <c r="K31" s="83"/>
      <c r="L31" s="83"/>
    </row>
    <row r="32" spans="1:12" ht="23.25" x14ac:dyDescent="0.35">
      <c r="B32" s="83"/>
      <c r="C32" s="84"/>
      <c r="D32" s="84"/>
      <c r="E32" s="83"/>
      <c r="F32" s="83"/>
      <c r="G32" s="83"/>
      <c r="H32" s="83"/>
      <c r="I32" s="83"/>
      <c r="J32" s="83"/>
      <c r="K32" s="83"/>
      <c r="L32" s="83"/>
    </row>
    <row r="33" spans="2:12" ht="23.25" x14ac:dyDescent="0.35">
      <c r="B33" s="83"/>
      <c r="C33" s="84"/>
      <c r="D33" s="84"/>
      <c r="E33" s="83"/>
      <c r="F33" s="83"/>
      <c r="G33" s="83"/>
      <c r="H33" s="83"/>
      <c r="I33" s="83"/>
      <c r="J33" s="83"/>
      <c r="K33" s="83"/>
      <c r="L33" s="83"/>
    </row>
    <row r="34" spans="2:12" ht="23.25" x14ac:dyDescent="0.35">
      <c r="B34" s="83"/>
      <c r="C34" s="84"/>
      <c r="D34" s="84"/>
      <c r="E34" s="83"/>
      <c r="F34" s="83"/>
      <c r="G34" s="83"/>
      <c r="H34" s="83"/>
      <c r="I34" s="83"/>
      <c r="J34" s="83"/>
      <c r="K34" s="83"/>
      <c r="L34" s="83"/>
    </row>
    <row r="35" spans="2:12" ht="23.25" x14ac:dyDescent="0.35">
      <c r="B35" s="83"/>
      <c r="C35" s="84"/>
      <c r="D35" s="84"/>
      <c r="E35" s="83"/>
      <c r="F35" s="83"/>
      <c r="G35" s="83"/>
      <c r="H35" s="83"/>
      <c r="I35" s="83"/>
      <c r="J35" s="83"/>
      <c r="K35" s="83"/>
      <c r="L35" s="83"/>
    </row>
    <row r="36" spans="2:12" ht="23.25" x14ac:dyDescent="0.35">
      <c r="B36" s="83"/>
      <c r="C36" s="84"/>
      <c r="D36" s="84"/>
      <c r="E36" s="83"/>
      <c r="F36" s="83"/>
      <c r="G36" s="83"/>
      <c r="H36" s="83"/>
      <c r="I36" s="83"/>
      <c r="J36" s="83"/>
      <c r="K36" s="83"/>
      <c r="L36" s="83"/>
    </row>
    <row r="37" spans="2:12" ht="23.25" x14ac:dyDescent="0.35">
      <c r="B37" s="83"/>
      <c r="C37" s="84"/>
      <c r="D37" s="84"/>
      <c r="E37" s="83"/>
      <c r="F37" s="83"/>
      <c r="G37" s="83"/>
      <c r="H37" s="83"/>
      <c r="I37" s="83"/>
      <c r="J37" s="83"/>
      <c r="K37" s="83"/>
      <c r="L37" s="83"/>
    </row>
  </sheetData>
  <mergeCells count="24">
    <mergeCell ref="A15:A23"/>
    <mergeCell ref="D18:D23"/>
    <mergeCell ref="C18:C23"/>
    <mergeCell ref="F13:H13"/>
    <mergeCell ref="I13:I14"/>
    <mergeCell ref="B13:B14"/>
    <mergeCell ref="C13:C14"/>
    <mergeCell ref="D13:D14"/>
    <mergeCell ref="E13:E14"/>
    <mergeCell ref="C15:C17"/>
    <mergeCell ref="J13:K14"/>
    <mergeCell ref="L13:L14"/>
    <mergeCell ref="A4:A12"/>
    <mergeCell ref="J1:L1"/>
    <mergeCell ref="J2:K3"/>
    <mergeCell ref="F2:H2"/>
    <mergeCell ref="I2:I3"/>
    <mergeCell ref="D2:D3"/>
    <mergeCell ref="C2:C3"/>
    <mergeCell ref="E2:E3"/>
    <mergeCell ref="B2:B3"/>
    <mergeCell ref="L2:L3"/>
    <mergeCell ref="C1:E1"/>
    <mergeCell ref="F1:I1"/>
  </mergeCells>
  <printOptions horizontalCentered="1"/>
  <pageMargins left="0.70866141732283472" right="0.70866141732283472" top="0" bottom="0.74803149606299213" header="0.31496062992125984" footer="0.31496062992125984"/>
  <pageSetup paperSize="9" scale="34" orientation="landscape" r:id="rId1"/>
  <headerFooter scaleWithDoc="0"/>
  <rowBreaks count="1" manualBreakCount="1">
    <brk id="10" max="11" man="1"/>
  </rowBreaks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/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Foglio1</vt:lpstr>
      <vt:lpstr>Foglio2</vt:lpstr>
      <vt:lpstr>Foglio3</vt:lpstr>
      <vt:lpstr>Foglio2!_Toc436655608</vt:lpstr>
      <vt:lpstr>Foglio2!_Toc66781923</vt:lpstr>
      <vt:lpstr>Foglio1!Area_stampa</vt:lpstr>
      <vt:lpstr>Foglio1!Titoli_stampa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Ufficio Qualità</cp:lastModifiedBy>
  <cp:lastPrinted>2025-05-28T07:24:45Z</cp:lastPrinted>
  <dcterms:created xsi:type="dcterms:W3CDTF">2016-03-25T16:08:34Z</dcterms:created>
  <dcterms:modified xsi:type="dcterms:W3CDTF">2025-06-25T06:43:11Z</dcterms:modified>
</cp:coreProperties>
</file>